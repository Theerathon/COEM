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xl/revisions/revisionHeaders.xml" ContentType="application/vnd.openxmlformats-officedocument.spreadsheetml.revisionHeaders+xml"/>
  <Override PartName="/xl/revisions/revisionLog74.xml" ContentType="application/vnd.openxmlformats-officedocument.spreadsheetml.revisionLog+xml"/>
  <Override PartName="/xl/revisions/userNames.xml" ContentType="application/vnd.openxmlformats-officedocument.spreadsheetml.userNames+xml"/>
  <Override PartName="/docProps/core.xml" ContentType="application/vnd.openxmlformats-package.core-properties+xml"/>
  <Override PartName="/docProps/app.xml" ContentType="application/vnd.openxmlformats-officedocument.extended-properties+xml"/>
  <Override PartName="/xl/revisions/revisionLog13.xml" ContentType="application/vnd.openxmlformats-officedocument.spreadsheetml.revisionLog+xml"/>
  <Override PartName="/xl/revisions/revisionLog18.xml" ContentType="application/vnd.openxmlformats-officedocument.spreadsheetml.revisionLog+xml"/>
  <Override PartName="/xl/revisions/revisionLog26.xml" ContentType="application/vnd.openxmlformats-officedocument.spreadsheetml.revisionLog+xml"/>
  <Override PartName="/xl/revisions/revisionLog39.xml" ContentType="application/vnd.openxmlformats-officedocument.spreadsheetml.revisionLog+xml"/>
  <Override PartName="/xl/revisions/revisionLog21.xml" ContentType="application/vnd.openxmlformats-officedocument.spreadsheetml.revisionLog+xml"/>
  <Override PartName="/xl/revisions/revisionLog34.xml" ContentType="application/vnd.openxmlformats-officedocument.spreadsheetml.revisionLog+xml"/>
  <Override PartName="/xl/revisions/revisionLog42.xml" ContentType="application/vnd.openxmlformats-officedocument.spreadsheetml.revisionLog+xml"/>
  <Override PartName="/xl/revisions/revisionLog47.xml" ContentType="application/vnd.openxmlformats-officedocument.spreadsheetml.revisionLog+xml"/>
  <Override PartName="/xl/revisions/revisionLog50.xml" ContentType="application/vnd.openxmlformats-officedocument.spreadsheetml.revisionLog+xml"/>
  <Override PartName="/xl/revisions/revisionLog55.xml" ContentType="application/vnd.openxmlformats-officedocument.spreadsheetml.revisionLog+xml"/>
  <Override PartName="/xl/revisions/revisionLog63.xml" ContentType="application/vnd.openxmlformats-officedocument.spreadsheetml.revisionLog+xml"/>
  <Override PartName="/xl/revisions/revisionLog68.xml" ContentType="application/vnd.openxmlformats-officedocument.spreadsheetml.revisionLog+xml"/>
  <Override PartName="/xl/revisions/revisionLog7.xml" ContentType="application/vnd.openxmlformats-officedocument.spreadsheetml.revisionLog+xml"/>
  <Override PartName="/xl/revisions/revisionLog71.xml" ContentType="application/vnd.openxmlformats-officedocument.spreadsheetml.revisionLog+xml"/>
  <Override PartName="/xl/revisions/revisionLog2.xml" ContentType="application/vnd.openxmlformats-officedocument.spreadsheetml.revisionLog+xml"/>
  <Override PartName="/xl/revisions/revisionLog16.xml" ContentType="application/vnd.openxmlformats-officedocument.spreadsheetml.revisionLog+xml"/>
  <Override PartName="/xl/revisions/revisionLog29.xml" ContentType="application/vnd.openxmlformats-officedocument.spreadsheetml.revisionLog+xml"/>
  <Override PartName="/xl/revisions/revisionLog11.xml" ContentType="application/vnd.openxmlformats-officedocument.spreadsheetml.revisionLog+xml"/>
  <Override PartName="/xl/revisions/revisionLog24.xml" ContentType="application/vnd.openxmlformats-officedocument.spreadsheetml.revisionLog+xml"/>
  <Override PartName="/xl/revisions/revisionLog32.xml" ContentType="application/vnd.openxmlformats-officedocument.spreadsheetml.revisionLog+xml"/>
  <Override PartName="/xl/revisions/revisionLog37.xml" ContentType="application/vnd.openxmlformats-officedocument.spreadsheetml.revisionLog+xml"/>
  <Override PartName="/xl/revisions/revisionLog40.xml" ContentType="application/vnd.openxmlformats-officedocument.spreadsheetml.revisionLog+xml"/>
  <Override PartName="/xl/revisions/revisionLog45.xml" ContentType="application/vnd.openxmlformats-officedocument.spreadsheetml.revisionLog+xml"/>
  <Override PartName="/xl/revisions/revisionLog53.xml" ContentType="application/vnd.openxmlformats-officedocument.spreadsheetml.revisionLog+xml"/>
  <Override PartName="/xl/revisions/revisionLog58.xml" ContentType="application/vnd.openxmlformats-officedocument.spreadsheetml.revisionLog+xml"/>
  <Override PartName="/xl/revisions/revisionLog66.xml" ContentType="application/vnd.openxmlformats-officedocument.spreadsheetml.revisionLog+xml"/>
  <Override PartName="/xl/revisions/revisionLog5.xml" ContentType="application/vnd.openxmlformats-officedocument.spreadsheetml.revisionLog+xml"/>
  <Override PartName="/xl/revisions/revisionLog15.xml" ContentType="application/vnd.openxmlformats-officedocument.spreadsheetml.revisionLog+xml"/>
  <Override PartName="/xl/revisions/revisionLog23.xml" ContentType="application/vnd.openxmlformats-officedocument.spreadsheetml.revisionLog+xml"/>
  <Override PartName="/xl/revisions/revisionLog28.xml" ContentType="application/vnd.openxmlformats-officedocument.spreadsheetml.revisionLog+xml"/>
  <Override PartName="/xl/revisions/revisionLog36.xml" ContentType="application/vnd.openxmlformats-officedocument.spreadsheetml.revisionLog+xml"/>
  <Override PartName="/xl/revisions/revisionLog49.xml" ContentType="application/vnd.openxmlformats-officedocument.spreadsheetml.revisionLog+xml"/>
  <Override PartName="/xl/revisions/revisionLog57.xml" ContentType="application/vnd.openxmlformats-officedocument.spreadsheetml.revisionLog+xml"/>
  <Override PartName="/xl/revisions/revisionLog61.xml" ContentType="application/vnd.openxmlformats-officedocument.spreadsheetml.revisionLog+xml"/>
  <Override PartName="/xl/revisions/revisionLog10.xml" ContentType="application/vnd.openxmlformats-officedocument.spreadsheetml.revisionLog+xml"/>
  <Override PartName="/xl/revisions/revisionLog19.xml" ContentType="application/vnd.openxmlformats-officedocument.spreadsheetml.revisionLog+xml"/>
  <Override PartName="/xl/revisions/revisionLog31.xml" ContentType="application/vnd.openxmlformats-officedocument.spreadsheetml.revisionLog+xml"/>
  <Override PartName="/xl/revisions/revisionLog44.xml" ContentType="application/vnd.openxmlformats-officedocument.spreadsheetml.revisionLog+xml"/>
  <Override PartName="/xl/revisions/revisionLog52.xml" ContentType="application/vnd.openxmlformats-officedocument.spreadsheetml.revisionLog+xml"/>
  <Override PartName="/xl/revisions/revisionLog60.xml" ContentType="application/vnd.openxmlformats-officedocument.spreadsheetml.revisionLog+xml"/>
  <Override PartName="/xl/revisions/revisionLog65.xml" ContentType="application/vnd.openxmlformats-officedocument.spreadsheetml.revisionLog+xml"/>
  <Override PartName="/xl/revisions/revisionLog73.xml" ContentType="application/vnd.openxmlformats-officedocument.spreadsheetml.revisionLog+xml"/>
  <Override PartName="/xl/revisions/revisionLog4.xml" ContentType="application/vnd.openxmlformats-officedocument.spreadsheetml.revisionLog+xml"/>
  <Override PartName="/xl/revisions/revisionLog9.xml" ContentType="application/vnd.openxmlformats-officedocument.spreadsheetml.revisionLog+xml"/>
  <Override PartName="/xl/revisions/revisionLog14.xml" ContentType="application/vnd.openxmlformats-officedocument.spreadsheetml.revisionLog+xml"/>
  <Override PartName="/xl/revisions/revisionLog22.xml" ContentType="application/vnd.openxmlformats-officedocument.spreadsheetml.revisionLog+xml"/>
  <Override PartName="/xl/revisions/revisionLog27.xml" ContentType="application/vnd.openxmlformats-officedocument.spreadsheetml.revisionLog+xml"/>
  <Override PartName="/xl/revisions/revisionLog30.xml" ContentType="application/vnd.openxmlformats-officedocument.spreadsheetml.revisionLog+xml"/>
  <Override PartName="/xl/revisions/revisionLog35.xml" ContentType="application/vnd.openxmlformats-officedocument.spreadsheetml.revisionLog+xml"/>
  <Override PartName="/xl/revisions/revisionLog43.xml" ContentType="application/vnd.openxmlformats-officedocument.spreadsheetml.revisionLog+xml"/>
  <Override PartName="/xl/revisions/revisionLog48.xml" ContentType="application/vnd.openxmlformats-officedocument.spreadsheetml.revisionLog+xml"/>
  <Override PartName="/xl/revisions/revisionLog56.xml" ContentType="application/vnd.openxmlformats-officedocument.spreadsheetml.revisionLog+xml"/>
  <Override PartName="/xl/revisions/revisionLog64.xml" ContentType="application/vnd.openxmlformats-officedocument.spreadsheetml.revisionLog+xml"/>
  <Override PartName="/xl/revisions/revisionLog69.xml" ContentType="application/vnd.openxmlformats-officedocument.spreadsheetml.revisionLog+xml"/>
  <Override PartName="/xl/revisions/revisionLog8.xml" ContentType="application/vnd.openxmlformats-officedocument.spreadsheetml.revisionLog+xml"/>
  <Override PartName="/xl/revisions/revisionLog51.xml" ContentType="application/vnd.openxmlformats-officedocument.spreadsheetml.revisionLog+xml"/>
  <Override PartName="/xl/revisions/revisionLog72.xml" ContentType="application/vnd.openxmlformats-officedocument.spreadsheetml.revisionLog+xml"/>
  <Override PartName="/xl/revisions/revisionLog3.xml" ContentType="application/vnd.openxmlformats-officedocument.spreadsheetml.revisionLog+xml"/>
  <Override PartName="/xl/revisions/revisionLog12.xml" ContentType="application/vnd.openxmlformats-officedocument.spreadsheetml.revisionLog+xml"/>
  <Override PartName="/xl/revisions/revisionLog17.xml" ContentType="application/vnd.openxmlformats-officedocument.spreadsheetml.revisionLog+xml"/>
  <Override PartName="/xl/revisions/revisionLog25.xml" ContentType="application/vnd.openxmlformats-officedocument.spreadsheetml.revisionLog+xml"/>
  <Override PartName="/xl/revisions/revisionLog33.xml" ContentType="application/vnd.openxmlformats-officedocument.spreadsheetml.revisionLog+xml"/>
  <Override PartName="/xl/revisions/revisionLog38.xml" ContentType="application/vnd.openxmlformats-officedocument.spreadsheetml.revisionLog+xml"/>
  <Override PartName="/xl/revisions/revisionLog46.xml" ContentType="application/vnd.openxmlformats-officedocument.spreadsheetml.revisionLog+xml"/>
  <Override PartName="/xl/revisions/revisionLog59.xml" ContentType="application/vnd.openxmlformats-officedocument.spreadsheetml.revisionLog+xml"/>
  <Override PartName="/xl/revisions/revisionLog67.xml" ContentType="application/vnd.openxmlformats-officedocument.spreadsheetml.revisionLog+xml"/>
  <Override PartName="/xl/revisions/revisionLog20.xml" ContentType="application/vnd.openxmlformats-officedocument.spreadsheetml.revisionLog+xml"/>
  <Override PartName="/xl/revisions/revisionLog41.xml" ContentType="application/vnd.openxmlformats-officedocument.spreadsheetml.revisionLog+xml"/>
  <Override PartName="/xl/revisions/revisionLog54.xml" ContentType="application/vnd.openxmlformats-officedocument.spreadsheetml.revisionLog+xml"/>
  <Override PartName="/xl/revisions/revisionLog62.xml" ContentType="application/vnd.openxmlformats-officedocument.spreadsheetml.revisionLog+xml"/>
  <Override PartName="/xl/revisions/revisionLog70.xml" ContentType="application/vnd.openxmlformats-officedocument.spreadsheetml.revisionLog+xml"/>
  <Override PartName="/xl/revisions/revisionLog1.xml" ContentType="application/vnd.openxmlformats-officedocument.spreadsheetml.revisionLog+xml"/>
  <Override PartName="/xl/revisions/revisionLog6.xml" ContentType="application/vnd.openxmlformats-officedocument.spreadsheetml.revisionLo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workbookPr codeName="ThisWorkbook" defaultThemeVersion="124226"/>
  <mc:AlternateContent xmlns:mc="http://schemas.openxmlformats.org/markup-compatibility/2006">
    <mc:Choice Requires="x15">
      <x15ac:absPath xmlns:x15ac="http://schemas.microsoft.com/office/spreadsheetml/2010/11/ac" url="\\hc-ut40346c\NHI5HC\hieunguyen\0000_Project\001_Prj\02_JOEM\"/>
    </mc:Choice>
  </mc:AlternateContent>
  <bookViews>
    <workbookView xWindow="240" yWindow="105" windowWidth="14805" windowHeight="6540"/>
  </bookViews>
  <sheets>
    <sheet name="COEM_Data_20200414" sheetId="1" r:id="rId1"/>
    <sheet name="Merged" sheetId="2" r:id="rId2"/>
    <sheet name="|-&gt;" sheetId="3" r:id="rId3"/>
    <sheet name="Report_For_Each_Project" sheetId="4" r:id="rId4"/>
    <sheet name="Report_For_Each_Project_COEM" sheetId="5" r:id="rId5"/>
    <sheet name="Template_Total_Report" sheetId="6" r:id="rId6"/>
    <sheet name="Table" sheetId="7" r:id="rId7"/>
    <sheet name="Check_List" sheetId="8" r:id="rId8"/>
    <sheet name="|--&gt;" sheetId="9" r:id="rId9"/>
    <sheet name="Not_Fill_Data_20200321_20200420" sheetId="10" r:id="rId10"/>
    <sheet name="Not_Fill_Data_20200305_20200320" sheetId="11" r:id="rId11"/>
    <sheet name="|---&gt;" sheetId="12" r:id="rId12"/>
    <sheet name="Monthly_20200320" sheetId="13" r:id="rId13"/>
    <sheet name="Monthly_20200420" sheetId="14" r:id="rId14"/>
  </sheets>
  <definedNames>
    <definedName name="_xlnm._FilterDatabase" localSheetId="0" hidden="1">COEM_Data_20200414!$B$47:$AN$312</definedName>
    <definedName name="_xlnm._FilterDatabase" localSheetId="1" hidden="1">Merged!$B$62:$AK$313</definedName>
    <definedName name="_xlnm._FilterDatabase" localSheetId="10" hidden="1">Not_Fill_Data_20200305_20200320!$B$37:$AK$106</definedName>
    <definedName name="_xlnm._FilterDatabase" localSheetId="9" hidden="1">Not_Fill_Data_20200321_20200420!$P$49:$P$219</definedName>
    <definedName name="Z_09E306B4_963E_4EEB_B5A6_D72FB6BE7C43_.wvu.FilterData" localSheetId="0" hidden="1">COEM_Data_20200414!$B$47:$AN$312</definedName>
    <definedName name="Z_0AF6B554_4F79_41B5_8703_A044EFBFC2D9_.wvu.FilterData" localSheetId="10" hidden="1">Not_Fill_Data_20200305_20200320!$P$37:$P$106</definedName>
    <definedName name="Z_0C638EA3_1EFE_4972_8149_F6256F4E2542_.wvu.FilterData" localSheetId="0" hidden="1">COEM_Data_20200414!$S$47:$S$312</definedName>
    <definedName name="Z_0C90D550_B6B4_4D0D_AC5F_CBB72A0D4DD0_.wvu.FilterData" localSheetId="10" hidden="1">Not_Fill_Data_20200305_20200320!$B$37:$AJ$106</definedName>
    <definedName name="Z_1150E7E1_2C1D_4CE6_B5D6_3D69E85D1AD5_.wvu.FilterData" localSheetId="10" hidden="1">Not_Fill_Data_20200305_20200320!$P$37:$P$106</definedName>
    <definedName name="Z_1168C744_4AB4_4E85_8A9A_9BBC73EE9AF5_.wvu.FilterData" localSheetId="10" hidden="1">Not_Fill_Data_20200305_20200320!$P$37:$P$106</definedName>
    <definedName name="Z_116C406F_56EF_4929_AB69_7B88A04CBA56_.wvu.FilterData" localSheetId="1" hidden="1">Merged!$B$62:$AK$248</definedName>
    <definedName name="Z_17568297_DE94_42DB_A62D_8B9302C2B85A_.wvu.FilterData" localSheetId="10" hidden="1">Not_Fill_Data_20200305_20200320!$B$37:$AI$106</definedName>
    <definedName name="Z_1E15BB3C_7168_4B10_A515_9444B5717103_.wvu.FilterData" localSheetId="10" hidden="1">Not_Fill_Data_20200305_20200320!$P$37:$P$106</definedName>
    <definedName name="Z_250915DF_0B97_45D7_B29D_7EED4C89C1C1_.wvu.FilterData" localSheetId="0" hidden="1">COEM_Data_20200414!$B$47:$AN$312</definedName>
    <definedName name="Z_250915DF_0B97_45D7_B29D_7EED4C89C1C1_.wvu.FilterData" localSheetId="1" hidden="1">Merged!$B$62:$AK$313</definedName>
    <definedName name="Z_250915DF_0B97_45D7_B29D_7EED4C89C1C1_.wvu.FilterData" localSheetId="10" hidden="1">Not_Fill_Data_20200305_20200320!$B$37:$AK$106</definedName>
    <definedName name="Z_250915DF_0B97_45D7_B29D_7EED4C89C1C1_.wvu.FilterData" localSheetId="9" hidden="1">Not_Fill_Data_20200321_20200420!$P$49:$P$219</definedName>
    <definedName name="Z_2796A872_74B9_41A6_AD05_2D7FFBF27D76_.wvu.FilterData" localSheetId="10" hidden="1">Not_Fill_Data_20200305_20200320!$B$37:$AI$106</definedName>
    <definedName name="Z_2A07EE45_985F_4D9C_B2F2_70762EEED00D_.wvu.FilterData" localSheetId="10" hidden="1">Not_Fill_Data_20200305_20200320!$P$37:$P$106</definedName>
    <definedName name="Z_336B6883_2145_4B58_921E_CEC7185A847E_.wvu.Cols" localSheetId="10" hidden="1">Not_Fill_Data_20200305_20200320!$M:$N</definedName>
    <definedName name="Z_336B6883_2145_4B58_921E_CEC7185A847E_.wvu.FilterData" localSheetId="0" hidden="1">COEM_Data_20200414!$S$47:$S$312</definedName>
    <definedName name="Z_336B6883_2145_4B58_921E_CEC7185A847E_.wvu.FilterData" localSheetId="1" hidden="1">Merged!$P$62:$P$328</definedName>
    <definedName name="Z_336B6883_2145_4B58_921E_CEC7185A847E_.wvu.FilterData" localSheetId="10" hidden="1">Not_Fill_Data_20200305_20200320!$B$37:$AK$106</definedName>
    <definedName name="Z_336B6883_2145_4B58_921E_CEC7185A847E_.wvu.FilterData" localSheetId="9" hidden="1">Not_Fill_Data_20200321_20200420!$P$49:$P$219</definedName>
    <definedName name="Z_35B0B6AE_086F_4F08_9CA9_A72BF8F13B9D_.wvu.FilterData" localSheetId="10" hidden="1">Not_Fill_Data_20200305_20200320!$B$37:$AJ$106</definedName>
    <definedName name="Z_383BF8A1_6C72_4EB7_9FAB_340FA4A1558F_.wvu.FilterData" localSheetId="10" hidden="1">Not_Fill_Data_20200305_20200320!$P$37:$P$106</definedName>
    <definedName name="Z_39DD71E2_B846_4C8C_AB49_9B8CB0497B26_.wvu.FilterData" localSheetId="0" hidden="1">COEM_Data_20200414!$B$47:$AN$312</definedName>
    <definedName name="Z_3B3E6719_EACB_4D2C_89C1_05FFAB6020FD_.wvu.FilterData" localSheetId="0" hidden="1">COEM_Data_20200414!$B$47:$AN$312</definedName>
    <definedName name="Z_3B3E6719_EACB_4D2C_89C1_05FFAB6020FD_.wvu.FilterData" localSheetId="1" hidden="1">Merged!$B$62:$AK$313</definedName>
    <definedName name="Z_3B3E6719_EACB_4D2C_89C1_05FFAB6020FD_.wvu.FilterData" localSheetId="10" hidden="1">Not_Fill_Data_20200305_20200320!$B$37:$AK$106</definedName>
    <definedName name="Z_3B3E6719_EACB_4D2C_89C1_05FFAB6020FD_.wvu.FilterData" localSheetId="9" hidden="1">Not_Fill_Data_20200321_20200420!$P$49:$P$219</definedName>
    <definedName name="Z_3EA9D389_9FD3_424D_80EB_7EB98E7E73C7_.wvu.FilterData" localSheetId="10" hidden="1">Not_Fill_Data_20200305_20200320!$B$37:$AJ$106</definedName>
    <definedName name="Z_3EE173E3_F30C_4123_BA68_472D213EF7CF_.wvu.FilterData" localSheetId="10" hidden="1">Not_Fill_Data_20200305_20200320!$B$37:$AJ$106</definedName>
    <definedName name="Z_4CB30A01_B265_4347_9C04_C30E108E85ED_.wvu.FilterData" localSheetId="0" hidden="1">COEM_Data_20200414!$S$47:$S$312</definedName>
    <definedName name="Z_4D29A6CE_5922_48BC_BF46_90CE442EBF48_.wvu.FilterData" localSheetId="10" hidden="1">Not_Fill_Data_20200305_20200320!$B$37:$AJ$106</definedName>
    <definedName name="Z_4E06BDBF_2CED_473B_850B_2A6C7311FF41_.wvu.Cols" localSheetId="10" hidden="1">Not_Fill_Data_20200305_20200320!$M:$N</definedName>
    <definedName name="Z_4E06BDBF_2CED_473B_850B_2A6C7311FF41_.wvu.FilterData" localSheetId="10" hidden="1">Not_Fill_Data_20200305_20200320!$Q$37:$Q$106</definedName>
    <definedName name="Z_584FB3CE_102E_4394_9BBE_155B20E57E5A_.wvu.FilterData" localSheetId="1" hidden="1">Merged!$B$62:$AK$257</definedName>
    <definedName name="Z_594856DB_1796_41BA_9D27_B22FF73A30E5_.wvu.FilterData" localSheetId="10" hidden="1">Not_Fill_Data_20200305_20200320!$B$37:$AJ$106</definedName>
    <definedName name="Z_60D2C030_4E31_4E07_8E1C_44D2EE84B177_.wvu.Cols" localSheetId="10" hidden="1">Not_Fill_Data_20200305_20200320!$M:$N</definedName>
    <definedName name="Z_60D2C030_4E31_4E07_8E1C_44D2EE84B177_.wvu.FilterData" localSheetId="10" hidden="1">Not_Fill_Data_20200305_20200320!$B$37:$AI$106</definedName>
    <definedName name="Z_61CEB807_E9ED_472E_B454_EC59CC405474_.wvu.FilterData" localSheetId="0" hidden="1">COEM_Data_20200414!$B$47:$AN$312</definedName>
    <definedName name="Z_67C79A7D_F472_449C_9D1C_B7DCF65495C7_.wvu.FilterData" localSheetId="10" hidden="1">Not_Fill_Data_20200305_20200320!$P$37:$P$106</definedName>
    <definedName name="Z_69246D09_D21B_4AF4_99AA_028EEB2BF6C6_.wvu.FilterData" localSheetId="10" hidden="1">Not_Fill_Data_20200305_20200320!$B$37:$AJ$37</definedName>
    <definedName name="Z_70A317F3_C66F_4792_8B73_8C65CF69E316_.wvu.FilterData" localSheetId="10" hidden="1">Not_Fill_Data_20200305_20200320!$B$37:$AJ$106</definedName>
    <definedName name="Z_72A6EB0A_84D5_4B8A_AC51_54CCD061630B_.wvu.Cols" localSheetId="10" hidden="1">Not_Fill_Data_20200305_20200320!$M:$N</definedName>
    <definedName name="Z_72A6EB0A_84D5_4B8A_AC51_54CCD061630B_.wvu.FilterData" localSheetId="1" hidden="1">Merged!$B$62:$AK$270</definedName>
    <definedName name="Z_72A6EB0A_84D5_4B8A_AC51_54CCD061630B_.wvu.FilterData" localSheetId="10" hidden="1">Not_Fill_Data_20200305_20200320!$P$37:$P$106</definedName>
    <definedName name="Z_72A6EB0A_84D5_4B8A_AC51_54CCD061630B_.wvu.FilterData" localSheetId="9" hidden="1">Not_Fill_Data_20200321_20200420!$B$49:$AK$188</definedName>
    <definedName name="Z_737B379B_6C1E_44B7_8265_30C1FE0980AB_.wvu.FilterData" localSheetId="10" hidden="1">Not_Fill_Data_20200305_20200320!$P$37:$P$106</definedName>
    <definedName name="Z_740DC6B1_F8A3_42A4_9DBA_B7F4B4302024_.wvu.FilterData" localSheetId="10" hidden="1">Not_Fill_Data_20200305_20200320!$B$37:$AI$37</definedName>
    <definedName name="Z_75EBBE3D_6BBB_4DA6_9D69_395330ADF817_.wvu.FilterData" localSheetId="10" hidden="1">Not_Fill_Data_20200305_20200320!$B$37:$AJ$106</definedName>
    <definedName name="Z_7E0EA425_A420_4443_B9E0_CDF0AA9E5D09_.wvu.Cols" localSheetId="10" hidden="1">Not_Fill_Data_20200305_20200320!$M:$N</definedName>
    <definedName name="Z_7E0EA425_A420_4443_B9E0_CDF0AA9E5D09_.wvu.FilterData" localSheetId="10" hidden="1">Not_Fill_Data_20200305_20200320!$Q$37:$Q$106</definedName>
    <definedName name="Z_7ECC2B8E_6A82_42F5_8AB0_4A51C54EA5EC_.wvu.FilterData" localSheetId="0" hidden="1">COEM_Data_20200414!$B$47:$AN$312</definedName>
    <definedName name="Z_7ECC2B8E_6A82_42F5_8AB0_4A51C54EA5EC_.wvu.FilterData" localSheetId="1" hidden="1">Merged!$B$62:$AK$313</definedName>
    <definedName name="Z_7ECC2B8E_6A82_42F5_8AB0_4A51C54EA5EC_.wvu.FilterData" localSheetId="10" hidden="1">Not_Fill_Data_20200305_20200320!$B$37:$AK$106</definedName>
    <definedName name="Z_7ECC2B8E_6A82_42F5_8AB0_4A51C54EA5EC_.wvu.FilterData" localSheetId="9" hidden="1">Not_Fill_Data_20200321_20200420!$P$49:$P$219</definedName>
    <definedName name="Z_831DBE34_7170_4C2C_BEC0_C0BB0F43411E_.wvu.FilterData" localSheetId="0" hidden="1">COEM_Data_20200414!$B$47:$AN$312</definedName>
    <definedName name="Z_839DFCBD_B2E4_4623_A615_58494692EC74_.wvu.FilterData" localSheetId="10" hidden="1">Not_Fill_Data_20200305_20200320!$Q$37:$Q$106</definedName>
    <definedName name="Z_843927FB_A719_4270_9223_EFB2FBBCCF4A_.wvu.FilterData" localSheetId="0" hidden="1">COEM_Data_20200414!$B$47:$AN$312</definedName>
    <definedName name="Z_84D23DBB_1B5D_467A_B0D7_003D059263EA_.wvu.FilterData" localSheetId="0" hidden="1">COEM_Data_20200414!$B$47:$AN$230</definedName>
    <definedName name="Z_902DB6BE_782F_4AF1_882D_595300CD641F_.wvu.FilterData" localSheetId="0" hidden="1">COEM_Data_20200414!$B$47:$AN$312</definedName>
    <definedName name="Z_967144E0_084F_42F6_8827_586DBFA5F155_.wvu.FilterData" localSheetId="0" hidden="1">COEM_Data_20200414!$B$47:$AN$150</definedName>
    <definedName name="Z_9BBC5FBB_CEC7_4B7E_8FC1_DC9F240B7B1A_.wvu.FilterData" localSheetId="10" hidden="1">Not_Fill_Data_20200305_20200320!$B$37:$AI$106</definedName>
    <definedName name="Z_9BE24FAD_3F95_4380_A044_DEA13E215CBD_.wvu.FilterData" localSheetId="10" hidden="1">Not_Fill_Data_20200305_20200320!$P$37:$P$106</definedName>
    <definedName name="Z_9D3E4B28_0838_49DF_A999_ABD4CA99B9BE_.wvu.FilterData" localSheetId="0" hidden="1">COEM_Data_20200414!$S$47:$S$312</definedName>
    <definedName name="Z_9ED4B296_E9A0_43D8_A56B_F4D7CC736352_.wvu.FilterData" localSheetId="10" hidden="1">Not_Fill_Data_20200305_20200320!$B$37:$AI$37</definedName>
    <definedName name="Z_9F71BD87_3D6B_4ECC_8F25_76D9BD329ECD_.wvu.FilterData" localSheetId="0" hidden="1">COEM_Data_20200414!$B$47:$AN$150</definedName>
    <definedName name="Z_A239C479_B2DC_4DCA_A930_634A835634B0_.wvu.FilterData" localSheetId="10" hidden="1">Not_Fill_Data_20200305_20200320!$B$37:$AI$106</definedName>
    <definedName name="Z_A2C66332_A809_458E_971B_FDB6D62C74C3_.wvu.Cols" localSheetId="0" hidden="1">COEM_Data_20200414!$K:$R</definedName>
    <definedName name="Z_A2C66332_A809_458E_971B_FDB6D62C74C3_.wvu.FilterData" localSheetId="0" hidden="1">COEM_Data_20200414!$B$47:$AN$312</definedName>
    <definedName name="Z_A2C66332_A809_458E_971B_FDB6D62C74C3_.wvu.FilterData" localSheetId="1" hidden="1">Merged!$B$62:$AK$313</definedName>
    <definedName name="Z_A2C66332_A809_458E_971B_FDB6D62C74C3_.wvu.FilterData" localSheetId="10" hidden="1">Not_Fill_Data_20200305_20200320!$B$37:$AK$106</definedName>
    <definedName name="Z_A2C66332_A809_458E_971B_FDB6D62C74C3_.wvu.FilterData" localSheetId="9" hidden="1">Not_Fill_Data_20200321_20200420!$P$49:$P$219</definedName>
    <definedName name="Z_A51EBE84_CBC8_46F9_AE0C_B070690415D4_.wvu.FilterData" localSheetId="10" hidden="1">Not_Fill_Data_20200305_20200320!$Q$37:$Q$106</definedName>
    <definedName name="Z_A660862E_E137_45E6_9126_F71C85FD8B0C_.wvu.FilterData" localSheetId="1" hidden="1">Merged!$B$62:$AK$257</definedName>
    <definedName name="Z_ADBE09D2_E4D9_43FD_AF4C_63AABF083C5B_.wvu.FilterData" localSheetId="0" hidden="1">COEM_Data_20200414!$B$47:$AN$312</definedName>
    <definedName name="Z_B241921A_0CBC_49AA_A8A2_0D36548A87E5_.wvu.FilterData" localSheetId="0" hidden="1">COEM_Data_20200414!$S$47:$S$144</definedName>
    <definedName name="Z_B774582B_7EBF_4CD7_9254_3F8D6D8E970E_.wvu.FilterData" localSheetId="0" hidden="1">COEM_Data_20200414!$B$47:$AN$230</definedName>
    <definedName name="Z_B9C2A033_A4A2_459E_9F48_B4568E60ACBD_.wvu.FilterData" localSheetId="0" hidden="1">COEM_Data_20200414!$B$47:$AN$150</definedName>
    <definedName name="Z_BB3009C7_68B7_47A8_AEF4_8FDCB1773602_.wvu.FilterData" localSheetId="0" hidden="1">COEM_Data_20200414!$B$47:$AN$312</definedName>
    <definedName name="Z_BBAE6BD0_8958_494E_83AF_3471AF879750_.wvu.FilterData" localSheetId="10" hidden="1">Not_Fill_Data_20200305_20200320!$B$37:$AI$106</definedName>
    <definedName name="Z_BC540321_E8DB_4542_BCB2_E7256206718C_.wvu.FilterData" localSheetId="10" hidden="1">Not_Fill_Data_20200305_20200320!$P$37:$P$106</definedName>
    <definedName name="Z_BFE28FD3_FC05_47D2_B394_F3516A4D0AB3_.wvu.FilterData" localSheetId="1" hidden="1">Merged!$B$62:$AK$270</definedName>
    <definedName name="Z_C1F15953_958D_40A9_94B7_412186E75914_.wvu.FilterData" localSheetId="0" hidden="1">COEM_Data_20200414!$B$47:$AN$312</definedName>
    <definedName name="Z_D33AC7AF_C8AB_4CE9_94C7_9237011A5FC3_.wvu.FilterData" localSheetId="0" hidden="1">COEM_Data_20200414!$B$47:$AN$312</definedName>
    <definedName name="Z_D33AC7AF_C8AB_4CE9_94C7_9237011A5FC3_.wvu.FilterData" localSheetId="1" hidden="1">Merged!$P$62:$P$328</definedName>
    <definedName name="Z_D33AC7AF_C8AB_4CE9_94C7_9237011A5FC3_.wvu.FilterData" localSheetId="10" hidden="1">Not_Fill_Data_20200305_20200320!$B$37:$AK$106</definedName>
    <definedName name="Z_D33AC7AF_C8AB_4CE9_94C7_9237011A5FC3_.wvu.FilterData" localSheetId="9" hidden="1">Not_Fill_Data_20200321_20200420!$P$49:$P$219</definedName>
    <definedName name="Z_D5F9A537_3EF6_4FA9_94D8_ABB431F3ED7F_.wvu.FilterData" localSheetId="10" hidden="1">Not_Fill_Data_20200305_20200320!$Q$37:$Q$106</definedName>
    <definedName name="Z_DBB12528_829B_4A04_AB29_56E67937DC49_.wvu.FilterData" localSheetId="0" hidden="1">COEM_Data_20200414!$B$47:$AN$150</definedName>
    <definedName name="Z_E5223EEB_1CC4_41F4_8F6A_1BF12F1A8814_.wvu.FilterData" localSheetId="10" hidden="1">Not_Fill_Data_20200305_20200320!$B$37:$AJ$37</definedName>
    <definedName name="Z_E8991E61_6D05_4C3B_B928_FD787FF86F58_.wvu.FilterData" localSheetId="10" hidden="1">Not_Fill_Data_20200305_20200320!$Q$37:$Q$106</definedName>
    <definedName name="Z_EB30279F_71BB_4BBD_A7EE_691D83FBCC50_.wvu.FilterData" localSheetId="1" hidden="1">Merged!$B$62:$AK$270</definedName>
    <definedName name="Z_EB30279F_71BB_4BBD_A7EE_691D83FBCC50_.wvu.FilterData" localSheetId="9" hidden="1">Not_Fill_Data_20200321_20200420!$B$49:$AK$188</definedName>
    <definedName name="Z_F1CFDE0E_BA5F_49F4_A18C_858CC505F541_.wvu.FilterData" localSheetId="10" hidden="1">Not_Fill_Data_20200305_20200320!$P$37:$P$106</definedName>
    <definedName name="Z_F1F665DA_DD80_464D_9261_4AC1574C3783_.wvu.FilterData" localSheetId="0" hidden="1">COEM_Data_20200414!$B$47:$AN$150</definedName>
    <definedName name="Z_F65FE831_3420_4FFA_8912_4403CE503213_.wvu.FilterData" localSheetId="0" hidden="1">COEM_Data_20200414!$B$47:$AN$230</definedName>
    <definedName name="Z_F7FEA3D1_12D3_472F_AD10_9C075C650610_.wvu.FilterData" localSheetId="10" hidden="1">Not_Fill_Data_20200305_20200320!$P$37:$P$106</definedName>
  </definedNames>
  <calcPr calcId="162913" calcOnSave="0"/>
  <customWorkbookViews>
    <customWorkbookView name="EXTERNAL Nguyen Trung Hieu (Ban Vien, RBVH/EPS45) - Personal View" guid="{250915DF-0B97-45D7-B29D-7EED4C89C1C1}" mergeInterval="0" personalView="1" maximized="1" xWindow="-8" yWindow="-8" windowWidth="1936" windowHeight="1176" activeSheetId="1"/>
    <customWorkbookView name="EXTERNAL Do Anh Huy (Ban Vien Company, RBVH/EPS45) - Personal View" guid="{D33AC7AF-C8AB-4CE9-94C7-9237011A5FC3}" mergeInterval="0" personalView="1" maximized="1" xWindow="-8" yWindow="-8" windowWidth="1936" windowHeight="1176" activeSheetId="1"/>
    <customWorkbookView name="EXTERNAL Luu Cong Dac (Ban Vien, RBVH/EPS45) - Personal View" guid="{336B6883-2145-4B58-921E-CEC7185A847E}" mergeInterval="0" personalView="1" maximized="1" xWindow="-8" yWindow="-8" windowWidth="1936" windowHeight="1176" tabRatio="428" activeSheetId="1"/>
    <customWorkbookView name="EXTERNAL Nguyen Duy Bang (Ban Vien, RBVH/EPS45) - Personal View" guid="{A2C66332-A809-458E-971B-FDB6D62C74C3}" mergeInterval="0" personalView="1" maximized="1" xWindow="-8" yWindow="-8" windowWidth="1936" windowHeight="1176" activeSheetId="1"/>
    <customWorkbookView name="EXTERNAL Nguyen Tai Hau (Ban Vien, RBVH/EPS45) - Personal View" guid="{7ECC2B8E-6A82-42F5-8AB0-4A51C54EA5EC}" mergeInterval="0" personalView="1" maximized="1" xWindow="-8" yWindow="-8" windowWidth="1936" windowHeight="1176" activeSheetId="1"/>
    <customWorkbookView name="EXTERNAL Nguyen Kim Thanh (Ban Vien, RBVH/EPS45) - Personal View" guid="{4E06BDBF-2CED-473B-850B-2A6C7311FF41}" mergeInterval="0" personalView="1" maximized="1" xWindow="-8" yWindow="-8" windowWidth="1936" windowHeight="1176" activeSheetId="11"/>
    <customWorkbookView name="EXTERNAL Nguyen Tuan Duong (Ban Vien, RBVH/EPS45) - Personal View" guid="{7E0EA425-A420-4443-B9E0-CDF0AA9E5D09}" mergeInterval="0" personalView="1" maximized="1" xWindow="-8" yWindow="-8" windowWidth="1936" windowHeight="1176" activeSheetId="11"/>
    <customWorkbookView name="EXTERNAL Ly Chung (Ban Vien, RBVH/EPS45) - Personal View" guid="{60D2C030-4E31-4E07-8E1C-44D2EE84B177}" mergeInterval="0" personalView="1" maximized="1" xWindow="-8" yWindow="-8" windowWidth="1936" windowHeight="1186" tabRatio="428" activeSheetId="11"/>
    <customWorkbookView name="EXTERNAL Do Phu Loc (Ban Vien, RBVH/EPS45) - Personal View" guid="{72A6EB0A-84D5-4B8A-AC51-54CCD061630B}" mergeInterval="0" personalView="1" maximized="1" xWindow="-8" yWindow="-8" windowWidth="1936" windowHeight="1176" tabRatio="428" activeSheetId="10"/>
    <customWorkbookView name="GUP7HC - Personal View" guid="{3B3E6719-EACB-4D2C-89C1-05FFAB6020FD}" mergeInterval="0" personalView="1" maximized="1" xWindow="-8" yWindow="-8" windowWidth="1936" windowHeight="1186" activeSheetId="1"/>
  </customWorkbookViews>
</workbook>
</file>

<file path=xl/calcChain.xml><?xml version="1.0" encoding="utf-8"?>
<calcChain xmlns="http://schemas.openxmlformats.org/spreadsheetml/2006/main">
  <c r="W157" i="1" l="1"/>
  <c r="W156" i="1"/>
  <c r="W155" i="1"/>
  <c r="Y155" i="1" l="1"/>
  <c r="X155" i="1"/>
  <c r="Y156" i="1"/>
  <c r="X156" i="1"/>
  <c r="Y157" i="1"/>
  <c r="X157" i="1"/>
  <c r="C29" i="5"/>
  <c r="C28" i="5"/>
  <c r="C17" i="5"/>
  <c r="C16" i="5"/>
  <c r="H34" i="5"/>
  <c r="G34" i="5"/>
  <c r="F34" i="5"/>
  <c r="E34" i="5"/>
  <c r="H22" i="5"/>
  <c r="G22" i="5"/>
  <c r="F22" i="5"/>
  <c r="E22" i="5"/>
  <c r="H10" i="5"/>
  <c r="G10" i="5"/>
  <c r="F10" i="5"/>
  <c r="E10" i="5"/>
  <c r="U10" i="5"/>
  <c r="T10" i="5"/>
  <c r="S10" i="5"/>
  <c r="R10" i="5"/>
  <c r="P5" i="5"/>
  <c r="P4" i="5"/>
  <c r="G160" i="4"/>
  <c r="G161" i="4"/>
  <c r="C4" i="5"/>
  <c r="C5" i="5"/>
  <c r="W230" i="1"/>
  <c r="Y230" i="1" s="1"/>
  <c r="W229" i="1"/>
  <c r="Y229" i="1" s="1"/>
  <c r="W228" i="1"/>
  <c r="Y228" i="1" s="1"/>
  <c r="W227" i="1"/>
  <c r="Y227" i="1" s="1"/>
  <c r="W226" i="1"/>
  <c r="Y226" i="1" s="1"/>
  <c r="W225" i="1"/>
  <c r="Y225" i="1" s="1"/>
  <c r="W224" i="1"/>
  <c r="Y224" i="1" s="1"/>
  <c r="W223" i="1"/>
  <c r="Y223" i="1" s="1"/>
  <c r="W222" i="1"/>
  <c r="Y222" i="1" s="1"/>
  <c r="W221" i="1"/>
  <c r="Y221" i="1" s="1"/>
  <c r="W220" i="1"/>
  <c r="Y220" i="1" s="1"/>
  <c r="W219" i="1"/>
  <c r="Y219" i="1" s="1"/>
  <c r="W218" i="1"/>
  <c r="Y218" i="1" s="1"/>
  <c r="W217" i="1"/>
  <c r="Y217" i="1" s="1"/>
  <c r="W216" i="1"/>
  <c r="Y216" i="1" s="1"/>
  <c r="W215" i="1"/>
  <c r="Y215" i="1" s="1"/>
  <c r="W214" i="1"/>
  <c r="Y214" i="1" s="1"/>
  <c r="W213" i="1"/>
  <c r="Y213" i="1" s="1"/>
  <c r="W212" i="1"/>
  <c r="Y212" i="1" s="1"/>
  <c r="W211" i="1"/>
  <c r="Y211" i="1" s="1"/>
  <c r="W210" i="1"/>
  <c r="Y210" i="1" s="1"/>
  <c r="W209" i="1"/>
  <c r="Y209" i="1" s="1"/>
  <c r="W208" i="1"/>
  <c r="Y208" i="1" s="1"/>
  <c r="W207" i="1"/>
  <c r="Y207" i="1" s="1"/>
  <c r="W206" i="1"/>
  <c r="Y206" i="1" s="1"/>
  <c r="W205" i="1"/>
  <c r="Y205" i="1" s="1"/>
  <c r="W204" i="1"/>
  <c r="Y204" i="1" s="1"/>
  <c r="W203" i="1"/>
  <c r="Y203" i="1" s="1"/>
  <c r="W202" i="1"/>
  <c r="Y202" i="1" s="1"/>
  <c r="W201" i="1"/>
  <c r="Y201" i="1" s="1"/>
  <c r="W200" i="1"/>
  <c r="Y200" i="1" s="1"/>
  <c r="W199" i="1"/>
  <c r="Y199" i="1" s="1"/>
  <c r="W198" i="1"/>
  <c r="Y198" i="1" s="1"/>
  <c r="W197" i="1"/>
  <c r="Y197" i="1" s="1"/>
  <c r="W196" i="1"/>
  <c r="Y196" i="1" s="1"/>
  <c r="W195" i="1"/>
  <c r="Y195" i="1" s="1"/>
  <c r="W194" i="1"/>
  <c r="Y194" i="1" s="1"/>
  <c r="W193" i="1"/>
  <c r="Y193" i="1" s="1"/>
  <c r="W192" i="1"/>
  <c r="Y192" i="1" s="1"/>
  <c r="W191" i="1"/>
  <c r="Y191" i="1" s="1"/>
  <c r="W190" i="1"/>
  <c r="Y190" i="1" s="1"/>
  <c r="W189" i="1"/>
  <c r="Y189" i="1" s="1"/>
  <c r="W188" i="1"/>
  <c r="Y188" i="1" s="1"/>
  <c r="W187" i="1"/>
  <c r="Y187" i="1" s="1"/>
  <c r="W186" i="1"/>
  <c r="Y186" i="1" s="1"/>
  <c r="W185" i="1"/>
  <c r="Y185" i="1" s="1"/>
  <c r="W184" i="1"/>
  <c r="Y184" i="1" s="1"/>
  <c r="W183" i="1"/>
  <c r="Y183" i="1" s="1"/>
  <c r="W182" i="1"/>
  <c r="Y182" i="1" s="1"/>
  <c r="W181" i="1"/>
  <c r="Y181" i="1" s="1"/>
  <c r="W180" i="1"/>
  <c r="Y180" i="1" s="1"/>
  <c r="W179" i="1"/>
  <c r="Y179" i="1" s="1"/>
  <c r="W178" i="1"/>
  <c r="Y178" i="1" s="1"/>
  <c r="W177" i="1"/>
  <c r="Y177" i="1" s="1"/>
  <c r="W176" i="1"/>
  <c r="Y176" i="1" s="1"/>
  <c r="W175" i="1"/>
  <c r="Y175" i="1" s="1"/>
  <c r="W174" i="1"/>
  <c r="Y174" i="1" s="1"/>
  <c r="W173" i="1"/>
  <c r="Y173" i="1" s="1"/>
  <c r="W172" i="1"/>
  <c r="Y172" i="1" s="1"/>
  <c r="W171" i="1"/>
  <c r="Y171" i="1" s="1"/>
  <c r="W170" i="1"/>
  <c r="Y170" i="1" s="1"/>
  <c r="W169" i="1"/>
  <c r="Y169" i="1" s="1"/>
  <c r="W168" i="1"/>
  <c r="Y168" i="1" s="1"/>
  <c r="W167" i="1"/>
  <c r="Y167" i="1" s="1"/>
  <c r="W166" i="1"/>
  <c r="Y166" i="1" s="1"/>
  <c r="W165" i="1"/>
  <c r="Y165" i="1" s="1"/>
  <c r="W164" i="1"/>
  <c r="Y164" i="1" s="1"/>
  <c r="W163" i="1"/>
  <c r="Y163" i="1" s="1"/>
  <c r="W162" i="1"/>
  <c r="Y162" i="1" s="1"/>
  <c r="W161" i="1"/>
  <c r="Y161" i="1" s="1"/>
  <c r="W160" i="1"/>
  <c r="Y160" i="1" s="1"/>
  <c r="W159" i="1"/>
  <c r="Y159" i="1" s="1"/>
  <c r="W158" i="1"/>
  <c r="Y158" i="1" s="1"/>
  <c r="W154" i="1"/>
  <c r="W153" i="1"/>
  <c r="W152" i="1"/>
  <c r="W151" i="1"/>
  <c r="Y151" i="1" l="1"/>
  <c r="X151" i="1"/>
  <c r="Y154" i="1"/>
  <c r="X154" i="1"/>
  <c r="Y152" i="1"/>
  <c r="X152" i="1"/>
  <c r="Y153" i="1"/>
  <c r="X153" i="1"/>
  <c r="I22" i="5"/>
  <c r="I34" i="5"/>
  <c r="V10" i="5"/>
  <c r="W150" i="1"/>
  <c r="W149" i="1"/>
  <c r="W148" i="1"/>
  <c r="W147" i="1"/>
  <c r="W146" i="1"/>
  <c r="W145" i="1"/>
  <c r="X145" i="1" s="1"/>
  <c r="Y148" i="1" l="1"/>
  <c r="X148" i="1"/>
  <c r="Y146" i="1"/>
  <c r="X146" i="1"/>
  <c r="Y150" i="1"/>
  <c r="X150" i="1"/>
  <c r="Y147" i="1"/>
  <c r="X147" i="1"/>
  <c r="Y149" i="1"/>
  <c r="X149" i="1"/>
  <c r="Y145" i="1"/>
  <c r="E33" i="5"/>
  <c r="H186" i="4"/>
  <c r="G186" i="4"/>
  <c r="F186" i="4"/>
  <c r="E186" i="4"/>
  <c r="H185" i="4"/>
  <c r="G185" i="4"/>
  <c r="C179" i="4" s="1"/>
  <c r="F185" i="4"/>
  <c r="E185" i="4"/>
  <c r="C181" i="4"/>
  <c r="C180" i="4"/>
  <c r="G33" i="5" l="1"/>
  <c r="C27" i="5" s="1"/>
  <c r="I185" i="4"/>
  <c r="I186" i="4"/>
  <c r="W144" i="1"/>
  <c r="X144" i="1" s="1"/>
  <c r="Y144" i="1" l="1"/>
  <c r="G21" i="5" s="1"/>
  <c r="C15" i="5" s="1"/>
  <c r="E21" i="5"/>
  <c r="F14" i="1"/>
  <c r="F4" i="1"/>
  <c r="F5" i="1"/>
  <c r="F6" i="1"/>
  <c r="F7" i="1"/>
  <c r="D8" i="1"/>
  <c r="E8" i="1"/>
  <c r="F8" i="1"/>
  <c r="D9" i="1"/>
  <c r="E9" i="1"/>
  <c r="F9" i="1"/>
  <c r="D10" i="1"/>
  <c r="E10" i="1"/>
  <c r="F10" i="1"/>
  <c r="D11" i="1"/>
  <c r="E11" i="1"/>
  <c r="F11" i="1"/>
  <c r="F12" i="1"/>
  <c r="F13" i="1"/>
  <c r="H8" i="1" l="1"/>
  <c r="H9" i="1"/>
  <c r="G9" i="1"/>
  <c r="G10" i="1"/>
  <c r="G11" i="1"/>
  <c r="H10" i="1"/>
  <c r="H11" i="1"/>
  <c r="G8" i="1"/>
  <c r="C169" i="4"/>
  <c r="C168" i="4"/>
  <c r="C143" i="4"/>
  <c r="C142" i="4"/>
  <c r="C156" i="4"/>
  <c r="C155" i="4"/>
  <c r="C129" i="4"/>
  <c r="C128" i="4"/>
  <c r="H174" i="4"/>
  <c r="G174" i="4"/>
  <c r="F174" i="4"/>
  <c r="E174" i="4"/>
  <c r="H173" i="4"/>
  <c r="G173" i="4"/>
  <c r="C167" i="4" s="1"/>
  <c r="E9" i="4"/>
  <c r="I174" i="4" l="1"/>
  <c r="W143" i="1"/>
  <c r="X143" i="1" s="1"/>
  <c r="W142" i="1"/>
  <c r="X142" i="1" s="1"/>
  <c r="W141" i="1"/>
  <c r="X141" i="1" s="1"/>
  <c r="W140" i="1"/>
  <c r="X140" i="1" s="1"/>
  <c r="W139" i="1"/>
  <c r="W138" i="1"/>
  <c r="W137" i="1"/>
  <c r="X137" i="1" s="1"/>
  <c r="W136" i="1"/>
  <c r="W135" i="1"/>
  <c r="X135" i="1" s="1"/>
  <c r="W134" i="1"/>
  <c r="X134" i="1" s="1"/>
  <c r="W133" i="1"/>
  <c r="X133" i="1" s="1"/>
  <c r="W132" i="1"/>
  <c r="X132" i="1" s="1"/>
  <c r="W131" i="1"/>
  <c r="X131" i="1" s="1"/>
  <c r="W130" i="1"/>
  <c r="X130" i="1" s="1"/>
  <c r="W129" i="1"/>
  <c r="X129" i="1" s="1"/>
  <c r="W128" i="1"/>
  <c r="W127" i="1"/>
  <c r="W126" i="1"/>
  <c r="X126" i="1" s="1"/>
  <c r="W125" i="1"/>
  <c r="W124" i="1"/>
  <c r="W123" i="1"/>
  <c r="Y123" i="1" s="1"/>
  <c r="W122" i="1"/>
  <c r="W121" i="1"/>
  <c r="W120" i="1"/>
  <c r="W119" i="1"/>
  <c r="W118" i="1"/>
  <c r="W117" i="1"/>
  <c r="W116" i="1"/>
  <c r="W115" i="1"/>
  <c r="W114" i="1"/>
  <c r="X114" i="1" s="1"/>
  <c r="Y121" i="1" l="1"/>
  <c r="X121" i="1"/>
  <c r="Y118" i="1"/>
  <c r="X118" i="1"/>
  <c r="Y122" i="1"/>
  <c r="X122" i="1"/>
  <c r="Y138" i="1"/>
  <c r="X138" i="1"/>
  <c r="Y115" i="1"/>
  <c r="X115" i="1"/>
  <c r="Y119" i="1"/>
  <c r="X119" i="1"/>
  <c r="Y117" i="1"/>
  <c r="X117" i="1"/>
  <c r="Y125" i="1"/>
  <c r="X125" i="1"/>
  <c r="Y139" i="1"/>
  <c r="X139" i="1"/>
  <c r="Y116" i="1"/>
  <c r="X116" i="1"/>
  <c r="Y120" i="1"/>
  <c r="X120" i="1"/>
  <c r="Y124" i="1"/>
  <c r="X124" i="1"/>
  <c r="Y136" i="1"/>
  <c r="X136" i="1"/>
  <c r="Y140" i="1"/>
  <c r="Y137" i="1"/>
  <c r="Y142" i="1"/>
  <c r="Y128" i="1"/>
  <c r="X128" i="1"/>
  <c r="Y132" i="1"/>
  <c r="Y129" i="1"/>
  <c r="Y133" i="1"/>
  <c r="Y141" i="1"/>
  <c r="Y130" i="1"/>
  <c r="Y134" i="1"/>
  <c r="Y127" i="1"/>
  <c r="X127" i="1"/>
  <c r="Y131" i="1"/>
  <c r="Y135" i="1"/>
  <c r="Y143" i="1"/>
  <c r="Y114" i="1"/>
  <c r="Y126" i="1"/>
  <c r="W113" i="1"/>
  <c r="W112" i="1"/>
  <c r="W111" i="1"/>
  <c r="W110" i="1"/>
  <c r="W109" i="1"/>
  <c r="W108" i="1"/>
  <c r="W107" i="1"/>
  <c r="W106" i="1"/>
  <c r="W105" i="1"/>
  <c r="W104" i="1"/>
  <c r="W103" i="1"/>
  <c r="W102" i="1"/>
  <c r="W101" i="1"/>
  <c r="W100" i="1"/>
  <c r="W99" i="1"/>
  <c r="W98" i="1"/>
  <c r="W97" i="1"/>
  <c r="W96" i="1"/>
  <c r="W95" i="1"/>
  <c r="W94" i="1"/>
  <c r="W93" i="1"/>
  <c r="W92" i="1"/>
  <c r="W91" i="1"/>
  <c r="W90" i="1"/>
  <c r="W89" i="1"/>
  <c r="W88" i="1"/>
  <c r="W87" i="1"/>
  <c r="W86" i="1"/>
  <c r="W85" i="1"/>
  <c r="W84" i="1"/>
  <c r="X84" i="1" s="1"/>
  <c r="W83" i="1"/>
  <c r="Y83" i="1" s="1"/>
  <c r="W82" i="1"/>
  <c r="Y82" i="1" s="1"/>
  <c r="W81" i="1"/>
  <c r="Y81" i="1" s="1"/>
  <c r="W76" i="1"/>
  <c r="W75" i="1"/>
  <c r="W74" i="1"/>
  <c r="W73" i="1"/>
  <c r="W72" i="1"/>
  <c r="W71" i="1"/>
  <c r="W70" i="1"/>
  <c r="W69" i="1"/>
  <c r="R9" i="5" s="1"/>
  <c r="W68" i="1"/>
  <c r="W67" i="1"/>
  <c r="W66" i="1"/>
  <c r="X66" i="1" s="1"/>
  <c r="W65" i="1"/>
  <c r="Y65" i="1" s="1"/>
  <c r="W64" i="1"/>
  <c r="W63" i="1"/>
  <c r="W62" i="1"/>
  <c r="W61" i="1"/>
  <c r="W60" i="1"/>
  <c r="W59" i="1"/>
  <c r="W58" i="1"/>
  <c r="X58" i="1" s="1"/>
  <c r="W57" i="1"/>
  <c r="W56" i="1"/>
  <c r="W55" i="1"/>
  <c r="W54" i="1"/>
  <c r="W53" i="1"/>
  <c r="W52" i="1"/>
  <c r="W51" i="1"/>
  <c r="W50" i="1"/>
  <c r="W49" i="1"/>
  <c r="W48" i="1"/>
  <c r="Y90" i="1" l="1"/>
  <c r="X90" i="1"/>
  <c r="Y97" i="1"/>
  <c r="X97" i="1"/>
  <c r="Y98" i="1"/>
  <c r="X98" i="1"/>
  <c r="Y95" i="1"/>
  <c r="X95" i="1"/>
  <c r="Y96" i="1"/>
  <c r="X96" i="1"/>
  <c r="E13" i="1"/>
  <c r="G13" i="1" s="1"/>
  <c r="D13" i="1"/>
  <c r="Y72" i="1"/>
  <c r="X72" i="1"/>
  <c r="Y76" i="1"/>
  <c r="X76" i="1"/>
  <c r="Y88" i="1"/>
  <c r="X88" i="1"/>
  <c r="Y92" i="1"/>
  <c r="X92" i="1"/>
  <c r="Y73" i="1"/>
  <c r="X73" i="1"/>
  <c r="Y74" i="1"/>
  <c r="X74" i="1"/>
  <c r="Y94" i="1"/>
  <c r="X94" i="1"/>
  <c r="Y75" i="1"/>
  <c r="X75" i="1"/>
  <c r="Y91" i="1"/>
  <c r="X91" i="1"/>
  <c r="Y89" i="1"/>
  <c r="X89" i="1"/>
  <c r="Y93" i="1"/>
  <c r="X93" i="1"/>
  <c r="E9" i="5"/>
  <c r="Y100" i="1"/>
  <c r="X100" i="1"/>
  <c r="Y99" i="1"/>
  <c r="X99" i="1"/>
  <c r="Y111" i="1"/>
  <c r="X111" i="1"/>
  <c r="Y112" i="1"/>
  <c r="X112" i="1"/>
  <c r="Y113" i="1"/>
  <c r="X113" i="1"/>
  <c r="Y106" i="1"/>
  <c r="X106" i="1"/>
  <c r="Y110" i="1"/>
  <c r="X110" i="1"/>
  <c r="Y107" i="1"/>
  <c r="X107" i="1"/>
  <c r="Y108" i="1"/>
  <c r="X108" i="1"/>
  <c r="Y109" i="1"/>
  <c r="X109" i="1"/>
  <c r="Y104" i="1"/>
  <c r="X104" i="1"/>
  <c r="Y105" i="1"/>
  <c r="X105" i="1"/>
  <c r="E12" i="1"/>
  <c r="D12" i="1"/>
  <c r="Y103" i="1"/>
  <c r="X103" i="1"/>
  <c r="Y68" i="1"/>
  <c r="X68" i="1"/>
  <c r="Y69" i="1"/>
  <c r="T9" i="5" s="1"/>
  <c r="P3" i="5" s="1"/>
  <c r="X69" i="1"/>
  <c r="Y70" i="1"/>
  <c r="X70" i="1"/>
  <c r="Y67" i="1"/>
  <c r="X67" i="1"/>
  <c r="Y71" i="1"/>
  <c r="X71" i="1"/>
  <c r="Y52" i="1"/>
  <c r="X52" i="1"/>
  <c r="Y85" i="1"/>
  <c r="X85" i="1"/>
  <c r="Y56" i="1"/>
  <c r="X56" i="1"/>
  <c r="Y53" i="1"/>
  <c r="X53" i="1"/>
  <c r="Y57" i="1"/>
  <c r="X57" i="1"/>
  <c r="Y54" i="1"/>
  <c r="X54" i="1"/>
  <c r="Y86" i="1"/>
  <c r="X86" i="1"/>
  <c r="Y55" i="1"/>
  <c r="X55" i="1"/>
  <c r="Y87" i="1"/>
  <c r="X87" i="1"/>
  <c r="Y101" i="1"/>
  <c r="X101" i="1"/>
  <c r="Y62" i="1"/>
  <c r="X62" i="1"/>
  <c r="Y102" i="1"/>
  <c r="X102" i="1"/>
  <c r="Y63" i="1"/>
  <c r="X63" i="1"/>
  <c r="Y64" i="1"/>
  <c r="X64" i="1"/>
  <c r="Y61" i="1"/>
  <c r="X61" i="1"/>
  <c r="Y60" i="1"/>
  <c r="X60" i="1"/>
  <c r="Y59" i="1"/>
  <c r="X59" i="1"/>
  <c r="Y49" i="1"/>
  <c r="X49" i="1"/>
  <c r="D14" i="1"/>
  <c r="E14" i="1"/>
  <c r="Y50" i="1"/>
  <c r="X50" i="1"/>
  <c r="Y51" i="1"/>
  <c r="X51" i="1"/>
  <c r="Y66" i="1"/>
  <c r="D7" i="1"/>
  <c r="E7" i="1"/>
  <c r="Y48" i="1"/>
  <c r="D4" i="1"/>
  <c r="E4" i="1"/>
  <c r="X48" i="1"/>
  <c r="Y84" i="1"/>
  <c r="D6" i="1"/>
  <c r="E6" i="1"/>
  <c r="Y58" i="1"/>
  <c r="D5" i="1"/>
  <c r="E5" i="1"/>
  <c r="E19" i="1"/>
  <c r="M13" i="1"/>
  <c r="K16" i="1" s="1"/>
  <c r="F29" i="1"/>
  <c r="E29" i="1"/>
  <c r="F28" i="1"/>
  <c r="E28" i="1"/>
  <c r="D28" i="1"/>
  <c r="F27" i="1"/>
  <c r="E27" i="1"/>
  <c r="D27" i="1"/>
  <c r="F26" i="1"/>
  <c r="E26" i="1"/>
  <c r="D26" i="1"/>
  <c r="F25" i="1"/>
  <c r="E25" i="1"/>
  <c r="D25" i="1"/>
  <c r="F24" i="1"/>
  <c r="E24" i="1"/>
  <c r="D24" i="1"/>
  <c r="F23" i="1"/>
  <c r="E23" i="1"/>
  <c r="D23" i="1"/>
  <c r="F22" i="1"/>
  <c r="E22" i="1"/>
  <c r="D22" i="1"/>
  <c r="F21" i="1"/>
  <c r="E21" i="1"/>
  <c r="D21" i="1"/>
  <c r="F20" i="1"/>
  <c r="E20" i="1"/>
  <c r="D20" i="1"/>
  <c r="F19" i="1"/>
  <c r="D19" i="1"/>
  <c r="H13" i="1" l="1"/>
  <c r="H12" i="1"/>
  <c r="G9" i="5"/>
  <c r="H33" i="5"/>
  <c r="H21" i="5"/>
  <c r="H9" i="5"/>
  <c r="U9" i="5"/>
  <c r="F33" i="5"/>
  <c r="I33" i="5" s="1"/>
  <c r="F21" i="5"/>
  <c r="I21" i="5" s="1"/>
  <c r="F9" i="5"/>
  <c r="I9" i="5" s="1"/>
  <c r="S9" i="5"/>
  <c r="V9" i="5" s="1"/>
  <c r="G12" i="1"/>
  <c r="H14" i="1"/>
  <c r="G14" i="1"/>
  <c r="G29" i="1"/>
  <c r="H7" i="1"/>
  <c r="G7" i="1"/>
  <c r="H6" i="1"/>
  <c r="G6" i="1"/>
  <c r="H4" i="1"/>
  <c r="G4" i="1"/>
  <c r="H5" i="1"/>
  <c r="G5" i="1"/>
  <c r="G23" i="1"/>
  <c r="H23" i="1"/>
  <c r="G21" i="1"/>
  <c r="H21" i="1"/>
  <c r="G25" i="1"/>
  <c r="H25" i="1"/>
  <c r="H20" i="1"/>
  <c r="G20" i="1"/>
  <c r="H24" i="1"/>
  <c r="G24" i="1"/>
  <c r="G28" i="1"/>
  <c r="H28" i="1"/>
  <c r="G27" i="1"/>
  <c r="H27" i="1"/>
  <c r="G19" i="1"/>
  <c r="H19" i="1"/>
  <c r="H22" i="1"/>
  <c r="G22" i="1"/>
  <c r="H26" i="1"/>
  <c r="G26" i="1"/>
  <c r="F41" i="1"/>
  <c r="D35" i="1"/>
  <c r="E36" i="1"/>
  <c r="D38" i="1"/>
  <c r="D41" i="1"/>
  <c r="E42" i="1"/>
  <c r="D37" i="1"/>
  <c r="E38" i="1"/>
  <c r="D40" i="1"/>
  <c r="K14" i="1"/>
  <c r="D39" i="1"/>
  <c r="E40" i="1"/>
  <c r="D43" i="1"/>
  <c r="D34" i="1"/>
  <c r="D36" i="1"/>
  <c r="D42" i="1"/>
  <c r="E34" i="1"/>
  <c r="D29" i="1"/>
  <c r="H29" i="1" s="1"/>
  <c r="E35" i="1"/>
  <c r="E37" i="1"/>
  <c r="E39" i="1"/>
  <c r="E41" i="1"/>
  <c r="E43" i="1"/>
  <c r="F28" i="2"/>
  <c r="E28" i="2"/>
  <c r="D28" i="2"/>
  <c r="F27" i="2"/>
  <c r="E27" i="2"/>
  <c r="D27" i="2"/>
  <c r="F26" i="2"/>
  <c r="E26" i="2"/>
  <c r="D26" i="2"/>
  <c r="F25" i="2"/>
  <c r="E25" i="2"/>
  <c r="D25" i="2"/>
  <c r="F24" i="2"/>
  <c r="E24" i="2"/>
  <c r="D24" i="2"/>
  <c r="F23" i="2"/>
  <c r="E23" i="2"/>
  <c r="D23" i="2"/>
  <c r="F22" i="2"/>
  <c r="F21" i="2"/>
  <c r="F13" i="2"/>
  <c r="F12" i="2"/>
  <c r="F11" i="2"/>
  <c r="E11" i="2"/>
  <c r="D11" i="2"/>
  <c r="F10" i="2"/>
  <c r="E10" i="2"/>
  <c r="D10" i="2"/>
  <c r="F9" i="2"/>
  <c r="E9" i="2"/>
  <c r="D9" i="2"/>
  <c r="F8" i="2"/>
  <c r="E8" i="2"/>
  <c r="D8" i="2"/>
  <c r="F7" i="2"/>
  <c r="F20" i="10"/>
  <c r="E20" i="10"/>
  <c r="H20" i="10" s="1"/>
  <c r="D20" i="10"/>
  <c r="F19" i="10"/>
  <c r="E19" i="10"/>
  <c r="H19" i="10" s="1"/>
  <c r="D19" i="10"/>
  <c r="F9" i="10"/>
  <c r="E9" i="10"/>
  <c r="D9" i="10"/>
  <c r="D31" i="10" s="1"/>
  <c r="F8" i="10"/>
  <c r="E8" i="10"/>
  <c r="D8" i="10"/>
  <c r="D30" i="10" s="1"/>
  <c r="H38" i="1" l="1"/>
  <c r="G41" i="1"/>
  <c r="H36" i="1"/>
  <c r="H42" i="1"/>
  <c r="H40" i="1"/>
  <c r="D44" i="1"/>
  <c r="F42" i="1"/>
  <c r="G42" i="1" s="1"/>
  <c r="F38" i="1"/>
  <c r="G38" i="1" s="1"/>
  <c r="F39" i="1"/>
  <c r="G39" i="1" s="1"/>
  <c r="F34" i="1"/>
  <c r="G34" i="1" s="1"/>
  <c r="F44" i="1"/>
  <c r="F40" i="1"/>
  <c r="G40" i="1" s="1"/>
  <c r="F36" i="1"/>
  <c r="G36" i="1" s="1"/>
  <c r="F35" i="1"/>
  <c r="G35" i="1" s="1"/>
  <c r="F37" i="1"/>
  <c r="G37" i="1" s="1"/>
  <c r="F43" i="1"/>
  <c r="G43" i="1" s="1"/>
  <c r="H43" i="1"/>
  <c r="H39" i="1"/>
  <c r="H35" i="1"/>
  <c r="E44" i="1"/>
  <c r="H34" i="1"/>
  <c r="H41" i="1"/>
  <c r="H37" i="1"/>
  <c r="H8" i="2"/>
  <c r="G10" i="2"/>
  <c r="G25" i="2"/>
  <c r="D39" i="2"/>
  <c r="D38" i="2"/>
  <c r="H28" i="2"/>
  <c r="E38" i="2"/>
  <c r="D41" i="2"/>
  <c r="H27" i="2"/>
  <c r="H10" i="2"/>
  <c r="G11" i="2"/>
  <c r="H26" i="2"/>
  <c r="H25" i="2"/>
  <c r="D40" i="2"/>
  <c r="E40" i="2"/>
  <c r="H11" i="2"/>
  <c r="H24" i="2"/>
  <c r="H9" i="2"/>
  <c r="H23" i="2"/>
  <c r="G26" i="2"/>
  <c r="E39" i="2"/>
  <c r="E41" i="2"/>
  <c r="G23" i="2"/>
  <c r="G27" i="2"/>
  <c r="G24" i="2"/>
  <c r="G28" i="2"/>
  <c r="G8" i="2"/>
  <c r="G9" i="2"/>
  <c r="H9" i="10"/>
  <c r="H8" i="10"/>
  <c r="E30" i="10"/>
  <c r="H30" i="10" s="1"/>
  <c r="E31" i="10"/>
  <c r="H31" i="10" s="1"/>
  <c r="G20" i="10"/>
  <c r="G19" i="10"/>
  <c r="G8" i="10"/>
  <c r="G9" i="10"/>
  <c r="G44" i="1" l="1"/>
  <c r="H44" i="1"/>
  <c r="H38" i="2"/>
  <c r="H41" i="2"/>
  <c r="H39" i="2"/>
  <c r="H40" i="2"/>
  <c r="T270" i="2"/>
  <c r="U270" i="2" s="1"/>
  <c r="T269" i="2"/>
  <c r="U269" i="2" s="1"/>
  <c r="T268" i="2"/>
  <c r="U268" i="2" s="1"/>
  <c r="T267" i="2"/>
  <c r="U267" i="2" s="1"/>
  <c r="T266" i="2"/>
  <c r="U266" i="2" s="1"/>
  <c r="T265" i="2"/>
  <c r="U265" i="2" s="1"/>
  <c r="T264" i="2"/>
  <c r="U264" i="2" s="1"/>
  <c r="T263" i="2"/>
  <c r="U263" i="2" s="1"/>
  <c r="T262" i="2"/>
  <c r="U262" i="2" s="1"/>
  <c r="T261" i="2"/>
  <c r="U261" i="2" s="1"/>
  <c r="T260" i="2"/>
  <c r="T259" i="2"/>
  <c r="U259" i="2" s="1"/>
  <c r="T258" i="2"/>
  <c r="U258" i="2" s="1"/>
  <c r="U260" i="2" l="1"/>
  <c r="F173" i="4" s="1"/>
  <c r="E173" i="4"/>
  <c r="E13" i="2"/>
  <c r="D13" i="2"/>
  <c r="D43" i="2" s="1"/>
  <c r="E12" i="2"/>
  <c r="D12" i="2"/>
  <c r="D42" i="2" s="1"/>
  <c r="H161" i="4"/>
  <c r="F161" i="4"/>
  <c r="H160" i="4"/>
  <c r="F160" i="4"/>
  <c r="E160" i="4"/>
  <c r="I173" i="4" l="1"/>
  <c r="C157" i="4"/>
  <c r="I160" i="4"/>
  <c r="H12" i="2"/>
  <c r="G12" i="2"/>
  <c r="E42" i="2"/>
  <c r="H42" i="2" s="1"/>
  <c r="H13" i="2"/>
  <c r="E43" i="2"/>
  <c r="H43" i="2" s="1"/>
  <c r="G13" i="2"/>
  <c r="E161" i="4"/>
  <c r="I161" i="4" s="1"/>
  <c r="C154" i="4"/>
  <c r="H147" i="4"/>
  <c r="H133" i="4"/>
  <c r="H120" i="4"/>
  <c r="H119" i="4"/>
  <c r="H103" i="4"/>
  <c r="H91" i="4"/>
  <c r="H90" i="4"/>
  <c r="T106" i="11"/>
  <c r="U106" i="11" s="1"/>
  <c r="T105" i="11"/>
  <c r="U105" i="11" s="1"/>
  <c r="T104" i="11"/>
  <c r="U104" i="11" s="1"/>
  <c r="T103" i="11"/>
  <c r="U103" i="11" s="1"/>
  <c r="T102" i="11"/>
  <c r="U102" i="11" s="1"/>
  <c r="T101" i="11"/>
  <c r="U101" i="11" s="1"/>
  <c r="T100" i="11"/>
  <c r="U100" i="11" s="1"/>
  <c r="T99" i="11"/>
  <c r="U99" i="11" s="1"/>
  <c r="T98" i="11"/>
  <c r="U98" i="11" s="1"/>
  <c r="T97" i="11"/>
  <c r="U97" i="11" s="1"/>
  <c r="T96" i="11"/>
  <c r="U96" i="11" s="1"/>
  <c r="T95" i="11"/>
  <c r="U95" i="11" s="1"/>
  <c r="T94" i="11"/>
  <c r="U94" i="11" s="1"/>
  <c r="T93" i="11"/>
  <c r="U93" i="11" s="1"/>
  <c r="T92" i="11"/>
  <c r="U92" i="11" s="1"/>
  <c r="T91" i="11"/>
  <c r="U91" i="11" s="1"/>
  <c r="T90" i="11"/>
  <c r="U90" i="11" s="1"/>
  <c r="T89" i="11"/>
  <c r="U89" i="11" s="1"/>
  <c r="T88" i="11"/>
  <c r="U88" i="11" s="1"/>
  <c r="T87" i="11"/>
  <c r="U87" i="11" s="1"/>
  <c r="T86" i="11"/>
  <c r="U86" i="11" s="1"/>
  <c r="T85" i="11"/>
  <c r="U85" i="11" s="1"/>
  <c r="T84" i="11"/>
  <c r="U84" i="11" s="1"/>
  <c r="T83" i="11"/>
  <c r="U83" i="11" s="1"/>
  <c r="T82" i="11"/>
  <c r="U82" i="11" s="1"/>
  <c r="T81" i="11"/>
  <c r="U81" i="11" s="1"/>
  <c r="T80" i="11"/>
  <c r="U80" i="11" s="1"/>
  <c r="T79" i="11"/>
  <c r="U79" i="11" s="1"/>
  <c r="T78" i="11"/>
  <c r="U78" i="11" s="1"/>
  <c r="T77" i="11"/>
  <c r="U77" i="11" s="1"/>
  <c r="T76" i="11"/>
  <c r="U76" i="11" s="1"/>
  <c r="T75" i="11"/>
  <c r="U75" i="11" s="1"/>
  <c r="T74" i="11"/>
  <c r="U74" i="11" s="1"/>
  <c r="T73" i="11"/>
  <c r="U73" i="11" s="1"/>
  <c r="T72" i="11"/>
  <c r="U72" i="11" s="1"/>
  <c r="T71" i="11"/>
  <c r="U71" i="11" s="1"/>
  <c r="T70" i="11"/>
  <c r="U70" i="11" s="1"/>
  <c r="T69" i="11"/>
  <c r="U69" i="11" s="1"/>
  <c r="T68" i="11"/>
  <c r="U68" i="11" s="1"/>
  <c r="T67" i="11"/>
  <c r="U67" i="11" s="1"/>
  <c r="T66" i="11"/>
  <c r="U66" i="11" s="1"/>
  <c r="T65" i="11"/>
  <c r="U65" i="11" s="1"/>
  <c r="T64" i="11"/>
  <c r="U64" i="11" s="1"/>
  <c r="T63" i="11"/>
  <c r="U63" i="11" s="1"/>
  <c r="T62" i="11"/>
  <c r="U62" i="11" s="1"/>
  <c r="T61" i="11"/>
  <c r="U61" i="11" s="1"/>
  <c r="T60" i="11"/>
  <c r="U60" i="11" s="1"/>
  <c r="T59" i="11"/>
  <c r="U59" i="11" s="1"/>
  <c r="T58" i="11"/>
  <c r="U58" i="11" s="1"/>
  <c r="T57" i="11"/>
  <c r="U57" i="11" s="1"/>
  <c r="T56" i="11"/>
  <c r="U56" i="11" s="1"/>
  <c r="T55" i="11"/>
  <c r="U55" i="11" s="1"/>
  <c r="T54" i="11"/>
  <c r="U54" i="11" s="1"/>
  <c r="T53" i="11"/>
  <c r="U53" i="11" s="1"/>
  <c r="T52" i="11"/>
  <c r="U52" i="11" s="1"/>
  <c r="T51" i="11"/>
  <c r="U51" i="11" s="1"/>
  <c r="T50" i="11"/>
  <c r="U50" i="11" s="1"/>
  <c r="T49" i="11"/>
  <c r="U49" i="11" s="1"/>
  <c r="T48" i="11"/>
  <c r="U48" i="11" s="1"/>
  <c r="T47" i="11"/>
  <c r="U47" i="11" s="1"/>
  <c r="T46" i="11"/>
  <c r="U46" i="11" s="1"/>
  <c r="T45" i="11"/>
  <c r="U45" i="11" s="1"/>
  <c r="T44" i="11"/>
  <c r="U44" i="11" s="1"/>
  <c r="T43" i="11"/>
  <c r="U43" i="11" s="1"/>
  <c r="T42" i="11"/>
  <c r="U42" i="11" s="1"/>
  <c r="T41" i="11"/>
  <c r="U41" i="11" s="1"/>
  <c r="T40" i="11"/>
  <c r="U40" i="11" s="1"/>
  <c r="T39" i="11"/>
  <c r="U39" i="11" s="1"/>
  <c r="T38" i="11"/>
  <c r="U38" i="11" s="1"/>
  <c r="D1" i="6"/>
  <c r="B4" i="6" s="1"/>
  <c r="E147" i="4"/>
  <c r="F147" i="4"/>
  <c r="G147" i="4"/>
  <c r="G148" i="4"/>
  <c r="G134" i="4"/>
  <c r="G133" i="4"/>
  <c r="C127" i="4" s="1"/>
  <c r="F133" i="4"/>
  <c r="E133" i="4"/>
  <c r="I147" i="4" l="1"/>
  <c r="I133" i="4"/>
  <c r="B2" i="6"/>
  <c r="C141" i="4"/>
  <c r="W257" i="2" l="1"/>
  <c r="H148" i="4" s="1"/>
  <c r="C144" i="4" s="1"/>
  <c r="W256" i="2" l="1"/>
  <c r="W250" i="2"/>
  <c r="H134" i="4" s="1"/>
  <c r="C130" i="4" s="1"/>
  <c r="T257" i="2" l="1"/>
  <c r="T256" i="2"/>
  <c r="U256" i="2" s="1"/>
  <c r="T255" i="2"/>
  <c r="U255" i="2" s="1"/>
  <c r="T254" i="2"/>
  <c r="U254" i="2" s="1"/>
  <c r="T253" i="2"/>
  <c r="U253" i="2" s="1"/>
  <c r="T252" i="2"/>
  <c r="U252" i="2" s="1"/>
  <c r="T251" i="2"/>
  <c r="U251" i="2" s="1"/>
  <c r="T250" i="2"/>
  <c r="U250" i="2" s="1"/>
  <c r="T249" i="2"/>
  <c r="U249" i="2" l="1"/>
  <c r="F134" i="4" s="1"/>
  <c r="E134" i="4"/>
  <c r="U257" i="2"/>
  <c r="F148" i="4" s="1"/>
  <c r="E148" i="4"/>
  <c r="F15" i="10"/>
  <c r="F16" i="10"/>
  <c r="D17" i="10"/>
  <c r="T15" i="6" s="1"/>
  <c r="F17" i="10"/>
  <c r="F18" i="10"/>
  <c r="F21" i="10"/>
  <c r="F4" i="10"/>
  <c r="D5" i="10"/>
  <c r="S14" i="6" s="1"/>
  <c r="E5" i="10"/>
  <c r="F5" i="10"/>
  <c r="F6" i="10"/>
  <c r="I134" i="4" l="1"/>
  <c r="I148" i="4"/>
  <c r="U14" i="6"/>
  <c r="V15" i="6"/>
  <c r="H5" i="10"/>
  <c r="E4" i="10"/>
  <c r="G4" i="10" s="1"/>
  <c r="E18" i="10"/>
  <c r="G18" i="10" s="1"/>
  <c r="E6" i="10"/>
  <c r="G6" i="10" s="1"/>
  <c r="D4" i="10"/>
  <c r="S13" i="6" s="1"/>
  <c r="D6" i="10"/>
  <c r="S15" i="6" s="1"/>
  <c r="D16" i="10"/>
  <c r="T14" i="6" s="1"/>
  <c r="G5" i="10"/>
  <c r="D18" i="10"/>
  <c r="T16" i="6" s="1"/>
  <c r="D15" i="10"/>
  <c r="T13" i="6" s="1"/>
  <c r="E16" i="10"/>
  <c r="E17" i="10"/>
  <c r="E15" i="10"/>
  <c r="E21" i="10"/>
  <c r="M9" i="6" s="1"/>
  <c r="D21" i="10"/>
  <c r="L9" i="6" s="1"/>
  <c r="N9" i="6" s="1"/>
  <c r="C99" i="4"/>
  <c r="C98" i="4"/>
  <c r="C86" i="4"/>
  <c r="C85" i="4"/>
  <c r="C114" i="4"/>
  <c r="C115" i="4"/>
  <c r="O9" i="6" l="1"/>
  <c r="U15" i="6"/>
  <c r="V13" i="6"/>
  <c r="V14" i="6"/>
  <c r="V16" i="6"/>
  <c r="U13" i="6"/>
  <c r="H4" i="10"/>
  <c r="H6" i="10"/>
  <c r="H18" i="10"/>
  <c r="G17" i="10"/>
  <c r="H17" i="10"/>
  <c r="G21" i="10"/>
  <c r="H21" i="10"/>
  <c r="H16" i="10"/>
  <c r="G16" i="10"/>
  <c r="G15" i="10"/>
  <c r="H15" i="10"/>
  <c r="F103" i="4"/>
  <c r="F90" i="4"/>
  <c r="F65" i="4"/>
  <c r="F49" i="4"/>
  <c r="F23" i="4"/>
  <c r="F9" i="4"/>
  <c r="G120" i="4"/>
  <c r="G119" i="4"/>
  <c r="G104" i="4"/>
  <c r="G103" i="4"/>
  <c r="E103" i="4"/>
  <c r="G91" i="4"/>
  <c r="G90" i="4"/>
  <c r="E90" i="4"/>
  <c r="I90" i="4" l="1"/>
  <c r="I103" i="4"/>
  <c r="C87" i="4"/>
  <c r="C113" i="4"/>
  <c r="C97" i="4"/>
  <c r="C84" i="4"/>
  <c r="T248" i="2"/>
  <c r="U248" i="2" s="1"/>
  <c r="T247" i="2"/>
  <c r="U247" i="2" s="1"/>
  <c r="T246" i="2"/>
  <c r="U246" i="2" s="1"/>
  <c r="T245" i="2"/>
  <c r="U245" i="2" s="1"/>
  <c r="T244" i="2"/>
  <c r="U244" i="2" s="1"/>
  <c r="T243" i="2"/>
  <c r="U243" i="2" s="1"/>
  <c r="T242" i="2"/>
  <c r="U242" i="2" s="1"/>
  <c r="T241" i="2"/>
  <c r="U241" i="2" s="1"/>
  <c r="T240" i="2"/>
  <c r="U240" i="2" s="1"/>
  <c r="T239" i="2"/>
  <c r="U239" i="2" s="1"/>
  <c r="T238" i="2"/>
  <c r="U238" i="2" s="1"/>
  <c r="T237" i="2"/>
  <c r="U237" i="2" s="1"/>
  <c r="T236" i="2"/>
  <c r="U236" i="2" s="1"/>
  <c r="T235" i="2"/>
  <c r="U235" i="2" s="1"/>
  <c r="T234" i="2"/>
  <c r="E120" i="4" l="1"/>
  <c r="U234" i="2"/>
  <c r="F120" i="4" s="1"/>
  <c r="F119" i="4"/>
  <c r="E119" i="4"/>
  <c r="W229" i="2"/>
  <c r="I120" i="4" l="1"/>
  <c r="I119" i="4"/>
  <c r="W228" i="2"/>
  <c r="H104" i="4" s="1"/>
  <c r="T233" i="2" l="1"/>
  <c r="U233" i="2" s="1"/>
  <c r="T232" i="2"/>
  <c r="U232" i="2" s="1"/>
  <c r="T231" i="2"/>
  <c r="U231" i="2" s="1"/>
  <c r="T230" i="2"/>
  <c r="U230" i="2" s="1"/>
  <c r="T229" i="2"/>
  <c r="U229" i="2" s="1"/>
  <c r="T228" i="2"/>
  <c r="U228" i="2" s="1"/>
  <c r="T227" i="2"/>
  <c r="U227" i="2" s="1"/>
  <c r="T226" i="2"/>
  <c r="T225" i="2"/>
  <c r="U225" i="2" s="1"/>
  <c r="T224" i="2"/>
  <c r="U224" i="2" s="1"/>
  <c r="T223" i="2"/>
  <c r="U223" i="2" s="1"/>
  <c r="T222" i="2"/>
  <c r="U222" i="2" l="1"/>
  <c r="F91" i="4" s="1"/>
  <c r="E91" i="4"/>
  <c r="U226" i="2"/>
  <c r="F104" i="4" s="1"/>
  <c r="E104" i="4"/>
  <c r="E57" i="2"/>
  <c r="C58" i="2" s="1"/>
  <c r="E44" i="10"/>
  <c r="C47" i="10" s="1"/>
  <c r="C45" i="4"/>
  <c r="B4" i="14"/>
  <c r="B2" i="14"/>
  <c r="C73" i="4"/>
  <c r="G78" i="4"/>
  <c r="H77" i="4"/>
  <c r="G77" i="4"/>
  <c r="H65" i="4"/>
  <c r="G65" i="4"/>
  <c r="E65" i="4"/>
  <c r="I65" i="4" s="1"/>
  <c r="H64" i="4"/>
  <c r="G64" i="4"/>
  <c r="H50" i="4"/>
  <c r="G50" i="4"/>
  <c r="H49" i="4"/>
  <c r="G49" i="4"/>
  <c r="E49" i="4"/>
  <c r="H37" i="4"/>
  <c r="G37" i="4"/>
  <c r="H36" i="4"/>
  <c r="G36" i="4"/>
  <c r="H24" i="4"/>
  <c r="G24" i="4"/>
  <c r="H23" i="4"/>
  <c r="G23" i="4"/>
  <c r="E23" i="4"/>
  <c r="H10" i="4"/>
  <c r="H9" i="4"/>
  <c r="G10" i="4"/>
  <c r="G9" i="4"/>
  <c r="I9" i="4"/>
  <c r="F31" i="10" l="1"/>
  <c r="G31" i="10" s="1"/>
  <c r="F30" i="10"/>
  <c r="G30" i="10" s="1"/>
  <c r="I91" i="4"/>
  <c r="I104" i="4"/>
  <c r="F26" i="10"/>
  <c r="C61" i="4"/>
  <c r="C60" i="2"/>
  <c r="C45" i="10"/>
  <c r="I23" i="4"/>
  <c r="I49" i="4"/>
  <c r="F43" i="2" l="1"/>
  <c r="G43" i="2" s="1"/>
  <c r="F39" i="2"/>
  <c r="G39" i="2" s="1"/>
  <c r="F42" i="2"/>
  <c r="G42" i="2" s="1"/>
  <c r="F38" i="2"/>
  <c r="G38" i="2" s="1"/>
  <c r="F41" i="2"/>
  <c r="G41" i="2" s="1"/>
  <c r="F37" i="2"/>
  <c r="F40" i="2"/>
  <c r="G40" i="2" s="1"/>
  <c r="F36" i="2"/>
  <c r="F34" i="2"/>
  <c r="F27" i="10"/>
  <c r="F29" i="10"/>
  <c r="F32" i="10"/>
  <c r="F28" i="10"/>
  <c r="F35" i="2"/>
  <c r="F44" i="2"/>
  <c r="F8" i="11"/>
  <c r="F7" i="11"/>
  <c r="F6" i="11"/>
  <c r="F5" i="11"/>
  <c r="F4" i="11"/>
  <c r="D4" i="11"/>
  <c r="L13" i="6" s="1"/>
  <c r="F17" i="11"/>
  <c r="F16" i="11"/>
  <c r="F15" i="11"/>
  <c r="F14" i="11"/>
  <c r="D14" i="11"/>
  <c r="M14" i="6" s="1"/>
  <c r="F13" i="11"/>
  <c r="E7" i="11"/>
  <c r="E5" i="11"/>
  <c r="D15" i="11"/>
  <c r="M15" i="6" s="1"/>
  <c r="D16" i="11"/>
  <c r="M16" i="6" s="1"/>
  <c r="B4" i="13"/>
  <c r="F10" i="10"/>
  <c r="F7" i="10"/>
  <c r="N13" i="6" l="1"/>
  <c r="E13" i="6"/>
  <c r="G13" i="6" s="1"/>
  <c r="O16" i="6"/>
  <c r="F16" i="6"/>
  <c r="H16" i="6" s="1"/>
  <c r="O15" i="6"/>
  <c r="F15" i="6"/>
  <c r="H15" i="6" s="1"/>
  <c r="O14" i="6"/>
  <c r="F14" i="6"/>
  <c r="H14" i="6" s="1"/>
  <c r="E17" i="11"/>
  <c r="E15" i="11"/>
  <c r="G15" i="11" s="1"/>
  <c r="E14" i="11"/>
  <c r="E23" i="11" s="1"/>
  <c r="D6" i="11"/>
  <c r="F24" i="11"/>
  <c r="F26" i="11"/>
  <c r="F25" i="11"/>
  <c r="F23" i="11"/>
  <c r="F22" i="11"/>
  <c r="G5" i="11"/>
  <c r="E16" i="11"/>
  <c r="G7" i="11"/>
  <c r="D8" i="11"/>
  <c r="E4" i="11"/>
  <c r="E6" i="11"/>
  <c r="E8" i="11"/>
  <c r="T8" i="6" s="1"/>
  <c r="D17" i="11"/>
  <c r="E9" i="6" s="1"/>
  <c r="D5" i="11"/>
  <c r="D7" i="11"/>
  <c r="D13" i="11"/>
  <c r="E13" i="11"/>
  <c r="D10" i="10"/>
  <c r="L8" i="6" s="1"/>
  <c r="N8" i="6" s="1"/>
  <c r="E7" i="10"/>
  <c r="D7" i="10"/>
  <c r="S16" i="6" s="1"/>
  <c r="D26" i="10"/>
  <c r="D28" i="10"/>
  <c r="D27" i="10"/>
  <c r="E10" i="10"/>
  <c r="M8" i="6" s="1"/>
  <c r="O8" i="6" s="1"/>
  <c r="T63" i="2"/>
  <c r="T64" i="2"/>
  <c r="U64" i="2" s="1"/>
  <c r="T65" i="2"/>
  <c r="U65" i="2" s="1"/>
  <c r="T66" i="2"/>
  <c r="U66" i="2" s="1"/>
  <c r="T67" i="2"/>
  <c r="U67" i="2" s="1"/>
  <c r="T68" i="2"/>
  <c r="U68" i="2" s="1"/>
  <c r="T69" i="2"/>
  <c r="U69" i="2" s="1"/>
  <c r="T70" i="2"/>
  <c r="U70" i="2" s="1"/>
  <c r="T71" i="2"/>
  <c r="U71" i="2" s="1"/>
  <c r="T72" i="2"/>
  <c r="U72" i="2" s="1"/>
  <c r="T73" i="2"/>
  <c r="U73" i="2" s="1"/>
  <c r="T74" i="2"/>
  <c r="U74" i="2" s="1"/>
  <c r="T75" i="2"/>
  <c r="U75" i="2" s="1"/>
  <c r="T76" i="2"/>
  <c r="U76" i="2" s="1"/>
  <c r="T77" i="2"/>
  <c r="U77" i="2" s="1"/>
  <c r="T78" i="2"/>
  <c r="U78" i="2" s="1"/>
  <c r="T79" i="2"/>
  <c r="U79" i="2" s="1"/>
  <c r="T80" i="2"/>
  <c r="U80" i="2" s="1"/>
  <c r="T81" i="2"/>
  <c r="U81" i="2" s="1"/>
  <c r="T82" i="2"/>
  <c r="U82" i="2" s="1"/>
  <c r="T83" i="2"/>
  <c r="U83" i="2" s="1"/>
  <c r="T84" i="2"/>
  <c r="U84" i="2" s="1"/>
  <c r="T85" i="2"/>
  <c r="U85" i="2" s="1"/>
  <c r="T86" i="2"/>
  <c r="T87" i="2"/>
  <c r="U87" i="2" s="1"/>
  <c r="T88" i="2"/>
  <c r="U88" i="2" s="1"/>
  <c r="T89" i="2"/>
  <c r="U89" i="2" s="1"/>
  <c r="T90" i="2"/>
  <c r="U90" i="2" s="1"/>
  <c r="T91" i="2"/>
  <c r="U91" i="2" s="1"/>
  <c r="T92" i="2"/>
  <c r="U92" i="2" s="1"/>
  <c r="T93" i="2"/>
  <c r="U93" i="2" s="1"/>
  <c r="T94" i="2"/>
  <c r="U94" i="2" s="1"/>
  <c r="T95" i="2"/>
  <c r="U95" i="2" s="1"/>
  <c r="T96" i="2"/>
  <c r="U96" i="2" s="1"/>
  <c r="T97" i="2"/>
  <c r="U97" i="2" s="1"/>
  <c r="T98" i="2"/>
  <c r="U98" i="2" s="1"/>
  <c r="T99" i="2"/>
  <c r="U99" i="2" s="1"/>
  <c r="T100" i="2"/>
  <c r="U100" i="2" s="1"/>
  <c r="T101" i="2"/>
  <c r="T102" i="2"/>
  <c r="U102" i="2" s="1"/>
  <c r="T103" i="2"/>
  <c r="U103" i="2" s="1"/>
  <c r="T104" i="2"/>
  <c r="T105" i="2"/>
  <c r="U105" i="2" s="1"/>
  <c r="T106" i="2"/>
  <c r="T107" i="2"/>
  <c r="U107" i="2" s="1"/>
  <c r="T108" i="2"/>
  <c r="U108" i="2" s="1"/>
  <c r="T109" i="2"/>
  <c r="U109" i="2" s="1"/>
  <c r="T110" i="2"/>
  <c r="U110" i="2" s="1"/>
  <c r="T111" i="2"/>
  <c r="U111" i="2" s="1"/>
  <c r="T112" i="2"/>
  <c r="U112" i="2" s="1"/>
  <c r="T113" i="2"/>
  <c r="U113" i="2" s="1"/>
  <c r="T114" i="2"/>
  <c r="U114" i="2" s="1"/>
  <c r="T115" i="2"/>
  <c r="U115" i="2" s="1"/>
  <c r="T116" i="2"/>
  <c r="U116" i="2" s="1"/>
  <c r="T117" i="2"/>
  <c r="U117" i="2" s="1"/>
  <c r="T118" i="2"/>
  <c r="U118" i="2" s="1"/>
  <c r="T119" i="2"/>
  <c r="U119" i="2" s="1"/>
  <c r="T120" i="2"/>
  <c r="U120" i="2" s="1"/>
  <c r="T121" i="2"/>
  <c r="U121" i="2" s="1"/>
  <c r="T122" i="2"/>
  <c r="U122" i="2" s="1"/>
  <c r="T123" i="2"/>
  <c r="T124" i="2"/>
  <c r="U124" i="2" s="1"/>
  <c r="T125" i="2"/>
  <c r="U125" i="2" s="1"/>
  <c r="T126" i="2"/>
  <c r="U126" i="2" s="1"/>
  <c r="T127" i="2"/>
  <c r="U127" i="2" s="1"/>
  <c r="T128" i="2"/>
  <c r="U128" i="2" s="1"/>
  <c r="T129" i="2"/>
  <c r="U129" i="2" s="1"/>
  <c r="T130" i="2"/>
  <c r="T131" i="2"/>
  <c r="U131" i="2" s="1"/>
  <c r="F14" i="2"/>
  <c r="F6" i="2"/>
  <c r="F5" i="2"/>
  <c r="F4" i="2"/>
  <c r="F19" i="2"/>
  <c r="T221" i="2"/>
  <c r="T220" i="2"/>
  <c r="T219" i="2"/>
  <c r="T218" i="2"/>
  <c r="U218" i="2" s="1"/>
  <c r="W217" i="2"/>
  <c r="T217" i="2"/>
  <c r="T216" i="2"/>
  <c r="U216" i="2" s="1"/>
  <c r="T215" i="2"/>
  <c r="U215" i="2" s="1"/>
  <c r="T214" i="2"/>
  <c r="U214" i="2" s="1"/>
  <c r="T213" i="2"/>
  <c r="U213" i="2" s="1"/>
  <c r="T212" i="2"/>
  <c r="U212" i="2" s="1"/>
  <c r="T211" i="2"/>
  <c r="U211" i="2" s="1"/>
  <c r="T210" i="2"/>
  <c r="T209" i="2"/>
  <c r="U209" i="2" s="1"/>
  <c r="T208" i="2"/>
  <c r="U208" i="2" s="1"/>
  <c r="T207" i="2"/>
  <c r="U207" i="2" s="1"/>
  <c r="T206" i="2"/>
  <c r="T205" i="2"/>
  <c r="U205" i="2" s="1"/>
  <c r="T204" i="2"/>
  <c r="T203" i="2"/>
  <c r="U203" i="2" s="1"/>
  <c r="T202" i="2"/>
  <c r="T201" i="2"/>
  <c r="U201" i="2" s="1"/>
  <c r="T200" i="2"/>
  <c r="U200" i="2" s="1"/>
  <c r="T199" i="2"/>
  <c r="U199" i="2" s="1"/>
  <c r="T198" i="2"/>
  <c r="U198" i="2" s="1"/>
  <c r="T197" i="2"/>
  <c r="U197" i="2" s="1"/>
  <c r="T196" i="2"/>
  <c r="U196" i="2" s="1"/>
  <c r="T195" i="2"/>
  <c r="U195" i="2" s="1"/>
  <c r="T194" i="2"/>
  <c r="U194" i="2" s="1"/>
  <c r="T193" i="2"/>
  <c r="U193" i="2" s="1"/>
  <c r="T192" i="2"/>
  <c r="U192" i="2" s="1"/>
  <c r="T191" i="2"/>
  <c r="U191" i="2" s="1"/>
  <c r="T190" i="2"/>
  <c r="U190" i="2" s="1"/>
  <c r="T189" i="2"/>
  <c r="U189" i="2" s="1"/>
  <c r="T188" i="2"/>
  <c r="U188" i="2" s="1"/>
  <c r="T187" i="2"/>
  <c r="U187" i="2" s="1"/>
  <c r="T186" i="2"/>
  <c r="U186" i="2" s="1"/>
  <c r="T185" i="2"/>
  <c r="U185" i="2" s="1"/>
  <c r="T184" i="2"/>
  <c r="U184" i="2" s="1"/>
  <c r="T183" i="2"/>
  <c r="U183" i="2" s="1"/>
  <c r="T182" i="2"/>
  <c r="U182" i="2" s="1"/>
  <c r="T181" i="2"/>
  <c r="U181" i="2" s="1"/>
  <c r="T180" i="2"/>
  <c r="U180" i="2" s="1"/>
  <c r="T179" i="2"/>
  <c r="U179" i="2" s="1"/>
  <c r="T178" i="2"/>
  <c r="U178" i="2" s="1"/>
  <c r="T177" i="2"/>
  <c r="U177" i="2" s="1"/>
  <c r="T176" i="2"/>
  <c r="U176" i="2" s="1"/>
  <c r="T175" i="2"/>
  <c r="U175" i="2" s="1"/>
  <c r="T174" i="2"/>
  <c r="U174" i="2" s="1"/>
  <c r="T173" i="2"/>
  <c r="U173" i="2" s="1"/>
  <c r="T172" i="2"/>
  <c r="U172" i="2" s="1"/>
  <c r="T171" i="2"/>
  <c r="U171" i="2" s="1"/>
  <c r="T170" i="2"/>
  <c r="U170" i="2" s="1"/>
  <c r="T169" i="2"/>
  <c r="U169" i="2" s="1"/>
  <c r="T168" i="2"/>
  <c r="U168" i="2" s="1"/>
  <c r="T167" i="2"/>
  <c r="U167" i="2" s="1"/>
  <c r="T166" i="2"/>
  <c r="U166" i="2" s="1"/>
  <c r="T165" i="2"/>
  <c r="U165" i="2" s="1"/>
  <c r="T164" i="2"/>
  <c r="U164" i="2" s="1"/>
  <c r="T163" i="2"/>
  <c r="U163" i="2" s="1"/>
  <c r="T162" i="2"/>
  <c r="U162" i="2" s="1"/>
  <c r="T161" i="2"/>
  <c r="U161" i="2" s="1"/>
  <c r="T160" i="2"/>
  <c r="U160" i="2" s="1"/>
  <c r="T159" i="2"/>
  <c r="U159" i="2" s="1"/>
  <c r="T158" i="2"/>
  <c r="U158" i="2" s="1"/>
  <c r="T157" i="2"/>
  <c r="U157" i="2" s="1"/>
  <c r="T156" i="2"/>
  <c r="U156" i="2" s="1"/>
  <c r="T155" i="2"/>
  <c r="U155" i="2" s="1"/>
  <c r="T154" i="2"/>
  <c r="U154" i="2" s="1"/>
  <c r="T153" i="2"/>
  <c r="U153" i="2" s="1"/>
  <c r="T152" i="2"/>
  <c r="T151" i="2"/>
  <c r="U151" i="2" s="1"/>
  <c r="T150" i="2"/>
  <c r="U150" i="2" s="1"/>
  <c r="T149" i="2"/>
  <c r="U149" i="2" s="1"/>
  <c r="T148" i="2"/>
  <c r="U148" i="2" s="1"/>
  <c r="T147" i="2"/>
  <c r="U147" i="2" s="1"/>
  <c r="T146" i="2"/>
  <c r="U146" i="2" s="1"/>
  <c r="T145" i="2"/>
  <c r="U145" i="2" s="1"/>
  <c r="T144" i="2"/>
  <c r="U144" i="2" s="1"/>
  <c r="T143" i="2"/>
  <c r="U143" i="2" s="1"/>
  <c r="T142" i="2"/>
  <c r="U142" i="2" s="1"/>
  <c r="T141" i="2"/>
  <c r="U141" i="2" s="1"/>
  <c r="T140" i="2"/>
  <c r="U140" i="2" s="1"/>
  <c r="T139" i="2"/>
  <c r="U139" i="2" s="1"/>
  <c r="T138" i="2"/>
  <c r="U138" i="2" s="1"/>
  <c r="T137" i="2"/>
  <c r="U137" i="2" s="1"/>
  <c r="T136" i="2"/>
  <c r="U136" i="2" s="1"/>
  <c r="T135" i="2"/>
  <c r="U135" i="2" s="1"/>
  <c r="T134" i="2"/>
  <c r="U134" i="2" s="1"/>
  <c r="T133" i="2"/>
  <c r="U133" i="2" s="1"/>
  <c r="T132" i="2"/>
  <c r="C72" i="4"/>
  <c r="C60" i="4"/>
  <c r="D7" i="2" l="1"/>
  <c r="E7" i="2"/>
  <c r="U123" i="2"/>
  <c r="E21" i="2" s="1"/>
  <c r="D21" i="2"/>
  <c r="U86" i="2"/>
  <c r="D22" i="2"/>
  <c r="D5" i="2"/>
  <c r="U130" i="2"/>
  <c r="D6" i="2"/>
  <c r="D4" i="2"/>
  <c r="D14" i="2"/>
  <c r="S8" i="6"/>
  <c r="U8" i="6" s="1"/>
  <c r="E8" i="6"/>
  <c r="S9" i="6"/>
  <c r="U9" i="6" s="1"/>
  <c r="G9" i="6"/>
  <c r="G17" i="11"/>
  <c r="T9" i="6"/>
  <c r="F9" i="6"/>
  <c r="D24" i="11"/>
  <c r="L15" i="6"/>
  <c r="H7" i="11"/>
  <c r="L16" i="6"/>
  <c r="N16" i="6" s="1"/>
  <c r="D22" i="11"/>
  <c r="M13" i="6"/>
  <c r="H5" i="11"/>
  <c r="L14" i="6"/>
  <c r="U16" i="6"/>
  <c r="F8" i="6"/>
  <c r="G8" i="6"/>
  <c r="H14" i="11"/>
  <c r="H15" i="11"/>
  <c r="E24" i="11"/>
  <c r="H17" i="11"/>
  <c r="G14" i="11"/>
  <c r="E5" i="2"/>
  <c r="U104" i="2"/>
  <c r="E37" i="4"/>
  <c r="U106" i="2"/>
  <c r="E36" i="4"/>
  <c r="U63" i="2"/>
  <c r="E10" i="4"/>
  <c r="E78" i="4"/>
  <c r="U217" i="2"/>
  <c r="U220" i="2"/>
  <c r="E77" i="4"/>
  <c r="E29" i="2"/>
  <c r="E50" i="4"/>
  <c r="E64" i="4"/>
  <c r="H78" i="4"/>
  <c r="U101" i="2"/>
  <c r="F24" i="4" s="1"/>
  <c r="E24" i="4"/>
  <c r="E22" i="11"/>
  <c r="H13" i="11"/>
  <c r="G13" i="11"/>
  <c r="G4" i="11"/>
  <c r="H4" i="11"/>
  <c r="D25" i="11"/>
  <c r="D23" i="11"/>
  <c r="H23" i="11" s="1"/>
  <c r="G8" i="11"/>
  <c r="H8" i="11"/>
  <c r="G16" i="11"/>
  <c r="H16" i="11"/>
  <c r="E25" i="11"/>
  <c r="G6" i="11"/>
  <c r="H6" i="11"/>
  <c r="C71" i="4"/>
  <c r="G10" i="10"/>
  <c r="H10" i="10"/>
  <c r="E29" i="10"/>
  <c r="D29" i="10"/>
  <c r="D32" i="10" s="1"/>
  <c r="E28" i="10"/>
  <c r="H7" i="10"/>
  <c r="G7" i="10"/>
  <c r="E27" i="10"/>
  <c r="E26" i="10"/>
  <c r="D20" i="2"/>
  <c r="U132" i="2"/>
  <c r="U152" i="2"/>
  <c r="U202" i="2"/>
  <c r="U204" i="2"/>
  <c r="U206" i="2"/>
  <c r="U210" i="2"/>
  <c r="F20" i="2"/>
  <c r="F29" i="2"/>
  <c r="U219" i="2"/>
  <c r="U221" i="2"/>
  <c r="E4" i="2"/>
  <c r="E6" i="2"/>
  <c r="E14" i="2"/>
  <c r="D19" i="2"/>
  <c r="D29" i="2"/>
  <c r="F10" i="4" l="1"/>
  <c r="I10" i="4" s="1"/>
  <c r="D37" i="2"/>
  <c r="E36" i="2"/>
  <c r="G36" i="2" s="1"/>
  <c r="G21" i="2"/>
  <c r="E22" i="2"/>
  <c r="H7" i="2"/>
  <c r="G7" i="2"/>
  <c r="F37" i="4"/>
  <c r="I37" i="4" s="1"/>
  <c r="H21" i="2"/>
  <c r="D36" i="2"/>
  <c r="F36" i="4"/>
  <c r="I36" i="4" s="1"/>
  <c r="V8" i="6"/>
  <c r="H24" i="11"/>
  <c r="V9" i="6"/>
  <c r="E16" i="6"/>
  <c r="G16" i="6" s="1"/>
  <c r="O13" i="6"/>
  <c r="F13" i="6"/>
  <c r="H13" i="6" s="1"/>
  <c r="N15" i="6"/>
  <c r="E15" i="6"/>
  <c r="G15" i="6" s="1"/>
  <c r="N14" i="6"/>
  <c r="E14" i="6"/>
  <c r="G14" i="6" s="1"/>
  <c r="H8" i="6"/>
  <c r="H9" i="6"/>
  <c r="F50" i="4"/>
  <c r="I50" i="4" s="1"/>
  <c r="F77" i="4"/>
  <c r="I77" i="4" s="1"/>
  <c r="F64" i="4"/>
  <c r="I64" i="4" s="1"/>
  <c r="F78" i="4"/>
  <c r="I78" i="4" s="1"/>
  <c r="G5" i="2"/>
  <c r="I24" i="4"/>
  <c r="E19" i="2"/>
  <c r="D35" i="2"/>
  <c r="D34" i="2"/>
  <c r="H29" i="2"/>
  <c r="G29" i="2"/>
  <c r="E20" i="2"/>
  <c r="D26" i="11"/>
  <c r="H25" i="11"/>
  <c r="E26" i="11"/>
  <c r="H22" i="11"/>
  <c r="H29" i="10"/>
  <c r="E32" i="10"/>
  <c r="H26" i="10"/>
  <c r="H28" i="10"/>
  <c r="H27" i="10"/>
  <c r="G4" i="2"/>
  <c r="H4" i="2"/>
  <c r="H5" i="2"/>
  <c r="G14" i="2"/>
  <c r="H14" i="2"/>
  <c r="G6" i="2"/>
  <c r="H6" i="2"/>
  <c r="C59" i="4"/>
  <c r="H36" i="2" l="1"/>
  <c r="H22" i="2"/>
  <c r="E37" i="2"/>
  <c r="G22" i="2"/>
  <c r="E34" i="2"/>
  <c r="H34" i="2" s="1"/>
  <c r="H19" i="2"/>
  <c r="G19" i="2"/>
  <c r="D44" i="2"/>
  <c r="H20" i="2"/>
  <c r="E35" i="2"/>
  <c r="H35" i="2" s="1"/>
  <c r="G20" i="2"/>
  <c r="H26" i="11"/>
  <c r="H32" i="10"/>
  <c r="H37" i="2" l="1"/>
  <c r="G37" i="2"/>
  <c r="E44" i="2"/>
  <c r="H44" i="2" s="1"/>
  <c r="C58" i="4" l="1"/>
  <c r="G26" i="10" l="1"/>
  <c r="G29" i="10"/>
  <c r="G28" i="10"/>
  <c r="G27" i="10"/>
  <c r="G25" i="11"/>
  <c r="G23" i="11"/>
  <c r="G26" i="11"/>
  <c r="G24" i="11"/>
  <c r="G22" i="11"/>
  <c r="G32" i="10"/>
  <c r="B2" i="13" l="1"/>
  <c r="G35" i="2" l="1"/>
  <c r="G44" i="2"/>
  <c r="G34" i="2"/>
  <c r="C18" i="4"/>
  <c r="C19" i="4"/>
  <c r="C5" i="4"/>
  <c r="C32" i="4" l="1"/>
  <c r="C31" i="4"/>
  <c r="C4" i="4"/>
  <c r="A16" i="4" l="1"/>
  <c r="A29" i="4" s="1"/>
  <c r="A42" i="4" s="1"/>
  <c r="A57" i="4" s="1"/>
  <c r="A70" i="4" s="1"/>
  <c r="A83" i="4" s="1"/>
  <c r="A96" i="4" s="1"/>
  <c r="A112" i="4" s="1"/>
  <c r="A126" i="4" s="1"/>
  <c r="A140" i="4" s="1"/>
  <c r="A153" i="4" s="1"/>
  <c r="A166" i="4" s="1"/>
  <c r="C44" i="4"/>
  <c r="C17" i="4" l="1"/>
  <c r="C33" i="4" l="1"/>
  <c r="C43" i="4"/>
  <c r="C6" i="4"/>
  <c r="C30" i="4"/>
  <c r="C3" i="4"/>
  <c r="I10" i="5"/>
  <c r="C3" i="5"/>
</calcChain>
</file>

<file path=xl/comments1.xml><?xml version="1.0" encoding="utf-8"?>
<comments xmlns="http://schemas.openxmlformats.org/spreadsheetml/2006/main">
  <authors>
    <author>EXTERNAL Nguyen Trung Hieu (Ban Vien, RBVH/EPS45)</author>
  </authors>
  <commentList>
    <comment ref="G144" authorId="0" guid="{84CC155B-7A29-43E1-B555-BD923F123E6A}" shapeId="0">
      <text>
        <r>
          <rPr>
            <b/>
            <sz val="9"/>
            <color indexed="81"/>
            <rFont val="Tahoma"/>
            <family val="2"/>
          </rPr>
          <t>EXTERNAL Nguyen Trung Hieu (Ban Vien, RBVH/EPS45):</t>
        </r>
        <r>
          <rPr>
            <sz val="9"/>
            <color indexed="81"/>
            <rFont val="Tahoma"/>
            <family val="2"/>
          </rPr>
          <t xml:space="preserve">
//10.184.143.103/d/vivi/BV/DB/urgent/SGMW_ESP93_Carbon_Int.zip</t>
        </r>
        <r>
          <rPr>
            <sz val="9"/>
            <color indexed="81"/>
            <rFont val="Tahoma"/>
            <family val="2"/>
          </rPr>
          <t xml:space="preserve">
</t>
        </r>
      </text>
    </comment>
    <comment ref="G145" authorId="0" guid="{C1FCF1C9-854B-44F9-AD67-F34FF0DD8F87}" shapeId="0">
      <text>
        <r>
          <rPr>
            <b/>
            <sz val="9"/>
            <color indexed="81"/>
            <rFont val="Tahoma"/>
            <family val="2"/>
          </rPr>
          <t>EXTERNAL Nguyen Trung Hieu (Ban Vien, RBVH/EPS45):</t>
        </r>
        <r>
          <rPr>
            <sz val="9"/>
            <color indexed="81"/>
            <rFont val="Tahoma"/>
            <family val="2"/>
          </rPr>
          <t xml:space="preserve">
\\10.184.143.103\d\vivi\BV\DB\16Apr\Geely_ESP93_Carbon_Int
</t>
        </r>
      </text>
    </comment>
    <comment ref="G149" authorId="0" guid="{9E93674F-A759-4258-B00A-06B51AB3CCC5}" shapeId="0">
      <text>
        <r>
          <rPr>
            <b/>
            <sz val="9"/>
            <color indexed="81"/>
            <rFont val="Tahoma"/>
            <family val="2"/>
          </rPr>
          <t>EXTERNAL Nguyen Trung Hieu (Ban Vien, RBVH/EPS45):</t>
        </r>
        <r>
          <rPr>
            <sz val="9"/>
            <color indexed="81"/>
            <rFont val="Tahoma"/>
            <family val="2"/>
          </rPr>
          <t xml:space="preserve">
\\10.184.143.103\d\vivi\BV\DB\16Apr\FAW_Beryllium_D090HighG6_&amp;__D090LowG6_RC_INT
</t>
        </r>
      </text>
    </comment>
    <comment ref="G153" authorId="0" guid="{5E8B220D-9580-428A-924B-4675F6F6ACEA}" shapeId="0">
      <text>
        <r>
          <rPr>
            <b/>
            <sz val="9"/>
            <color indexed="81"/>
            <rFont val="Tahoma"/>
            <family val="2"/>
          </rPr>
          <t>EXTERNAL Nguyen Trung Hieu (Ban Vien, RBVH/EPS45):</t>
        </r>
        <r>
          <rPr>
            <sz val="9"/>
            <color indexed="81"/>
            <rFont val="Tahoma"/>
            <family val="2"/>
          </rPr>
          <t xml:space="preserve">
\\10.184.143.103\d\vivi\BV\DB\16Apr\SAIC_A_ARCH_CMP_ESP93_Carbon_Int
</t>
        </r>
      </text>
    </comment>
  </commentList>
</comments>
</file>

<file path=xl/sharedStrings.xml><?xml version="1.0" encoding="utf-8"?>
<sst xmlns="http://schemas.openxmlformats.org/spreadsheetml/2006/main" count="10731" uniqueCount="1273">
  <si>
    <t>No</t>
  </si>
  <si>
    <t>Type</t>
  </si>
  <si>
    <t>ASW</t>
  </si>
  <si>
    <t>PSW</t>
  </si>
  <si>
    <t>No\Type</t>
  </si>
  <si>
    <t>Member</t>
  </si>
  <si>
    <t>hieu.nguyen-trung</t>
  </si>
  <si>
    <t>TaskGroup</t>
  </si>
  <si>
    <t>Tester</t>
  </si>
  <si>
    <t>1. Test Design (.xls)
2. Plot File (.plt)
3. ATT project
4. Coverage Log</t>
  </si>
  <si>
    <t>1. TPA file (.tpa)
2. test report (.html)
3. test report (.xml)
4. test summary (.html)
5. File Coverage Fail Reason (.xls)</t>
  </si>
  <si>
    <t>KPI Table</t>
  </si>
  <si>
    <t>Start</t>
  </si>
  <si>
    <t>End</t>
  </si>
  <si>
    <t>C0</t>
  </si>
  <si>
    <t>C1</t>
  </si>
  <si>
    <t>MCDC</t>
  </si>
  <si>
    <t>Reason</t>
  </si>
  <si>
    <t>Status</t>
  </si>
  <si>
    <t>Ready for review</t>
  </si>
  <si>
    <t>Status Table</t>
  </si>
  <si>
    <t>N/A</t>
  </si>
  <si>
    <t>Ready for PLC</t>
  </si>
  <si>
    <t>KPI/days</t>
  </si>
  <si>
    <t>Ongoing</t>
  </si>
  <si>
    <t>Status (%)</t>
  </si>
  <si>
    <t>#</t>
  </si>
  <si>
    <t>Types</t>
  </si>
  <si>
    <t>Assigned ELOCs</t>
  </si>
  <si>
    <t>Completed ELOCs</t>
  </si>
  <si>
    <t>Status (%)
(Completed/Assigned)</t>
  </si>
  <si>
    <t>Total Days</t>
  </si>
  <si>
    <t>External Name</t>
  </si>
  <si>
    <t>PSW
ELOCs</t>
  </si>
  <si>
    <t>ASW
ELOCs</t>
  </si>
  <si>
    <t>1. Completed ELOCs of the team from the beginning of Month (Mar) till Now:</t>
  </si>
  <si>
    <t>2. Completed ELOCs of each member from the beginning of Month (Mar) till Now:</t>
  </si>
  <si>
    <t>3. Risks/ Pending Issues:</t>
  </si>
  <si>
    <t>Risks/ Issues</t>
  </si>
  <si>
    <t>4. Found Defects/ OPLs in Month (Mar):</t>
  </si>
  <si>
    <t>5. Leave Plan (Mar):</t>
  </si>
  <si>
    <t>Defects / OPLs</t>
  </si>
  <si>
    <t>Num of Day</t>
  </si>
  <si>
    <t>Detail</t>
  </si>
  <si>
    <t>Date</t>
  </si>
  <si>
    <t>Note:</t>
  </si>
  <si>
    <t>PSW: 450 ELOCs</t>
  </si>
  <si>
    <t>Productivity of each Member per Day</t>
  </si>
  <si>
    <t>Total Productivity per Month</t>
  </si>
  <si>
    <t>PSW: 450x4x20 = 36,000 ELOCs</t>
  </si>
  <si>
    <t>ASW: 130x4x20 = 10,400 ELOCs</t>
  </si>
  <si>
    <t>Table Type of Testing</t>
  </si>
  <si>
    <t>Table Tester</t>
  </si>
  <si>
    <t>Detail Output</t>
  </si>
  <si>
    <t>ATT</t>
  </si>
  <si>
    <t>Cantata</t>
  </si>
  <si>
    <t>Tool</t>
  </si>
  <si>
    <t>Table KPI ASW</t>
  </si>
  <si>
    <t>Table KPI PSW</t>
  </si>
  <si>
    <t>LOC Complete</t>
  </si>
  <si>
    <t>Actual hour</t>
  </si>
  <si>
    <t>Task Jira</t>
  </si>
  <si>
    <t>Project</t>
  </si>
  <si>
    <t>ComponentName</t>
  </si>
  <si>
    <t>ItemName</t>
  </si>
  <si>
    <t>Planned Start</t>
  </si>
  <si>
    <t>Planned End</t>
  </si>
  <si>
    <t>-</t>
  </si>
  <si>
    <t>ItemRevision</t>
  </si>
  <si>
    <t>Package</t>
  </si>
  <si>
    <t>hau.nguyen-tai</t>
  </si>
  <si>
    <t>bang.nguyen-duy</t>
  </si>
  <si>
    <t>dac.luu-cong</t>
  </si>
  <si>
    <t>duong.nguyen</t>
  </si>
  <si>
    <t>loc.do-phu</t>
  </si>
  <si>
    <t>thanh.nguyen-kim</t>
  </si>
  <si>
    <t>chung.ly</t>
  </si>
  <si>
    <t>Database</t>
  </si>
  <si>
    <t>BB</t>
  </si>
  <si>
    <t>Ready for delivery</t>
  </si>
  <si>
    <t>Complete &amp; Closed</t>
  </si>
  <si>
    <t>ELOC Assigned</t>
  </si>
  <si>
    <t>ELOC Recheck With Tool</t>
  </si>
  <si>
    <t>Status Result</t>
  </si>
  <si>
    <t>PeerReviewer</t>
  </si>
  <si>
    <t>Estimation base TOOL</t>
  </si>
  <si>
    <t>Owner Contact</t>
  </si>
  <si>
    <t>Remark</t>
  </si>
  <si>
    <t>Please ensure your push correct the Package name with the TaskGroup</t>
  </si>
  <si>
    <t xml:space="preserve">+ Location for delivery to internal team: </t>
  </si>
  <si>
    <t>Location</t>
  </si>
  <si>
    <t>\\hc-ut40745c\Ban_Vien_external\Release\Gen_9.3</t>
  </si>
  <si>
    <t>+ Location Internal Project:</t>
  </si>
  <si>
    <t>\\hc-ut40346c\NHI5HC\hieunguyen\0000_Project</t>
  </si>
  <si>
    <t>\\hc-ut40346c\NHI5HC\hieunguyen\0000_Project\001_Prj\01_COEM\01_Output_Package</t>
  </si>
  <si>
    <t>+ Location Internal Your Output:</t>
  </si>
  <si>
    <t>+ Location Internal Your Release Output:</t>
  </si>
  <si>
    <t>\\hc-ut40346c\NHI5HC\hieunguyen\0000_Project\001_Prj\01_COEM\02_Release_Package</t>
  </si>
  <si>
    <t>Status Review</t>
  </si>
  <si>
    <t>Pending for OPL</t>
  </si>
  <si>
    <t>1.3.115.1</t>
  </si>
  <si>
    <t>1.2.115.1</t>
  </si>
  <si>
    <t>4.15.115.0</t>
  </si>
  <si>
    <t>1.3.115.0</t>
  </si>
  <si>
    <t>6.25.0.6.115.1</t>
  </si>
  <si>
    <t>1.47.115.0</t>
  </si>
  <si>
    <t>1.25.1.1.115.0</t>
  </si>
  <si>
    <t>1.0.1.5.115.0</t>
  </si>
  <si>
    <t>1.0.115.1</t>
  </si>
  <si>
    <t>1.2.5.0.115.1</t>
  </si>
  <si>
    <t>1.2.5.0.115.0</t>
  </si>
  <si>
    <t>1.23.115.1</t>
  </si>
  <si>
    <t>6.2.115.1</t>
  </si>
  <si>
    <t>1.7.115.0</t>
  </si>
  <si>
    <t>6.13.115.0</t>
  </si>
  <si>
    <t>1.0.115.0</t>
  </si>
  <si>
    <t>9.0.115.0</t>
  </si>
  <si>
    <t>1.1.115.2</t>
  </si>
  <si>
    <t>1.0.104.4.115.0</t>
  </si>
  <si>
    <t>4.2.115.6</t>
  </si>
  <si>
    <t>1.1.115.1</t>
  </si>
  <si>
    <t>MT_016</t>
  </si>
  <si>
    <t>MT_017</t>
  </si>
  <si>
    <t>MT_018</t>
  </si>
  <si>
    <t>MT_020</t>
  </si>
  <si>
    <t>MT_021</t>
  </si>
  <si>
    <t>MT_022</t>
  </si>
  <si>
    <t>MT_024</t>
  </si>
  <si>
    <t>MT_027</t>
  </si>
  <si>
    <t>MT_028</t>
  </si>
  <si>
    <t>MT_029</t>
  </si>
  <si>
    <t>MT_030</t>
  </si>
  <si>
    <t>MT_032</t>
  </si>
  <si>
    <t>MT_033</t>
  </si>
  <si>
    <t>MT_034</t>
  </si>
  <si>
    <t>MT_035</t>
  </si>
  <si>
    <t>MT_036</t>
  </si>
  <si>
    <t>MT_038</t>
  </si>
  <si>
    <t>MT_041</t>
  </si>
  <si>
    <t>MT_042</t>
  </si>
  <si>
    <t>MT_045</t>
  </si>
  <si>
    <t>MT_048</t>
  </si>
  <si>
    <t>MT_050</t>
  </si>
  <si>
    <t>MT_051</t>
  </si>
  <si>
    <t>MT_052</t>
  </si>
  <si>
    <t>MT_053</t>
  </si>
  <si>
    <t>MT_054</t>
  </si>
  <si>
    <t>MT_055</t>
  </si>
  <si>
    <t>MT_056</t>
  </si>
  <si>
    <t>MT_057</t>
  </si>
  <si>
    <t>MT_058</t>
  </si>
  <si>
    <t>MT_059</t>
  </si>
  <si>
    <t>MT_060</t>
  </si>
  <si>
    <t>MT_061</t>
  </si>
  <si>
    <t>MT_062</t>
  </si>
  <si>
    <t>MT_064</t>
  </si>
  <si>
    <t>MT_065</t>
  </si>
  <si>
    <t>MT_066</t>
  </si>
  <si>
    <t>MT_069</t>
  </si>
  <si>
    <t xml:space="preserve">PSA_PHEVv1_81ASW_10PSW </t>
  </si>
  <si>
    <t>PSA_Gen9_3_CarbonB3_PHEVv1_AscetDB</t>
  </si>
  <si>
    <t>GRCTrigger_Hold_to_Deactivate</t>
  </si>
  <si>
    <t>GRC_DeactivationStrategy</t>
  </si>
  <si>
    <t>cal_velocity_check</t>
  </si>
  <si>
    <t>CDD_FxGradLimGenerator</t>
  </si>
  <si>
    <t>StrategyCase2Mode_ESPhybrid</t>
  </si>
  <si>
    <t>ESPhybrid_StateMachine</t>
  </si>
  <si>
    <t>ESPhevX_QPrecontrol</t>
  </si>
  <si>
    <t>Dy_PCA_StandbyRamp_Arbitrator</t>
  </si>
  <si>
    <t>DBR_SF_Init_DebugData</t>
  </si>
  <si>
    <t>DBR_ControllerIntervention_HydBraking</t>
  </si>
  <si>
    <t>PressureLimiter_pGradLim</t>
  </si>
  <si>
    <t>CRB_ValidWheels</t>
  </si>
  <si>
    <t>CRB_StabilityMargin_Gradient</t>
  </si>
  <si>
    <t>CRB_StabilityMargin_Delay</t>
  </si>
  <si>
    <t>CRB_FbHydTargetDeadZone</t>
  </si>
  <si>
    <t>VehControl_Axle</t>
  </si>
  <si>
    <t>VLC_MPropwTrqConv_AP</t>
  </si>
  <si>
    <t>VLC_FxTarPTStatProp_AP</t>
  </si>
  <si>
    <t>Dy_CPK4_VLCAP_AxCtrlLimGradFx</t>
  </si>
  <si>
    <t>Psa_TCSPlus_TakeOffModeReq</t>
  </si>
  <si>
    <t>Psa_HADC_DTStateMMotCondition</t>
  </si>
  <si>
    <t>Pata_PassivRegler_Dy</t>
  </si>
  <si>
    <t>Pata_ModeSelectionOutput_Dy</t>
  </si>
  <si>
    <t>Pata_ModeEspNormalSport_EOR_Dy</t>
  </si>
  <si>
    <t>Pata_ModeEspNormalSport_Dy</t>
  </si>
  <si>
    <t>Pata_ModeEspNormal_Dy</t>
  </si>
  <si>
    <t>Pata_ModeASRPassiv_EOR_Dy</t>
  </si>
  <si>
    <t>Pata_ModeASRPassiv_Dy</t>
  </si>
  <si>
    <t>Pata_HMI_Interface_Dy</t>
  </si>
  <si>
    <t>Pata_ButtonPushed_Dy</t>
  </si>
  <si>
    <t>Dy_TCSPlus_Total_Max</t>
  </si>
  <si>
    <t>Dy_TCSPlus_SelectorDSM</t>
  </si>
  <si>
    <t>Dy_TCSPlus_ModeManagement</t>
  </si>
  <si>
    <t>Dy_CPK_AxRoadSlopeinDrivingDirectionProcessing</t>
  </si>
  <si>
    <t>CDD_nPumoLimitFix</t>
  </si>
  <si>
    <t>CDD_AXCMinLimdFxActuatorEna</t>
  </si>
  <si>
    <t>BEO_Accumulator</t>
  </si>
  <si>
    <t>T501</t>
  </si>
  <si>
    <t>T500</t>
  </si>
  <si>
    <t>T502</t>
  </si>
  <si>
    <t>OK</t>
  </si>
  <si>
    <t>NG</t>
  </si>
  <si>
    <t>Toy_PtsMessageCounter</t>
  </si>
  <si>
    <t>Toy_PtsSignalFilterInterpol</t>
  </si>
  <si>
    <t>Toyota_SspWss_MPropQualifier</t>
  </si>
  <si>
    <t>TOY_403B_MPT2_Integration37</t>
  </si>
  <si>
    <t>MT_008</t>
  </si>
  <si>
    <t>MT_009</t>
  </si>
  <si>
    <t>MT_010</t>
  </si>
  <si>
    <t>T02</t>
  </si>
  <si>
    <t xml:space="preserve">Halamani Prabhu (RBEI/ESJ-ATO) </t>
  </si>
  <si>
    <t>CSMosarASWMainstream93__TMC_403B_MPT2</t>
  </si>
  <si>
    <t>9 Data set</t>
  </si>
  <si>
    <t>ASW: 130 ELOCs</t>
  </si>
  <si>
    <t>Param2D Can't cover 100% C0/C1/MCDC</t>
  </si>
  <si>
    <t>NA</t>
  </si>
  <si>
    <t>None MCDC</t>
  </si>
  <si>
    <t>1 TC False output result is undefine</t>
  </si>
  <si>
    <t xml:space="preserve">Can't cover full MCDC at line #45. Because methods Ps_Switcher.calc(Slope,TCS_ParameterSet) and Ps_Switcher_TakeOff.calc(TCS_ParameterSet) isn't call in true case at line#42. =&gt; Ps_Switcher_TakeOff.Ps_TakeOff_AbsMDif_FA_Thr() always equal to zero.  </t>
  </si>
  <si>
    <t>none MCDC</t>
  </si>
  <si>
    <t>2 dataset: init, calc</t>
  </si>
  <si>
    <t>cannot cover false case at line 43:  (self-&gt;TCSPlus_DamageCounter_Value-&gt;val &lt;= (uint32)5999976U</t>
  </si>
  <si>
    <t>2 dataset</t>
  </si>
  <si>
    <t>Can't cover case default at line #79. Because switch (CRB_RollerBenchMode) at line #9 is full case for variable CRB_RollerBenchMode. None MCDC</t>
  </si>
  <si>
    <t>Task Group</t>
  </si>
  <si>
    <t>Effort (days)</t>
  </si>
  <si>
    <t>UT_Status</t>
  </si>
  <si>
    <t>EXTERNAL Nguyen Trung Hieu (Ban Vien, RBVH/EPS45)</t>
  </si>
  <si>
    <t>Done</t>
  </si>
  <si>
    <t>EXTERNAL Nguyen Tai Hau (Ban Vien, RBVH/EPS45)</t>
  </si>
  <si>
    <t>EXTERNAL Nguyen Duy Bang (Ban Vien, RBVH/EPS45)</t>
  </si>
  <si>
    <t>EXTERNAL Luu Cong Dac (Ban Vien, RBVH/EPS45)</t>
  </si>
  <si>
    <t>Okahiro Kosuke (CC-AS/ESJ4-JP), Pham Thanh Hai (RBVH/EAS23, CC-AS/ESJ4-JP)</t>
  </si>
  <si>
    <t>CTRL_PadWearAdjustmentHandler</t>
  </si>
  <si>
    <t>AnregHAAbregHA</t>
  </si>
  <si>
    <t>Controller_Gain_evGi</t>
  </si>
  <si>
    <t>FilterCoefficientB_UnbrakedCase</t>
  </si>
  <si>
    <t>MzPotentialDeZo</t>
  </si>
  <si>
    <t>VDC_ETR_UndersteeringCoefficient</t>
  </si>
  <si>
    <t>ConditionForReleaseOfUndersteeringControl</t>
  </si>
  <si>
    <t>DetectionOfPulledSteering</t>
  </si>
  <si>
    <t>FilterCoefficientA_BrakedCase</t>
  </si>
  <si>
    <t>FilterCoefficientA_UnbrakedCase</t>
  </si>
  <si>
    <t>FilterCoefficientsBrakedCase</t>
  </si>
  <si>
    <t>LimitForDecreasingSteeringAngle</t>
  </si>
  <si>
    <t>LimitForIncreasingSteeringAngle</t>
  </si>
  <si>
    <t>LoadTransferMzControl</t>
  </si>
  <si>
    <t>MaxTotalForceDriver</t>
  </si>
  <si>
    <t>TargetSlipBase</t>
  </si>
  <si>
    <t>TotalForceSafety</t>
  </si>
  <si>
    <t>YawRateMax</t>
  </si>
  <si>
    <t>FHI_Pata_HMI_Interface</t>
  </si>
  <si>
    <t>FHI_Pata_ModeSelectionOutput</t>
  </si>
  <si>
    <t>Subaru_Pata_EnvironmentVariables</t>
  </si>
  <si>
    <t>Subaru_Pata_ModeSupperXmode1</t>
  </si>
  <si>
    <t>Subaru_Pata_ModeSupperXmode2</t>
  </si>
  <si>
    <t>Subaru_Pata_VDCbuzzer</t>
  </si>
  <si>
    <t>Subaru_VehicleDynamicModeSelection</t>
  </si>
  <si>
    <t>DIA_MonitoringDeactivation_FHI</t>
  </si>
  <si>
    <t>STM_FeatureDeactivation_FHI</t>
  </si>
  <si>
    <t>1.8.140.0</t>
  </si>
  <si>
    <t>1.1.140.1</t>
  </si>
  <si>
    <t>8.5.140.1</t>
  </si>
  <si>
    <t>4.3.140.0</t>
  </si>
  <si>
    <t>8.3.140.1</t>
  </si>
  <si>
    <t>8.1.140.0</t>
  </si>
  <si>
    <t>1.5.140.1</t>
  </si>
  <si>
    <t>8.2.140.0</t>
  </si>
  <si>
    <t>8.4.140.1</t>
  </si>
  <si>
    <t>8.1.140.1</t>
  </si>
  <si>
    <t>8.2.140.1</t>
  </si>
  <si>
    <t>9.0.140.0</t>
  </si>
  <si>
    <t>8.0.140.1</t>
  </si>
  <si>
    <t>2.0.0.1</t>
  </si>
  <si>
    <t>1.0</t>
  </si>
  <si>
    <t>1.1.0.1</t>
  </si>
  <si>
    <t>1.0.0.2</t>
  </si>
  <si>
    <t>1.1.0.4</t>
  </si>
  <si>
    <t>[UUID _5ZqNAENOEea778p6_nyRsA]</t>
  </si>
  <si>
    <t>[UUID _5bKo4ENOEea778p6_nyRsA]</t>
  </si>
  <si>
    <t>rb.as.ms.f30.app.asw.custtarball</t>
  </si>
  <si>
    <t>rb.as.ms.f30.dsmpr</t>
  </si>
  <si>
    <t>SBR_ESP9_3_Gxx_SIA_Dev5_GA9W_BL03</t>
  </si>
  <si>
    <t>Total</t>
  </si>
  <si>
    <t>Judge Total KPI</t>
  </si>
  <si>
    <t>Duration</t>
  </si>
  <si>
    <t>MT_Needed</t>
  </si>
  <si>
    <t>MT_Number</t>
  </si>
  <si>
    <t>UT_055</t>
  </si>
  <si>
    <t>UT_058</t>
  </si>
  <si>
    <t>MT_013</t>
  </si>
  <si>
    <t>MT_040</t>
  </si>
  <si>
    <t>MT_043</t>
  </si>
  <si>
    <t>MT_046</t>
  </si>
  <si>
    <t>MT_047</t>
  </si>
  <si>
    <t>MT_063</t>
  </si>
  <si>
    <t>MT_067</t>
  </si>
  <si>
    <t>MT_071</t>
  </si>
  <si>
    <t>MT_072</t>
  </si>
  <si>
    <t>MT_075</t>
  </si>
  <si>
    <t>MT_076</t>
  </si>
  <si>
    <t>MT_077</t>
  </si>
  <si>
    <t>MT_078</t>
  </si>
  <si>
    <t>MT_079</t>
  </si>
  <si>
    <t>UT_055_DIA_MonitoringDeactivation_FHI_BB99433</t>
  </si>
  <si>
    <t>UT_058_STM_FeatureDeactivation_FHI_BB99433</t>
  </si>
  <si>
    <t>rb.as.core.app.asw.apbmi.host</t>
  </si>
  <si>
    <t>rb.as.core.app.asw.vdc.vdcwaddons</t>
  </si>
  <si>
    <t>How to fill status</t>
  </si>
  <si>
    <t>Status: Passed/Failed</t>
  </si>
  <si>
    <t>Test_Result: Ready for review</t>
  </si>
  <si>
    <t>Nguyen Trung Hieu</t>
  </si>
  <si>
    <t>Nguyen Tai Hau</t>
  </si>
  <si>
    <t>Nguyen Duy Bang</t>
  </si>
  <si>
    <t>Luu Cong Dac</t>
  </si>
  <si>
    <t>RBVar_VariantHandling_FHI</t>
  </si>
  <si>
    <t>[UUID _mMRKYD0UEeaEcLwvmBdEmA]</t>
  </si>
  <si>
    <t>UT_048</t>
  </si>
  <si>
    <t>UT_048_RBVar_VariantHandling_FHI_BB99433</t>
  </si>
  <si>
    <t>T200</t>
  </si>
  <si>
    <t>T201</t>
  </si>
  <si>
    <t>T202</t>
  </si>
  <si>
    <t>T203</t>
  </si>
  <si>
    <t>rb.as.ms.f30.app.dsm</t>
  </si>
  <si>
    <t>CSMosarASWMainstream93_SUB_Gx9_BL01</t>
  </si>
  <si>
    <t>Param1D, Param2D can't cover full C0/C1</t>
  </si>
  <si>
    <t>- Param2D can not cover 100% coverage
- anreguha () return can not greater than 2 due to limit assignment by formula and range value of "l_vGiHA", "P_vGiduM" from 0 to 1</t>
  </si>
  <si>
    <t>Line 17, 21: can not cover because limit assignment of dMz at line 17 =&gt; never greater than 0</t>
  </si>
  <si>
    <t>- Line 215: if(RBFS_Project == RBFS_Project_GxxiBwithEyesightJPN || RBFS_Project == RBFS_Project_GxxiBwithoutEyesightJPN) is never true because it is fixed by:
#define RBFS_Project                           RBFS_Project_GB8withEyesight
- Line 598: if(RBFS_iBooster == RBFS_iBooster_Yes) is never false because it is fixed by:
#define RBFS_iBooster                          RBFS_iBooster_No
- Line 623: if(RBFS_iBooster == RBFS_iBooster_No) is never false because it is fixed by:
#define RBFS_iBooster                          RBFS_iBooster_No
- Line 651: if(RBFS_Vehicle == RBFS_Vehicle_Exx) is never true because it is fixed by:
#define RBFS_Vehicle                           RBFS_Vehicle_Gxx
- Line 678: if(RBFS_Vehicle == RBFS_Vehicle_Gxx) is never false because it is fixed by:
#define RBFS_Vehicle                           RBFS_Vehicle_Gxx</t>
  </si>
  <si>
    <t>Delta&gt;New</t>
  </si>
  <si>
    <t>New</t>
  </si>
  <si>
    <t>Delta</t>
  </si>
  <si>
    <t>MainstreamFHI</t>
  </si>
  <si>
    <t>cannot cover default of switch case at line 150</t>
  </si>
  <si>
    <t xml:space="preserve"> cannot at input to cover 4 cases :
(uint32)self-&gt;CovGiSon-&gt;val * (uint32)self-&gt;P_CocvGiSoFAn1-&gt;val &gt;   (uint32)131072U at line 24,36
(uint16)_t1sint32 &gt; (uint16)2048 at line 62, 66</t>
  </si>
  <si>
    <t>at line 33, cannot cover  P_CovGiSoFil_xmode-&gt;val &gt; (uint16)2048</t>
  </si>
  <si>
    <t>Line 46: dMzDeZoF += P_CoFiltDMzPot*( 2*l_dMzDeZo-dMzDeZoF); 
=&gt; Unable cover out range max, min. Because it is a filter and the range of P_CoFiltDMzPot is from 0 to 0.95</t>
  </si>
  <si>
    <t>8h00</t>
  </si>
  <si>
    <t>17h00</t>
  </si>
  <si>
    <t>15h00</t>
  </si>
  <si>
    <t>Dy_BrakingInProgress</t>
  </si>
  <si>
    <t>WQ_WSS_Inpl</t>
  </si>
  <si>
    <t>WQ_vRadPPPmaxmin</t>
  </si>
  <si>
    <t>WQ_Norm_Whl</t>
  </si>
  <si>
    <t>WF_WheelvMinIdent</t>
  </si>
  <si>
    <t>WF_LiftedWheel</t>
  </si>
  <si>
    <t>WF_CalcFRad</t>
  </si>
  <si>
    <t>vxaxToOffKorrStdBeob</t>
  </si>
  <si>
    <t>TransVF20ms</t>
  </si>
  <si>
    <t>Trans_vyMin</t>
  </si>
  <si>
    <t>Trans_vRadLam</t>
  </si>
  <si>
    <t>Trans_vRadFreiLamVA</t>
  </si>
  <si>
    <t>Trans_vRadFreiLamHA</t>
  </si>
  <si>
    <t>Trans_vGiRadst</t>
  </si>
  <si>
    <t>SpecialSituationsRad</t>
  </si>
  <si>
    <t>SM_TempIdentification</t>
  </si>
  <si>
    <t>SM_CalcvFzRefHilfKorr</t>
  </si>
  <si>
    <t>SM_CalcaxToOff</t>
  </si>
  <si>
    <t>SM_CalcaxToFR</t>
  </si>
  <si>
    <t>SM_ABSbeiBlsW</t>
  </si>
  <si>
    <t>SM_AbhaengT</t>
  </si>
  <si>
    <t>SlopeEstimation</t>
  </si>
  <si>
    <t>Set_vFzRef_LastValid</t>
  </si>
  <si>
    <t>REFQualifierOut</t>
  </si>
  <si>
    <t>RefIniState</t>
  </si>
  <si>
    <t>REF_WSS_LWSinCos</t>
  </si>
  <si>
    <t>REF_Reconfiguration</t>
  </si>
  <si>
    <t>REF_Reconfig_Whl</t>
  </si>
  <si>
    <t>OffRoadAufseilSusp</t>
  </si>
  <si>
    <t>NoSignals2Log</t>
  </si>
  <si>
    <t>ISWheels</t>
  </si>
  <si>
    <t>Extra_vRadFreiLamRad</t>
  </si>
  <si>
    <t>Extra_vRad1NoInp</t>
  </si>
  <si>
    <t>Extra_vFzgF</t>
  </si>
  <si>
    <t>Extra_vFzg</t>
  </si>
  <si>
    <t>Extra_Rol</t>
  </si>
  <si>
    <t>Extra_RadSorterKorrektor</t>
  </si>
  <si>
    <t>Extra_RadSorter</t>
  </si>
  <si>
    <t>Extra_CalcvRadFreiLam</t>
  </si>
  <si>
    <t>DriveSituationIdentification</t>
  </si>
  <si>
    <t>CalcStuetz</t>
  </si>
  <si>
    <t>Bremsschlupf</t>
  </si>
  <si>
    <t>Backup2Log</t>
  </si>
  <si>
    <t>AnzABS</t>
  </si>
  <si>
    <t>ABS2REF_Confidence</t>
  </si>
  <si>
    <t>WF_VDCActive</t>
  </si>
  <si>
    <t>STM_REF_Adapter</t>
  </si>
  <si>
    <t>SpecialSituationsFahrzeug</t>
  </si>
  <si>
    <t>RMIstatemachine</t>
  </si>
  <si>
    <t>DySosOut_WheelMappingIn</t>
  </si>
  <si>
    <t>DySosEst_tFZRVAL</t>
  </si>
  <si>
    <t>DySosEst_LwCrit</t>
  </si>
  <si>
    <t>DySosEst_LoadTransferBdOn</t>
  </si>
  <si>
    <t>DySosEst_LMSusp</t>
  </si>
  <si>
    <t>DySosEst_KovGiSoRed</t>
  </si>
  <si>
    <t>DySosEst_DSignLw</t>
  </si>
  <si>
    <t>DySosEst_DBetaILw</t>
  </si>
  <si>
    <t>DySosCon_dMzDySosHMueFilter</t>
  </si>
  <si>
    <t>DySosCon_dMzDySosHMueEnd</t>
  </si>
  <si>
    <t>DySosCon_anreguhaRed</t>
  </si>
  <si>
    <t>BodyAndSideSlipAngleIntegration_Dy</t>
  </si>
  <si>
    <t>ax_Kalman</t>
  </si>
  <si>
    <t>TCSTar_Opt_TireStiffness_Est</t>
  </si>
  <si>
    <t>TCSbaseLib_BreakPoint</t>
  </si>
  <si>
    <t>TCS_Tar_Opt_slTarMyExtd</t>
  </si>
  <si>
    <t>TCS_Tar_Opt_ORD_CoslOffroad</t>
  </si>
  <si>
    <t>TCS_Tar_CoslTarTCS</t>
  </si>
  <si>
    <t>TCS_Tar_CoPropRed</t>
  </si>
  <si>
    <t>TCS_Sig_Perm_Axe_SlipSignals</t>
  </si>
  <si>
    <t>TCS_Sig_axModellError</t>
  </si>
  <si>
    <t>2.2</t>
  </si>
  <si>
    <t>8.0</t>
  </si>
  <si>
    <t>4.0</t>
  </si>
  <si>
    <t>5.0</t>
  </si>
  <si>
    <t>5.0.115.0</t>
  </si>
  <si>
    <t>6.2.115.2</t>
  </si>
  <si>
    <t>2.0</t>
  </si>
  <si>
    <t>2.1</t>
  </si>
  <si>
    <t>4.1</t>
  </si>
  <si>
    <t>3.2</t>
  </si>
  <si>
    <t>4.3</t>
  </si>
  <si>
    <t>4.0.115.0</t>
  </si>
  <si>
    <t>4.0.116.0</t>
  </si>
  <si>
    <t>Delta/New</t>
  </si>
  <si>
    <t>MT_031</t>
  </si>
  <si>
    <t>MT_037</t>
  </si>
  <si>
    <t>MT_039</t>
  </si>
  <si>
    <t>MT_044</t>
  </si>
  <si>
    <t>MT_049</t>
  </si>
  <si>
    <t>MT_068</t>
  </si>
  <si>
    <t>MT_070</t>
  </si>
  <si>
    <t>MT_073</t>
  </si>
  <si>
    <t>MT_074</t>
  </si>
  <si>
    <t>MT_080</t>
  </si>
  <si>
    <t>MT_081</t>
  </si>
  <si>
    <t>MT_082</t>
  </si>
  <si>
    <t>MT_083</t>
  </si>
  <si>
    <t>MT_084</t>
  </si>
  <si>
    <t>MT_085</t>
  </si>
  <si>
    <t>MT_086</t>
  </si>
  <si>
    <t>MT_087</t>
  </si>
  <si>
    <t>MT_088</t>
  </si>
  <si>
    <t>MT_089</t>
  </si>
  <si>
    <t>MT_090</t>
  </si>
  <si>
    <t>MT_091</t>
  </si>
  <si>
    <t>MT_092</t>
  </si>
  <si>
    <t>MT_093</t>
  </si>
  <si>
    <t>MT_094</t>
  </si>
  <si>
    <t>MT_095</t>
  </si>
  <si>
    <t>MT_096</t>
  </si>
  <si>
    <t>MT_097</t>
  </si>
  <si>
    <t>CW10_EMP2V3_SmartCar_MHEV_381</t>
  </si>
  <si>
    <t xml:space="preserve">Can't cover case "vGiAct = 0" at line #47. Because of at line #34 "vGiAct = vGiAct.max(vGiMin);" the variable vGiMin is always greater than zero, and min of Thres_vxMin value is 1.
Can't cover out max assignment to YawRateRatio at line #55. Because of max value of P_FilCoYawRateRatio is 1, and max value of YawRateRatioRaw is 10. </t>
  </si>
  <si>
    <t>Can't cover case assignment to tmp2 greater than zero at line #12. Because of the variable DAbsLw &lt; 0 and temp1 is always greater zero
Can't cover case assignment to tmp2 greater than zero at line #18. Because of the variable DAbsLw &lt; 0 and temp1 is always greater zero.
Param1D, Param2D can't cover full C0/C1/MCDC</t>
  </si>
  <si>
    <t>Can't cover case  assignment to CovGiSob less than zero at line #23. Because of at line #3 "DvGiMax = (DvGiF.abs()).min(P_DvGiFAbhStabMax.getAt(mueF));" =&gt; DvGiMax always less than or qual to P_DvGiFAbhStabMax.getAt(mueF)
Param1D, Param2D can't cover full C0/C1</t>
  </si>
  <si>
    <t>Param1D can't cover full C0/C1.
Can't cover assignment to vGiSoAckUAckUF out range max and min at line #8. Because max value of P_CoAckuUeberzieh is qual to 1.
Can't cover check AbsvGiSoAckUAckUF == 0 at line#19. Because when condition at line #15 true, AbsvGiSoAckUAckUF &gt; 0
Can't cover assignment to Ueberz out range max at line #19. Because "vGiSoBegRohmod &lt; AbsvGiSoAckUAckUF"</t>
  </si>
  <si>
    <t>CovGiSon is never less than 0, and greater than 1 because:
+ Limit assignment for CovGiSon: [0; 1.0]</t>
  </si>
  <si>
    <t>Time</t>
  </si>
  <si>
    <t>days</t>
  </si>
  <si>
    <t>Assigned
ELOCs</t>
  </si>
  <si>
    <t>Completed
ELOCs</t>
  </si>
  <si>
    <t>Effort
(days)</t>
  </si>
  <si>
    <t>Actual Effort
(days)</t>
  </si>
  <si>
    <t>Loc Assigned</t>
  </si>
  <si>
    <t>Brief Description:</t>
  </si>
  <si>
    <t>9h00</t>
  </si>
  <si>
    <t>Ontime</t>
  </si>
  <si>
    <t>Can't cover assignment to vGiSoAckUAckUF out range max, min at line #8. Because when vGiSoAckUAckUF reach max value than P_CoAckuzvGiSo equal to 1. =&gt; vGiSoAckUAckUF(max) = vGiSoAckUF(max) = 4
Can’t cover  assignment to Ueberz out range max at line #19. Because "vGiSoBegRohmod &lt; AbsvGiSoAckUAckUF"</t>
  </si>
  <si>
    <t>cannot cover because of param1D and true case (slRadSoV &gt; 1024) at line 13
explain: slRadSoV   = (slRadSoV.min(P_slRadSoVMax)).max(0); // P_slRadSoVMax max = 891</t>
  </si>
  <si>
    <t>12h00</t>
  </si>
  <si>
    <t>Duration (Plan)</t>
  </si>
  <si>
    <t>Duration (Actual)</t>
  </si>
  <si>
    <t>Contact point: EXTERNAL Sooraj L Sankaranarayanan (Brigosha, RBEI/PJ-OM-NE2-VS); CC: Bincy Francis (RBEI/ESE31) ; Priyadarshini Sharma (RBEI/ESE31) ; Jawahar Ravichandran (RBEI/ESE31)</t>
  </si>
  <si>
    <t>Contact Point: EXTERNAL Sooraj L Sankaranarayanan (Brigosha, RBEI/PJ-OM-NE2-VS); CC: Bincy Francis (RBEI/ESE31) ; Priyadarshini Sharma (RBEI/ESE31) ; Jawahar Ravichandran (RBEI/ESE31</t>
  </si>
  <si>
    <t>[No1]: #Line 112 never false because when B_Goto_PrefillFromAcc is false, but B_Goto_PrefillFromAcc is false, # Line 99 will never reached =&gt; # Line 108 will false
[No2]: #Line 127, condition (state &lt;= ESPhybrid_State_PressCntrlBoth)  is never false because state must be greater than 15, therefore we have to control through condtion at #Line 112. However, #Line 112 is never false, so the variable state always less than value 15.
[No3]: Line 134, Line 135: condition "PressureControlEnable_Evra" is never reach effective false due to when state = 13, pTarget_FA must be value "0" and B_OverpResidual_TargetFA must be value "TRUE". However the limit assignment for pResidual_Hys_Estimated is [0-12800] so "B_OverpResidual_TargetFA" is always reset to value "FALSE"
[No4]: Line 20: pResidual_Hys_Estimated=pResidual_Estimated-pSmall is never reached overflow of the MAX value
+ pSmall = ESPhevX_pSmall = 0.5 (non-calib)
+ Limit assignment pResidual_Hys_Estimated: [0;12800]; pResidual_Estimated: [-640;12800]; pSmall: [-640;12800]
Therefore, the calcualation of "pResidual_Estimated-pSmall" is alway less than the MAX value of pResidual_Hys_Estimated</t>
  </si>
  <si>
    <t>Variable debugData always initialized with value "0" at line 6. Therefore, the output of variable debugData is never reached value MAX from line 12 to line 19</t>
  </si>
  <si>
    <t>Can't cover case min assignment for variable pTgtGradlim_RA_loc at line#102. Because of min value of Qlim_RA_loc is equal to zero.
Can't cover case min assignment for variable delta_p_fine_RA at line#103. Because of min value of pTgtGradlim_RA_loc is equal to zero.
Can't cover cases min max assignment for variable delta_p_fine_FA at line #113 and line #114. Because of " delta_p_fine_FA - ReImplement2Pressure_normal(delta_p_fine_FA)" is always less then max value of delta_p_fine_FA and greater than min value of delta_p_fine_FA.
Can't cover case max assignment for variable cCir at line#122. Because of max value of "cCir = (cFA * cRA) / (cRA + cFA);" when cFA = cRA; =&gt; max = cFA/2=cRA/2 &lt; max of cCir.
Param1D can't cover full C0/C1/MCDC</t>
  </si>
  <si>
    <t>Can't cover full MCDC at line #16. 
Because of C_TimeLowGradient = max(CRB_LowGradientTimeABS_FA,CRB_dT), cant create case "crb_sm_GradTimer &gt; C_TimeLowGradient &amp;&amp; crb_sm_GradTimer == C_dTCycle". 
None MCDC</t>
  </si>
  <si>
    <t>Param2D Cant cover 100% for C0/C1</t>
  </si>
  <si>
    <t>Param1D can't cover full C0/C1/MCDC.
Can't cover out max min assignment to varable VlcFxTarPTStatProp at line #20. Because of local variable VlcFxTarPTStatPropModel can't reach max or min value.
Can't cover true case at line #24 and line #28. Because when condition at line #22 is true then variable VlcFxTarPTStatPropModel always equal to varable VlcFxTarPTStatProp.</t>
  </si>
  <si>
    <t>cannot cover MCDC at line 47:   Vx &gt; self-&gt;C_SpeedThreshold_ASRPassivMotricity-&gt;val &lt;&lt; 3), because it is depended on line 36: Vx &lt;= self-&gt;C_SpeedThreshold_ASRPassivMotricity-&gt;val &lt;&lt; 3)
cannot cover MCDA at line 99, 110, 121: Vx &lt;= self-&gt;C_SpeedThreshold_ASRPlus-&gt;val &lt;&lt; 3), because it is depended on line 87:   Vx &lt;= self-&gt;C_SpeedThreshold_ASRPassiv-&gt;val &lt;&lt; 3)</t>
  </si>
  <si>
    <t>canot cover:
case false at line 17: _t1sint32 &gt;= (sint32)-125829120) ? (_t1sint32 &lt;= (sint32)125829120L) with   _t1sint32 = (sint32)AxRoadSlopeF * self-&gt;l_LwCosMean-&gt;val;
case false at line 26: _t1sint32 &gt;= (sint32)-503316480) ? (_t1sint32 &lt;= (sint32)503316480L with _t1sint32 = (sint32)ay_COG * self-&gt;l_LwSinMean-&gt;val / (sint32)16 * self-&gt;C_Dy_AxRoadSlopeDrvAyCompCoeff-&gt;val;
case false at line 47: _t1sint32 &gt;= (sint32)-30720) with _t1sint32 = (sint32)self-&gt;AxRoadSlopeFinDrivingDirection_axPart-&gt;val + self-&gt;AxRoadSlopeFinDrivingDirection_ayPart-&gt;val</t>
  </si>
  <si>
    <t>cannot cover 100% because of Param1D and case false at line 21: _t1sint32 &lt;= (sint16)2500 with _t1sint32 = self-&gt;CDDnPumoMax-&gt;val + CharTable1_getAt_sint16_sint16_dispatch(self-&gt;C_Dy_CddApNPumoMaxOffset_1D, vVeh, "C_Dy_CddApNPumoMaxOffset_1D.getAtOneD at calc: line #21 in component CDD_nPumoLimitFix::Impl");</t>
  </si>
  <si>
    <t>cannot cover C0,1, MCDC because of param1D and last discistion true at line 11:  !self-&gt;AXCMinLimdFxActuatorEna-&gt;val
because it depend on itself in front of condition :   self-&gt;AXCMinLimdFxActuatorEna-&gt;val = (uint8)(CddAXCActive &amp;&amp; !CddAbsOneWhl &amp;&amp; !ApEmergencyBrake &amp;&amp; CddAxCtrlDev &gt; CharTable1_getAt_uint16_sint16_dispatch(self-&gt;P_CddAxCtrlDevDisableLimActuator_1D, APAStopDist, "P_CddAxCtrlDevDisableLimActuator_1D.getAtOneD at calc: line #9 in component CDD_AXCMinLimdFxActuatorEna::Impl") &amp;&amp; (CdddAxCtrlDev &gt; self-&gt;Loc_CdddAxCtrlDevDisableLimActuatorEna-&gt;val &amp;&amp; self-&gt;AXCMinLimdFxActuatorEna-&gt;val || CdddAxCtrlDev &gt; self-&gt;Loc_CdddAxCtrlDevDisableLimActuatorDis-&gt;val &amp;&amp; !self-&gt;AXCMinLimdFxActuatorEna-&gt;val))</t>
  </si>
  <si>
    <t>- Took 1 days to fix Action Item of Peer Review on 16th Mar, 2020</t>
  </si>
  <si>
    <t>- Different process with COEM team</t>
  </si>
  <si>
    <t>- Lacked 1 person due to surgery, so we do task with 3 person</t>
  </si>
  <si>
    <t>- No comment</t>
  </si>
  <si>
    <t>Delayed</t>
  </si>
  <si>
    <t>Detail:</t>
  </si>
  <si>
    <t>Actual Effort (days)</t>
  </si>
  <si>
    <t>Num of OPLs</t>
  </si>
  <si>
    <t>Num of Defects</t>
  </si>
  <si>
    <t>Conversion Leave Date</t>
  </si>
  <si>
    <t>Effort PSW (days)</t>
  </si>
  <si>
    <t>Effort ASW
(days)</t>
  </si>
  <si>
    <t>Line 11, 17 23, 29: AnzvRadMin++ is never reached max value because variable AnzvRadMin is initialized by value "0" at line 5</t>
  </si>
  <si>
    <t>Can't cover assignment to LOC_delAbhaengT out range max, min at line #11, line #12. Because of range of "(FStuetz - P_FStuetzNull)" is [-0.5; 0.5], and P_KabFStuetz = 1.3, P_KanFStuetz = 0.04
Can’t cover assignment to LOC_delAbhaengT out max, min at line #16. Because of max value of "LOC_AbhaengT - (2*LOC_delAbhaengT)" equal to 4.3, and min value is -0.5.
Can't cover assignment to LOC_delAbhaengT out min value at line#18. Because of min value of "LOC_AbhaengT - (2*LOC_delAbhaengT)" equal to -0.5
Can't cover  assignment to LOC_AbhaengT less than zero to zero at line #21. Because of at line #20 the variable LOC_delAbhaengT always greater than or equal to zero.
Can't cover case LOC_AbhaengT greater than P_AbhaengTmax at line #26, and assignment to AbhaengT out range max. Because of "LOC_delAbhaengT = (LOC_delAbhaengT.min(P_AbhaengTmax)).max(0);" at line #20 =&gt; LOC_delAbhaengT always less than or equal to P_AbhaengTmax.</t>
  </si>
  <si>
    <t>Can't cover check "NrPlausibleWheels-1" == 0 at line #29. Beacause the condition "if (NrPlausibleWheels &gt; 2)" at line #26 is TRUE case.
Can't cover check "NrPlausibleWheels" == 0 at line #33. Beacause the condition "if (NrPlausibleWheels &gt; 0)" at line #5 is TRUE case.
Can't cover  assignment to tvWhlInBand out min value at line #60. Because the condition "if (tvWhlInBand &gt; P_tvWhlDecrement)" at line #59 is TRUE case.</t>
  </si>
  <si>
    <t>Can't cover assignment to NrPlausibleWheels out max value at lines #17, #26, #35, #44. Because NrPlausibleWheels = 0 at line #2.
Can't cover  assignment to vWhl_MeanValid out max value at lines #20, #29, #38, #47. Because "vWhl_MeanValid = 0" at line #5, max value of vF_FL, vF_FR, vF_RL, vF_RR are equal to 100.</t>
  </si>
  <si>
    <t>T_J-001</t>
  </si>
  <si>
    <t>T_J-002</t>
  </si>
  <si>
    <t>T_J-003</t>
  </si>
  <si>
    <t>T_J-004</t>
  </si>
  <si>
    <t>T_J-005</t>
  </si>
  <si>
    <t>T_J-006</t>
  </si>
  <si>
    <t>T_J-007</t>
  </si>
  <si>
    <t>T_J-008</t>
  </si>
  <si>
    <t>T_J-009</t>
  </si>
  <si>
    <t>T_J-010</t>
  </si>
  <si>
    <t>T_J-011</t>
  </si>
  <si>
    <t>T_J-012</t>
  </si>
  <si>
    <t>T_J-013</t>
  </si>
  <si>
    <t>T_J-014</t>
  </si>
  <si>
    <t>T_J-015</t>
  </si>
  <si>
    <t>T_J-016</t>
  </si>
  <si>
    <t>T_J-017</t>
  </si>
  <si>
    <t>T_J-018</t>
  </si>
  <si>
    <t>T_J-019</t>
  </si>
  <si>
    <t>T_J-020</t>
  </si>
  <si>
    <t>T_J-021</t>
  </si>
  <si>
    <t>T_J-022</t>
  </si>
  <si>
    <t>T_J-023</t>
  </si>
  <si>
    <t>T_J-024</t>
  </si>
  <si>
    <t>T_J-025</t>
  </si>
  <si>
    <t>T_J-026</t>
  </si>
  <si>
    <t>T_J-027</t>
  </si>
  <si>
    <t>T_J-028</t>
  </si>
  <si>
    <t>T_J-029</t>
  </si>
  <si>
    <t>T_J-030</t>
  </si>
  <si>
    <t>T_J-031</t>
  </si>
  <si>
    <t>T_J-032</t>
  </si>
  <si>
    <t>T_J-033</t>
  </si>
  <si>
    <t>T_J-034</t>
  </si>
  <si>
    <t>T_J-035</t>
  </si>
  <si>
    <t>T_J-036</t>
  </si>
  <si>
    <t>T_J-037</t>
  </si>
  <si>
    <t>T_J-038</t>
  </si>
  <si>
    <t>T_J-039</t>
  </si>
  <si>
    <t>T_J-040</t>
  </si>
  <si>
    <t>T_J-041</t>
  </si>
  <si>
    <t>T_J-042</t>
  </si>
  <si>
    <t>T_J-043</t>
  </si>
  <si>
    <t>T_J-044</t>
  </si>
  <si>
    <t>T_J-045</t>
  </si>
  <si>
    <t>T_J-046</t>
  </si>
  <si>
    <t>T_J-047</t>
  </si>
  <si>
    <t>T_J-048</t>
  </si>
  <si>
    <t>T_J-049</t>
  </si>
  <si>
    <t>T_J-050</t>
  </si>
  <si>
    <t>T_J-051</t>
  </si>
  <si>
    <t>T_J-052</t>
  </si>
  <si>
    <t>T_J-053</t>
  </si>
  <si>
    <t>T_J-054</t>
  </si>
  <si>
    <t>T_J-055</t>
  </si>
  <si>
    <t>T_J-056</t>
  </si>
  <si>
    <t>T_J-057</t>
  </si>
  <si>
    <t>T_J-058</t>
  </si>
  <si>
    <t>T_J-059</t>
  </si>
  <si>
    <t>T_J-060</t>
  </si>
  <si>
    <t>T_J-061</t>
  </si>
  <si>
    <t>T_J-062</t>
  </si>
  <si>
    <t>T_J-063</t>
  </si>
  <si>
    <t>T_J-064</t>
  </si>
  <si>
    <t>T_J-065</t>
  </si>
  <si>
    <t>T_J-066</t>
  </si>
  <si>
    <t>T_J-067</t>
  </si>
  <si>
    <t>T_J-068</t>
  </si>
  <si>
    <t>T_J-069</t>
  </si>
  <si>
    <t>T_J-070</t>
  </si>
  <si>
    <t>T_J-071</t>
  </si>
  <si>
    <t>T_J-072</t>
  </si>
  <si>
    <t>T_J-073</t>
  </si>
  <si>
    <t>T_J-074</t>
  </si>
  <si>
    <t>T_J-075</t>
  </si>
  <si>
    <t>T_J-076</t>
  </si>
  <si>
    <t>T_J-077</t>
  </si>
  <si>
    <t>T_J-078</t>
  </si>
  <si>
    <t>T_J-079</t>
  </si>
  <si>
    <t>T_J-080</t>
  </si>
  <si>
    <t>T_J-081</t>
  </si>
  <si>
    <t>T_J-082</t>
  </si>
  <si>
    <t>T_J-083</t>
  </si>
  <si>
    <t>T_J-084</t>
  </si>
  <si>
    <t>T_J-085</t>
  </si>
  <si>
    <t>T_J-086</t>
  </si>
  <si>
    <t>T_J-087</t>
  </si>
  <si>
    <t>T_J-088</t>
  </si>
  <si>
    <t>T_J-089</t>
  </si>
  <si>
    <t>T_J-090</t>
  </si>
  <si>
    <t>T_J-091</t>
  </si>
  <si>
    <t>T_J-092</t>
  </si>
  <si>
    <t>T_J-093</t>
  </si>
  <si>
    <t>T_J-094</t>
  </si>
  <si>
    <t>T_J-095</t>
  </si>
  <si>
    <t>T_J-096</t>
  </si>
  <si>
    <t>T_J-097</t>
  </si>
  <si>
    <t>T_J-098</t>
  </si>
  <si>
    <t>T_J-099</t>
  </si>
  <si>
    <t>T_J-100</t>
  </si>
  <si>
    <t>T_J-101</t>
  </si>
  <si>
    <t>T_J-102</t>
  </si>
  <si>
    <t>T_J-103</t>
  </si>
  <si>
    <t>T_J-104</t>
  </si>
  <si>
    <t>T_J-105</t>
  </si>
  <si>
    <t>T_J-106</t>
  </si>
  <si>
    <t>T_J-107</t>
  </si>
  <si>
    <t>T_J-108</t>
  </si>
  <si>
    <t>T_J-109</t>
  </si>
  <si>
    <t>T_J-110</t>
  </si>
  <si>
    <t>T_J-111</t>
  </si>
  <si>
    <t>T_J-112</t>
  </si>
  <si>
    <t>T_J-113</t>
  </si>
  <si>
    <t>T_J-114</t>
  </si>
  <si>
    <t>T_J-115</t>
  </si>
  <si>
    <t>T_J-116</t>
  </si>
  <si>
    <t>T_J-117</t>
  </si>
  <si>
    <t>T_J-118</t>
  </si>
  <si>
    <t>T_J-119</t>
  </si>
  <si>
    <t>T_J-120</t>
  </si>
  <si>
    <t>T_J-121</t>
  </si>
  <si>
    <t>T_J-122</t>
  </si>
  <si>
    <t>T_J-123</t>
  </si>
  <si>
    <t>T_J-124</t>
  </si>
  <si>
    <t>T_J-125</t>
  </si>
  <si>
    <t>T_J-126</t>
  </si>
  <si>
    <t>T_J-127</t>
  </si>
  <si>
    <t>T_J-128</t>
  </si>
  <si>
    <t>T_J-129</t>
  </si>
  <si>
    <t>T_J-130</t>
  </si>
  <si>
    <t>T_J-131</t>
  </si>
  <si>
    <t>T_J-132</t>
  </si>
  <si>
    <t>T_J-133</t>
  </si>
  <si>
    <t>T_J-134</t>
  </si>
  <si>
    <t>T_J-135</t>
  </si>
  <si>
    <t>T_J-136</t>
  </si>
  <si>
    <t>T_J-137</t>
  </si>
  <si>
    <t>T_J-138</t>
  </si>
  <si>
    <t>T_J-139</t>
  </si>
  <si>
    <t xml:space="preserve">Can't cover false case for condition "vRadFreiLamVL &lt;= vRad1NoInp" at line #3. Because "vRad1NoInp =  P_vMinIni" at line #1 and vMinIni = 250 (non calibration). </t>
  </si>
  <si>
    <t>Can't cover case check "P_dTRef == 0" at line #8. Because of imported parameter dTRef = 0.02 (noncalibration)
Can't cover  assignment to LoCaxTo out max, min value at line #8. Because of "LoCaxTo = LoCaxTo.max(-0.4);
LoCaxTo = LoCaxTo.min(0.4);" at line #6, #7 =&gt; range value of LoCaxTo is from -0.4 to 0.4 
Can't cover  assignment to axToF out max, min value at line #10. Because of  imported parameter Fi13 = 0.03 (noncalibration). =&gt; value of axToF at line #10 "axToF += (LoCaxTo - axToF) * P_Fi13;" =&gt; axToF = axToF + (LoCaxTo - axToF)*0.03 = 0.03*LoCaxTo + 0.97*axToF. =&gt; axToF(max) = 0.03*0.4 + 0.97*27 = 26.202;  axToF(min) = -0.03*0.4 + 0.97*(-27) = -26.202;</t>
  </si>
  <si>
    <t>Can't cover case ax &lt; P_axMax, ax &gt; P_axMin at line #20. Because "axGes = axOff + axModell;" at line #2. =&gt; max value of axGes = 27, min value of axGes = -27. imported param axMax = 27, axMin = -27 (noncalibration).
Can't cover  assignment to axF2 out range max, min value at line #21. Because of imported parameter Fi14 = 0.07 (noncalibration) =&gt; "axF2 += (( ax - axF2) * P_Fi14 );" at line #21&lt;=&gt; axF2 = axF2*0.93 + ax*0.07 =&gt; axF2(max) = 0.93*27+0.07*27 = 27; axF2(min) = 0.93*-27+0.07*-27 = -27</t>
  </si>
  <si>
    <t>Can't cover false case check "LOC_Count1 &lt;= 253" at line #11. Because "for (LOC_Count1 = 0; LOC_Count1 &lt;= 3; LOC_Count1++)" at line #11, =&gt; variable LOC_Count1 is from 0 to 3.
Can't cover false case check "LOC_Count2 &lt;= 253" at line #30. Because "for (LOC_Count2 = 0; LOC_Count2 &lt;= 3; LOC_Count2++)" at line #30, =&gt; variable LOC_Count2 is from 0 to 3.</t>
  </si>
  <si>
    <t>Modify estimation effort from 1..615 hour to 4 hour. Confirm by Mr. Hoang</t>
  </si>
  <si>
    <t>[Function calc]
Line 6: axTo = ax*P_dT; can not reached max/min because P_dT is non calib and fixed with value "0.02"
[Function Init]
- Line 7,17, 27, 37 in function Iint: Examplle for LOC_Number_Plaus_FA ++: can not reach max value because it is  initialized with value "0" at line 2, 3
- Line 53, 57, 64, 68, 73: vFzRef = (LOC_vRL+LOC_vRR)/LOC_Number_Plaus_RA can not cover case "LOC_Number_Plaus_RA" is assigned to value "0" because LOC_Number_Plaus_RA and LOC_Number_Plaus_FA is limitted by condition at line 45, 51, 62</t>
  </si>
  <si>
    <t>+ Param1D can not cover C0, C1
+ Line 7: alMin_RA = scale_alRA*alRA_model.getAt(mueS_RA) can not reach out range max or our range min because:
- scale_alRA is non-calib with default value "1"
- Limit assignemt of alRA_model: [-1; 1]</t>
  </si>
  <si>
    <t>Can not compile project, and missing limit assignment. Indian support to fix within 5 hour on 25th Mar, 2020</t>
  </si>
  <si>
    <t>Can't cover assignment to LOC_AnzvRadpKleiner out range max value at lines #4, #5, #6, #7. Because of "LOC_AnzvRadpKleiner = 0;" at line #2</t>
  </si>
  <si>
    <t>Param 1D can't cover full C0/C1
Can't cover case check LOC_SumFRadmod equal to zero at line #33. Because of when condtion "if (LOC_SumFRadmod &gt; SumFRad_Min) " at line #33 TRUE, =&gt; condition "if(LOC_SumFRadmod &gt; SumFRad_Min)" at line #29 TRUE, and imported param SumFRad_Min = 0.01 (noncalibration)
Can't cover  assignment to LOC_FStuetz out range max value at line #40. Because imported parametes alphaFStuetz = 0.7(noncalibration) and EmalphaFStuetz = 0.3(noncalibration), max value of LOC_FRadmodStzKMax = 1; max value of LOC_SumFRadmodStzK = 1. ("LOC_SumFRadmodStzK = LOC_SumFRadmodStzK.min(1);" at line 38).</t>
  </si>
  <si>
    <t>TC 2 Failed. Reason waiting for dev confirm</t>
  </si>
  <si>
    <t>T503</t>
  </si>
  <si>
    <t>Line 27: vFzRefHilfKorr = ( vFzRefHilfEin + LOC_dvRadmin ).max(vx_BeforeStuetz): "vFzRefHilfEin + LOC_dvRadmin" can not reach out range max because:
+ Limit assignment LOC_dvRadmin by code at line 16, and line 23
+ P_dvvRadminNeg is fixed -0.078125 by noncalib imported; P_dvvRadminPos is fixed 0.0390625 by noncalib imported; P_TvRadminPos is fixed 0.0391845703125 by noncalib imported</t>
  </si>
  <si>
    <t>Line 18: axFR += LOC_dax LOC_dax = (LOC_axIn - axFR) * P_TaxFR; can not reach out range max and out range min becaues:
+ LOC_dax = (LOC_axIn - axFR) * P_TaxFR; axFr += LOC_dax; the combination is a filter
+ Limit assignment P_TaxFR: [0; 0.1]
+ Limit assignment axFR and LOC_axln: [-30; 30]</t>
  </si>
  <si>
    <t>Line 34, 41: can not cover C0, C1 because if(enable_REFvy) is always fixed "True" by non-calibrate imported parameter</t>
  </si>
  <si>
    <t>Missing limit assignment. Bug OPL</t>
  </si>
  <si>
    <t>1. Line 19: "axOff -= DaxOff;" can not cover out of range max or out of range min because:
+ DaxOff is assigned by statement at line 18 "DaxOff = axOff*LOC_TaxOff;"
+ LOC_TaxOff is assigned by local paramater with fixed value "greater than 0 and less than 1"
2. Line 24, 25: "LOC_axFRsl = (LOC_dvRadvx_beforesupport / (vx_beforesupport + P_vxOffsetDef));" can not out of range max because:
+ LOC_dvRadvx_beforesupport = (vx_beforesupport - vRad_min)
+ P_vxOffsetDef is fixed 2; P_vxOffsetAbhT is fixed 2.5
+ (vx_beforesupport + P_vxOffsetDef) is always positive
+ Limit assignment LOC_axFRsl is [-20, 1]; LOC_axFRslAbhT is [-20, 1]
3. Line 35: axOff -= LOC_delaxOffaxFR can not cover out of range min because:
+ LOC_delaxOffaxFR is assigned by (LOC_delaxOffaxFR.max(P_delaxOffaxFRmax)).min(P_delaxOffaxFRmin)" at line 34 =&gt; Limit assignment of LOC_delaxOffaxFR is always less than "-1"
+ Limit assignment axOff is [-7; 7]
4. Line 62, 65: "LOC_tUnterbrSW += P_tUnterbrVerl" can not reach out range of maximum value because:
+ LOC_tUnterbrSW is always initialize by P_tUnterbrNormal with fixed value of noncalib imported "greater than 0 and less than 1"
+ Limit assignment: P_tUnterbrVerl is fixed of noncalib imported "greater than 0 and less than 1"</t>
  </si>
  <si>
    <t>SSI_Signal2State_CallbackFunction_ESP_VirtualNode_MultiWSS</t>
  </si>
  <si>
    <t>rba_ComScl_RxSignalCopy</t>
  </si>
  <si>
    <t>SecOC_PduRIF</t>
  </si>
  <si>
    <t>SecOC_Prv</t>
  </si>
  <si>
    <t>SecOC_Prv_CryptIF</t>
  </si>
  <si>
    <t>APBInterfaceFunctions_TOYOTA</t>
  </si>
  <si>
    <t>RBAPLCUST_22_RDBI</t>
  </si>
  <si>
    <t>RBAPLCUST_TSR_DID_Conf_TOYOTA</t>
  </si>
  <si>
    <t>SnapshotRecordFunctions_TOYOTA</t>
  </si>
  <si>
    <t>TimeSeriesFreezeFrameDataFunctions_TOYOTA</t>
  </si>
  <si>
    <t>NET_CommunicationInvalid_TOYOTA</t>
  </si>
  <si>
    <t>NET_SCL_XmtVSC1G12_TOY</t>
  </si>
  <si>
    <t>NET_SCL_XmtVSC1G13_TOY</t>
  </si>
  <si>
    <t>NET_SCL_XmtVSC1G14_TOY</t>
  </si>
  <si>
    <t>NET_SST_TOYOTA</t>
  </si>
  <si>
    <t>TOY_PF19_CMP_BL16_Integration_36</t>
  </si>
  <si>
    <t>MT_001</t>
  </si>
  <si>
    <t>MT_014</t>
  </si>
  <si>
    <t>MT_015</t>
  </si>
  <si>
    <t>MT_019</t>
  </si>
  <si>
    <t>MT_023</t>
  </si>
  <si>
    <t>MT_025</t>
  </si>
  <si>
    <t>UT_001_SSI_Signal2State_CallbackFunction_ESP_VirtualNode_MultiWSS_BB80270</t>
  </si>
  <si>
    <t>UT_008_rba_ComScl_RxSignalCopy_BB80270</t>
  </si>
  <si>
    <t>UT_014_SecOC_PduRIF_BB80270</t>
  </si>
  <si>
    <t>UT_015_SecOC_Prv_BB80270</t>
  </si>
  <si>
    <t>UT_016_SecOC_Prv_CryptIF_BB80270</t>
  </si>
  <si>
    <t>UT_019_APBInterfaceFunctions_TOYOTA_BB80270</t>
  </si>
  <si>
    <t>UT_020_RBAPLCUST_22_RDBI_BB80270</t>
  </si>
  <si>
    <t>UT_022_RBAPLCUST_TSR_DID_Conf_TOYOTA_BB80270</t>
  </si>
  <si>
    <t>UT_023_SnapshotRecordFunctions_TOYOTA_BB80270</t>
  </si>
  <si>
    <t>UT_024_TimeSeriesFreezeFrameDataFunctions_TOYOTA_BB80270</t>
  </si>
  <si>
    <t>UT_025_NET_CommunicationInvalid_TOYOTA_BB80270</t>
  </si>
  <si>
    <t>UT_028_NET_SCL_XmtVSC1G12_TOY_BB80270</t>
  </si>
  <si>
    <t>UT_029_NET_SCL_XmtVSC1G13_TOY_BB80270</t>
  </si>
  <si>
    <t>UT_030_NET_SCL_XmtVSC1G14_TOY_BB80270</t>
  </si>
  <si>
    <t>UT_032_NET_SST_TOYOTA_BB80270</t>
  </si>
  <si>
    <t>Contact point: Halamani Prabhu (RBEI/ESJ-ATO)</t>
  </si>
  <si>
    <t>T_J-140</t>
  </si>
  <si>
    <t>T_J-141</t>
  </si>
  <si>
    <t>T_J-142</t>
  </si>
  <si>
    <t>T_J-143</t>
  </si>
  <si>
    <t>T_J-144</t>
  </si>
  <si>
    <t>T_J-145</t>
  </si>
  <si>
    <t>T_J-146</t>
  </si>
  <si>
    <t>T_J-147</t>
  </si>
  <si>
    <t>T_J-148</t>
  </si>
  <si>
    <t>T_J-149</t>
  </si>
  <si>
    <t>T_J-150</t>
  </si>
  <si>
    <t>T_J-151</t>
  </si>
  <si>
    <t>T_J-152</t>
  </si>
  <si>
    <t>T_J-153</t>
  </si>
  <si>
    <t>T_J-154</t>
  </si>
  <si>
    <t>- TransVF20ms: Modify estimation effort from 1.615 hour to 4 hour. Confirm by Mr. Hoang</t>
  </si>
  <si>
    <t>- Trans_vyMin: Can not compile project, and missing limit assignment. Indian support to fix within 5 hour on 25th Mar, 2020</t>
  </si>
  <si>
    <t>- ATT can not start analyze because Visual Studio got stuck. =&gt; Mr. Tai and Mr. Cuong support to re config the setting within 1 days (4 hours for backup on 23th, and 4 hours for configuration on 24th)</t>
  </si>
  <si>
    <t>11h00</t>
  </si>
  <si>
    <t>Line 3: "FS_axSensorForREF             == axS_On" can not cover true condition because FS_axSensorForREF is fixed "axS_Off" by noncalib imported
Line 52: "vxS    += l_delvx;" can not cover out of range max or out of range min because:
+ It is a filter
+ l_delvx     = ( vStuetz - vxS )*l_KovxS with l_KovxS is assigned by P_KovxSFu.getAt(FStuetz); and limit assignment from [0;1]
Line 56: axSOff = ( axSOff.min(P_axOffMax)).max(P_axOffMin) can not cover false condition "min" and false condition "max" because:
+ P_axOffMax is fixed value "7", P_axOffMin is fixed value "-7" by non calib imported parameter
+ Limit assignment: axSOff from [-7; 7]</t>
  </si>
  <si>
    <t>[No1] Line 33: vx += LOC_delvx; can not cover reacht out of max or out of min because:
- It is a filter and range P_TvFzRefHilf is [0;1]
- LOC_delvx =  ( vStuetz - vx ); LOC_delvx = LOC_delvx * LOC_Kovx;
- Range LOC_Kovx: [0;1]; vStuetz: [0; 100]; vx: [0; 100]
[No2] Line 48: vx +=  LOC_delvx * Fstuetz can not cover reach out of max or out of min because:
- It is a filter and range P_TvFzRefHilf is [0;1]
- LOC_delvx = (LOC_vStuetzHilf - vx); LOC_delvx = LOC_delvx * P_TvFzRefHilf; LOC_vStuetzHilf = vStuetz;
- Range Fstuetz is [0;1]; vStuetz: [0; 100]; vx: [0; 100]
[No3] Param1D can not cover C0, C1</t>
  </si>
  <si>
    <t>+ At line #51 canot cover min-max value because dMzDySosHMueK1 &amp; dMzDySosHMue clearing.</t>
  </si>
  <si>
    <t xml:space="preserve">+ At line #52:
tDySosHMueEnd have range [0;254] so cannot cover MCDC for case tDySosHMueEnd&lt;0
+ At line #70 #76:
dMzDySosHMueEnd canot cover value output min-max because P_SSWetMbVAaFr, MbVAaFrIpart,  P_Mb2Mz have range value small. 
+ Param1D canot cover c0,c1
</t>
  </si>
  <si>
    <t>Cannot cover Param1D</t>
  </si>
  <si>
    <t xml:space="preserve">At line #88 cant cover "BkdRoadSuspCount &gt; 0" = FALSE because BkdRoadSuspCount [0;255]
</t>
  </si>
  <si>
    <t>At line #8 cant cover C0/C1 because scope1 &amp; scope2 max = 1 =&gt; out_max = in_max=100
At line #13 sane line #8</t>
  </si>
  <si>
    <t xml:space="preserve">CoMyTar cant cover min-max value because it's dependent CoMyTar_Curve [0;30], CoMyTar_Straight [0;30], CoMyTar_Weight [0;1].  CoMyTar_Weight (max) = 1  =&gt; CoMyTar (max) = CoMyTar_Straight (max) = 30. So cant cover for this calc &lt;/* calc: sequence call #50 */&gt;.
Same slTarMy &lt;/* calc: sequence call #60 */&gt;.
</t>
  </si>
  <si>
    <t>&lt;/* calc: sequence call #25 */&gt; 
CoslOffroad cant cover out min value because -&gt;bound min value is 1.0
&lt;/* calc: sequence call #40 */&gt;
Same calc #25</t>
  </si>
  <si>
    <t>CoPropRedTCS cant cover out range min value because CoPropRedTCS_corr [0;1]</t>
  </si>
  <si>
    <t>PSA_BL15_CSW_Dev</t>
  </si>
  <si>
    <t>VehicleDynamicModes_Dy</t>
  </si>
  <si>
    <t>FUN_BEO_EnergyCast</t>
  </si>
  <si>
    <t>FUN_BEO_EnergyAcc</t>
  </si>
  <si>
    <t>6.8</t>
  </si>
  <si>
    <t>1.2</t>
  </si>
  <si>
    <t>MT_002</t>
  </si>
  <si>
    <t>MT_003</t>
  </si>
  <si>
    <t>UT_004</t>
  </si>
  <si>
    <t>UT_005</t>
  </si>
  <si>
    <t xml:space="preserve">Contact point: Jawahar Ravichandran (RBEI/ESE31); CC: Pereira Moura Emanuelle (CC-AS/ESF2) ; Bincy Francis (RBEI/ESE31) ; Priyadarshini Sharma (RBEI/ESE31) </t>
  </si>
  <si>
    <r>
      <t xml:space="preserve">Line 81, 170, 235, 303, 371, 436, 507, 575, 643, 711, 779, 847, 915, 983, 1051, 1119, 1187, 1255, 1323, 1391, 1474, 1554, 1619, 1690, 1755, 1844, 1909, 1980, 2054, 2128, 2214, 2288, 2356, 2427, 2510, 2575, 2652, 2720, 2785, 2865, 2945, 3055:
do{
</t>
    </r>
    <r>
      <rPr>
        <sz val="10"/>
        <color indexed="17"/>
        <rFont val="Arial"/>
        <family val="2"/>
      </rPr>
      <t xml:space="preserve">  transferData_Producer = rba_ComScl_TransferData_Producer_au8[rba_ComScl_RxPduFlagsId_ENG1G90_CANNODE_0];</t>
    </r>
    <r>
      <rPr>
        <sz val="10"/>
        <color indexed="8"/>
        <rFont val="Arial"/>
        <family val="2"/>
      </rPr>
      <t xml:space="preserve">
} while (</t>
    </r>
    <r>
      <rPr>
        <sz val="10"/>
        <color indexed="10"/>
        <rFont val="Arial"/>
        <family val="2"/>
      </rPr>
      <t>(transferData_Producer
    != rba_ComScl_TransferData_Producer_au8[rba_ComScl_RxPduFlagsId_ENG1G90_CANNODE_0]</t>
    </r>
    <r>
      <rPr>
        <sz val="10"/>
        <color indexed="8"/>
        <rFont val="Arial"/>
        <family val="2"/>
      </rPr>
      <t>)
    &amp;&amp; (rxCounter &lt; 2u));
This statement can not cover true case because:
+ transferData_Producer is always equal to rba_ComScl_TransferData_Producer_au8</t>
    </r>
  </si>
  <si>
    <t xml:space="preserve">Line 31: if(l_ActYear_UW &gt;= 1)
This statement can not cover false case because:
+ l_ActYear_UW is assigned by "l_ActYear_UW + (UW)l_GPSTM_Y_UB;" at line 296
+ l_ActYear_UW is unsigned, l_GPSTM_Y_UB is unsigned
+ l_ActYear_UW = C_BaseYear_UW at line 256; #define C_BaseYear_UW            ((UW)2000) </t>
  </si>
  <si>
    <t>13h00</t>
  </si>
  <si>
    <t>11h30</t>
  </si>
  <si>
    <t>Holidays</t>
  </si>
  <si>
    <t>- Off from 2th Mar to 13th Mar</t>
  </si>
  <si>
    <t>Reason for Fail Testcase</t>
  </si>
  <si>
    <t>Reason For code coverage</t>
  </si>
  <si>
    <t>14h00</t>
  </si>
  <si>
    <t>Waiting for the new package</t>
  </si>
  <si>
    <t>DBR_DynamicPressure_SL_Inhibition</t>
  </si>
  <si>
    <t>CLD_TRC_LonAxTarLimitation</t>
  </si>
  <si>
    <t>CLD_TRC_LonCheckComfortBands</t>
  </si>
  <si>
    <t>CLD_TRC_LonStateControl</t>
  </si>
  <si>
    <t>TRPC_Longitudinal_axStandstillSafetyLimiter</t>
  </si>
  <si>
    <t>PLTMT_03040604</t>
  </si>
  <si>
    <t>1.6.1.3</t>
  </si>
  <si>
    <t>Contact point: Dhakar Swarnima (RBEI/ESP-AS52); CC: Kalaiselvam Natarajan (RBEI/ESP-AS52), Harikrishnan Viswambharan (RBEI/ESP-AS52) Sadanand Vishwanath Kallur (RBEI/ESP-AS51 RBEI/ESP-AS52) ,Tran Hoang Tuan (RBVH/EPS4 RBVH/EPS44) ,Quoc Cuong (RBVH/EPS44)</t>
  </si>
  <si>
    <t>T_J-155</t>
  </si>
  <si>
    <t>T_J-156</t>
  </si>
  <si>
    <t>T_J-157</t>
  </si>
  <si>
    <t>T_J-158</t>
  </si>
  <si>
    <t>CLD_BCL_aUpperLimitationayMax</t>
  </si>
  <si>
    <t>CLD_BCL_aUpperLimitationLoad</t>
  </si>
  <si>
    <t>CLD_BCL_aUpperLimitationProp</t>
  </si>
  <si>
    <t>CLD_BCL_aUpperLimitationTrailer</t>
  </si>
  <si>
    <t>CLD_BCL_aUpperLimitationVelocity</t>
  </si>
  <si>
    <t>CLD_BCL_BackDropFactor</t>
  </si>
  <si>
    <t>CLD_BCL_CommonSignals</t>
  </si>
  <si>
    <t>CLD_BCL_DevideayByAyMax</t>
  </si>
  <si>
    <t>PLTMT_07040804</t>
  </si>
  <si>
    <t xml:space="preserve">Contact point: Dhakar Swarnima (RBEI/ESP-AS52); CC: Kalaiselvam Natarajan (RBEI/ESP-AS52), Harikrishnan Viswambharan (RBEI/ESP-AS52) Sadanand Vishwanath Kallur (RBEI/ESP-AS51 RBEI/ESP-AS52) ,Tran Hoang Tuan (RBVH/EPS4 RBVH/EPS44) ,Quoc Cuong (RBVH/EPS44) </t>
  </si>
  <si>
    <t>T_J-159</t>
  </si>
  <si>
    <t>T_J-160</t>
  </si>
  <si>
    <t>T_J-161</t>
  </si>
  <si>
    <t>T_J-162</t>
  </si>
  <si>
    <t>T_J-163</t>
  </si>
  <si>
    <t>T_J-164</t>
  </si>
  <si>
    <t>T_J-165</t>
  </si>
  <si>
    <t>T_J-166</t>
  </si>
  <si>
    <t>DynamicSelectLow</t>
  </si>
  <si>
    <t>DisableNormComDiag_Y1K</t>
  </si>
  <si>
    <t>NET09_DisableNormComDiag_SMC</t>
  </si>
  <si>
    <t>RBNET_ECUREWAKE_SMC</t>
  </si>
  <si>
    <t>RBAPLCUST_FreezeFrameDataBytesInfo_Suzuki</t>
  </si>
  <si>
    <t>RBAPLCUST_InputOutputControl_GeneralFunctions</t>
  </si>
  <si>
    <t>RBAPLCUST_ReadDBI_DIDF18C_EcuSerialNumberInfo_Suzuki</t>
  </si>
  <si>
    <t>RBAPLCUST_ReadDBI_DIDF195_SupplierSoftwareVersionInfo_Suzuki</t>
  </si>
  <si>
    <t>RBAPLCUST_ReadDTCInfoSubFunction01_Suzuki</t>
  </si>
  <si>
    <t>RBAPLCUST_RoutineControl_ConditionMonitoring_Suzuki</t>
  </si>
  <si>
    <t>RBAPLCUST_RoutineControl_EraseMemory_Suzuki</t>
  </si>
  <si>
    <t>RBAPLCUST_RoutineControl_ESPSpecialDrive_Suzuki</t>
  </si>
  <si>
    <t>RBAPLCUST_RoutineControl_Suzuki</t>
  </si>
  <si>
    <t>RBAPLCUST_SecurityAccess_Suzuki</t>
  </si>
  <si>
    <t>RBAPLCUST_WriteDBI_DID7000_VacuumFillingDataInfo_Suzuki</t>
  </si>
  <si>
    <t>7.0.144.0</t>
  </si>
  <si>
    <t>MT_011</t>
  </si>
  <si>
    <t>MT_012</t>
  </si>
  <si>
    <t>Contact point: Machani Ravikumar (RBEI/ESJ4) Ravikumar.Machani@in.bosch.com Lalsa Aryasomayajula (RBEI/ESJ1) Aryasomayajula.Lalsa@in.bosch.com</t>
  </si>
  <si>
    <t>T_J-167</t>
  </si>
  <si>
    <t>T_J-168</t>
  </si>
  <si>
    <t>T_J-169</t>
  </si>
  <si>
    <t>T_J-170</t>
  </si>
  <si>
    <t>T_J-171</t>
  </si>
  <si>
    <t>T_J-172</t>
  </si>
  <si>
    <t>T_J-173</t>
  </si>
  <si>
    <t>T_J-174</t>
  </si>
  <si>
    <t>T_J-175</t>
  </si>
  <si>
    <t>T_J-176</t>
  </si>
  <si>
    <t>T_J-177</t>
  </si>
  <si>
    <t>T_J-178</t>
  </si>
  <si>
    <t>T_J-179</t>
  </si>
  <si>
    <t>T_J-180</t>
  </si>
  <si>
    <t>T_J-181</t>
  </si>
  <si>
    <t>CUS_SMC_YNC_ABS_Buildiaas22</t>
  </si>
  <si>
    <t># Line 7:can not cover out range maximum of daxTarLim because C_dT_CLD is non calibrate with value "0.02"
#Line 8:can not cover out range minimum of daxTarLim because C_dT_CLD is non calibrate with value "0.02"</t>
  </si>
  <si>
    <t>- Param1D can not cover full C0, C1</t>
  </si>
  <si>
    <t>PSA_Gen9_3_CarbonB3_Smartcar_FSM</t>
  </si>
  <si>
    <t>ToyotaCMP</t>
  </si>
  <si>
    <t>TRCLongitudinal_ECU_CSW_BB00001(1.8_0.2).axl</t>
  </si>
  <si>
    <t>TRPLongitudinal_ECU_CSW_BB00001(1.20.1.0_0.2).axl</t>
  </si>
  <si>
    <t>PSA_CMP</t>
  </si>
  <si>
    <t>RB_MS_CAV7</t>
  </si>
  <si>
    <t>CSMosarASWMainstream93_SMC_YNC_ABS</t>
  </si>
  <si>
    <t>- Line 97: !Split can not cover MCDC because "Split" at line 94 is oposite with line 97
- Param1D can not cover full C0, C1</t>
  </si>
  <si>
    <t>16h00</t>
  </si>
  <si>
    <t>- Mr. Bang got a trouble with a huge of Param1D, Param2D</t>
  </si>
  <si>
    <t>- Need time to resolve issue about TCM workshare</t>
  </si>
  <si>
    <t>- Need time to adapt with new template, new process of platform team</t>
  </si>
  <si>
    <t>- Waiting for the new package</t>
  </si>
  <si>
    <t>CLD_pSC_DynFollowPP0</t>
  </si>
  <si>
    <t>CLD_TRP_ABDComfortBands</t>
  </si>
  <si>
    <t>CLD_TRP_CSCComfortBands</t>
  </si>
  <si>
    <t>CLD_TRP_CyclicPlanningDIS</t>
  </si>
  <si>
    <t>CLD_TRP_CyclicPlanningSPE</t>
  </si>
  <si>
    <t>CLD_TRP_FactorComfortBands</t>
  </si>
  <si>
    <t>CLD_TRP_FOCComfortBands</t>
  </si>
  <si>
    <t>CLD_TRP_LonCheckExceeding</t>
  </si>
  <si>
    <t>Contact point: Dhakar Swarnima (RBEI/ESP-AS52)</t>
  </si>
  <si>
    <t>T_J-182</t>
  </si>
  <si>
    <t>T_J-183</t>
  </si>
  <si>
    <t>T_J-184</t>
  </si>
  <si>
    <t>T_J-185</t>
  </si>
  <si>
    <t>T_J-186</t>
  </si>
  <si>
    <t>T_J-187</t>
  </si>
  <si>
    <t>T_J-188</t>
  </si>
  <si>
    <t>T_J-189</t>
  </si>
  <si>
    <t>REN_CMFB_1ASW_09_Apr</t>
  </si>
  <si>
    <t xml:space="preserve">Contact point: Suriya Mangala Ganesamurthi (RBEI/ESE31); CC: Bincy Francis (RBEI/ESE31) , Priyadarshini Sharma (RBEI/ESE31) 
</t>
  </si>
  <si>
    <t>PowerOnManagement_RSA</t>
  </si>
  <si>
    <t>2.2.1.0</t>
  </si>
  <si>
    <t>Line 493: Can not cover default case "switch (ReadyToStartRoutine_State_EN)" because it only has two element:
typedef enum
{
    C_Check_ReadyToStartRoutine_Init = 0,
    C_Check_ReadyToStartRoutine_Done
} ForceClear_Check_ReadyToStartRoutine_State_EN;
Line 777: Can not cover default case "switch(g_ForceClearDtcState_En)" because it only has four element:
typedef enum /*TOOL_SCAN*/
{
 C_ForceClearDtc_Starts = 0 ,
 C_ForceClearDtc_Running    ,
 C_ForceClearDtc_Failed     ,
 C_ForceClearDtc_Finished
} ForceClearAllDTC_State_EN ;</t>
  </si>
  <si>
    <t>T_J-190</t>
  </si>
  <si>
    <t>- Line 28: vTargetPow2= ayMax_local/CurvatureMax can not cover division zero because condition if (CurvatureMax &gt; 0.0003)</t>
  </si>
  <si>
    <t>Data_20200321_20200420</t>
  </si>
  <si>
    <t>Data_20200305_20200320</t>
  </si>
  <si>
    <t>Defects</t>
  </si>
  <si>
    <t>OPL</t>
  </si>
  <si>
    <t>Summary</t>
  </si>
  <si>
    <t>new</t>
  </si>
  <si>
    <t>T_J-191</t>
  </si>
  <si>
    <t>T_J-192</t>
  </si>
  <si>
    <t>RNM_CMP_PSA_EMP2v3_3ASW</t>
  </si>
  <si>
    <t>Contact point: Suriya Mangala Ganesamurthi (RBEI/ESE31); Priyadarshini Sharma (RBEI/ESE31)</t>
  </si>
  <si>
    <t>DyPSA_EPSSuspicious</t>
  </si>
  <si>
    <t>DyPSA_EPSSuspicious_CAV3Virt</t>
  </si>
  <si>
    <t>PSA_PHEVv1_81ASW_10PSW</t>
  </si>
  <si>
    <t>[UUID_5bKo4ENOEea778p6_nyRsA]</t>
  </si>
  <si>
    <t>[UUID_mMRKYD0UEeaEcLwvmBdEmA]</t>
  </si>
  <si>
    <t>[UUID_5ZqNAENOEea778p6_nyRsA]</t>
  </si>
  <si>
    <t>[UUID_wiHTsFLmEeSecO7L1SVhqQ]</t>
  </si>
  <si>
    <t>[UUID_ZHzZce4yEem-Erv9WGnBag]</t>
  </si>
  <si>
    <t>[UUID_XVVWQO4yEem-Erv9WGnBag]</t>
  </si>
  <si>
    <t>[UUID_XXcPEO4yEem-Erv9WGnBag]</t>
  </si>
  <si>
    <t>[UUID_XRQHgO4yEem-Erv9WGnBag]</t>
  </si>
  <si>
    <t>[UUID_-b6iAJ8jEeW9yO55Mv01Xg]</t>
  </si>
  <si>
    <t>[UUID_jxIMcKJ7EeWgbrVUGix0mg]</t>
  </si>
  <si>
    <t>[UUID_ubyiUEgREea9593eqHxA1A]</t>
  </si>
  <si>
    <t>[UUID_wJKpANlWEeWsZpm6HklIrw]</t>
  </si>
  <si>
    <t>[UUID_wJL3INlWEeWsZpm6HklIrw]</t>
  </si>
  <si>
    <t>[UUID_l1RR4G01EeifyfhLxmbFOQ]</t>
  </si>
  <si>
    <t>[UUID_lzB2MG01EeifyfhLxmbFOQ]</t>
  </si>
  <si>
    <t>[UUID_lzzSQG01EeifyfhLxmbFOQ]</t>
  </si>
  <si>
    <t>[UUID_lzzSQW01EeifyfhLxmbFOQ]</t>
  </si>
  <si>
    <t>[UUID_jJzYoViHEeq0nNhaD5ucQQ]</t>
  </si>
  <si>
    <t>[UUID_dpRe0CZ-Eei3raWeUDriTw]</t>
  </si>
  <si>
    <t>[UUID_2Mo2ECWxEei3raWeUDriTw]</t>
  </si>
  <si>
    <t>[UUID_HqVswAFQEemQS_kpgrWQ_w]</t>
  </si>
  <si>
    <t>[UUID_-WFOoPbdEemPm_fcc4JvGg]</t>
  </si>
  <si>
    <t>[UUID_NSQJMD2MEeiqkt4FFpfVBw]</t>
  </si>
  <si>
    <t>[UUID_80I0kOXjEemleb36yh-yew]</t>
  </si>
  <si>
    <t>[UUID_80YsMOXjEemleb36yh-yew]</t>
  </si>
  <si>
    <t>[UUID_bJqg8KIqEemcL4b3pmFZbg]</t>
  </si>
  <si>
    <t>[UUID_4m3KANuqEemkO-heTSptCw]</t>
  </si>
  <si>
    <t>[UUID_4m4_MNuqEemkO-heTSptCw]</t>
  </si>
  <si>
    <t>[UUID_4m60YNuqEemkO-heTSptCw]</t>
  </si>
  <si>
    <t>[UUID_4nOWYNuqEemkO-heTSptCw]</t>
  </si>
  <si>
    <t>[UUID_Y3kDYMmmEemlb5vF8dzSHg]</t>
  </si>
  <si>
    <t>[UUID_0hMVINuqEemkO-heTSptCw]</t>
  </si>
  <si>
    <t>rba_BldrBCL_AESHandler</t>
  </si>
  <si>
    <t>rba_BldrCMP_Cfg</t>
  </si>
  <si>
    <t>rba_BldrCMP_Cfg_EncryptDecryptHash</t>
  </si>
  <si>
    <t>rba_BldrCmp_Cfg_TestServices</t>
  </si>
  <si>
    <t>rba_BldrCmp_Cfg_TestStackEval</t>
  </si>
  <si>
    <t>rba_BldrMemCpy</t>
  </si>
  <si>
    <t>rba_DcmPmaAppl_FillPlantModeResponse</t>
  </si>
  <si>
    <t>rba_BldrCMP_LogicalBlock</t>
  </si>
  <si>
    <t>rba_BldrCMP_27SecurityAccess</t>
  </si>
  <si>
    <t>rba_BldrCmp_Cfg_Cycur</t>
  </si>
  <si>
    <t>UT_019</t>
  </si>
  <si>
    <t>UT_029</t>
  </si>
  <si>
    <t>UT_033</t>
  </si>
  <si>
    <t>UT_039</t>
  </si>
  <si>
    <t>UT_040</t>
  </si>
  <si>
    <t>UT_045</t>
  </si>
  <si>
    <t>UT_074</t>
  </si>
  <si>
    <t>UT_054</t>
  </si>
  <si>
    <t>UT_047</t>
  </si>
  <si>
    <t>UT_051</t>
  </si>
  <si>
    <t>Contact point: Pham Thanh Hai (RBVH/EAS23, CC-AS/ESJ4-JP)</t>
  </si>
  <si>
    <t>T_J-193</t>
  </si>
  <si>
    <t>T_J-194</t>
  </si>
  <si>
    <t>T_J-195</t>
  </si>
  <si>
    <t>T_J-196</t>
  </si>
  <si>
    <t>T_J-197</t>
  </si>
  <si>
    <t>T_J-198</t>
  </si>
  <si>
    <t>T_J-199</t>
  </si>
  <si>
    <t>T_J-200</t>
  </si>
  <si>
    <t>T_J-201</t>
  </si>
  <si>
    <t>T_J-202</t>
  </si>
  <si>
    <t>T_J-203</t>
  </si>
  <si>
    <t>rba.as.esp.Bldr.Subaru</t>
  </si>
  <si>
    <t>rba.FBL.AS.CFG.rbbldr</t>
  </si>
  <si>
    <t>rba.as.esp.Bldr.Subaru_DES</t>
  </si>
  <si>
    <t>SBR_ESP9_3_MS_BR_GC7Y_RE7WGN1_Bldr</t>
  </si>
  <si>
    <t>MainstreamSBR</t>
  </si>
  <si>
    <t>huy.do-anh</t>
  </si>
  <si>
    <t>phuong.nguyen-thanh</t>
  </si>
  <si>
    <t>Line 19, 20: timer1 += P_dt_SasASW; timer1 = timer1.min(P_TConf_XX); can not cover because constraint at line 17 and P_dt_SasASW got fixed value "0.005" from non calibrate imported parameter</t>
  </si>
  <si>
    <t>PLTMT_13041404</t>
  </si>
  <si>
    <t>Line 81, 170, 235, 303, 371, 436, 507, 575, 643, 711, 779, 847, 915, 983, 1051, 1119, 1187, 1255, 1323, 1391, 1474, 1554, 1619, 1690, 1755, 1844, 1909, 1980, 2054, 2128, 2214, 2288, 2356, 2427, 2510, 2575, 2652, 2720, 2785, 2865, 2945, 3055:
do{
  transferData_Producer = rba_ComScl_TransferData_Producer_au8[rba_ComScl_RxPduFlagsId_ENG1G90_CANNODE_0];
} while ((transferData_Producer
    != rba_ComScl_TransferData_Producer_au8[rba_ComScl_RxPduFlagsId_ENG1G90_CANNODE_0])
    &amp;&amp; (rxCounter &lt; 2u));
This statement can not cover true case because:
+ transferData_Producer is always equal to rba_ComScl_TransferData_Producer_au8</t>
  </si>
  <si>
    <t>GWM_B30_CP</t>
  </si>
  <si>
    <t>rb\as\core\app\asw\apbmi\host\PBC\SRC</t>
  </si>
  <si>
    <t>rb\as\gwm\core\app\dcom\Cubas\src\Dcm_CNMS</t>
  </si>
  <si>
    <t>rb\as\gwm\core\app\dcom\Cubas\src\Dcm</t>
  </si>
  <si>
    <t>rb\as\gwm\core\app\dcom\RBAPLCust\src\common</t>
  </si>
  <si>
    <t>rb\as\gwm\core\app\dcom\RBAPLCust\src\ESP</t>
  </si>
  <si>
    <t>rb\as\gwm\core\app\dcom\RBAPLCust\src\iBooster</t>
  </si>
  <si>
    <t>rb\as\gwm\cp\app\asw\apbmi\host\PDM\APBHostData_Project_C\SRC</t>
  </si>
  <si>
    <t>rb\as\gwm\cp\app\dsm\RBWarningIndicator\src</t>
  </si>
  <si>
    <t>rb\as\gwm\cp\app\obd\ObdCvnCalId\src</t>
  </si>
  <si>
    <t>rb\as\gwm\cp\varcode</t>
  </si>
  <si>
    <t>rb\as\gwm\cp\dsmpr\src\Cubas\ESM\EcuM\src</t>
  </si>
  <si>
    <t>TaskID</t>
  </si>
  <si>
    <t>Type of Comment</t>
  </si>
  <si>
    <t>OPL/Defect</t>
  </si>
  <si>
    <t>PbcWrapper.c</t>
  </si>
  <si>
    <t>DcmAppl_DcmCommControlConditionCheck.c</t>
  </si>
  <si>
    <t>DcmAppl_DcmNotification.c</t>
  </si>
  <si>
    <t>RBAPLCUST_CNMSCORE_CallbackFun.c</t>
  </si>
  <si>
    <t>RBAPLCUST_InputOutputControl_GeneralFunctions.c</t>
  </si>
  <si>
    <t>RBAPLCUST_ProjectSpecific_Routines.c</t>
  </si>
  <si>
    <t>RBAPLCUST_RDBI_StatusInformation.c</t>
  </si>
  <si>
    <t>RBAPLCUST_RDBI_SystemSensor.c</t>
  </si>
  <si>
    <t>RBAPLCUST_RoutineControl.c</t>
  </si>
  <si>
    <t>RBAPLCUST_RoutineControl_ActuatorTest.c</t>
  </si>
  <si>
    <t>RBAPLCUST_RoutineControl_DynamicTest.c</t>
  </si>
  <si>
    <t>RBAPLCUST_RoutineControl_EvacAndFill.c</t>
  </si>
  <si>
    <t>RBAPLCUST_RoutineControl_RepairBleeding.c</t>
  </si>
  <si>
    <t>RBAPLCUST_RoutineControl_WheelSpeedSensorTest.c</t>
  </si>
  <si>
    <t>RBAPLCUST_ValvesToggling.c</t>
  </si>
  <si>
    <t>ApbHostData_Project.c</t>
  </si>
  <si>
    <t>Dem_PrjSpecificIndiHandling.c</t>
  </si>
  <si>
    <t>CNMS_Var_DcmRead.c</t>
  </si>
  <si>
    <t>CNMS_Var_Global.c</t>
  </si>
  <si>
    <t>EcuM_stub.c</t>
  </si>
  <si>
    <t>GWM_AB30_CP_Int</t>
  </si>
  <si>
    <t>Auto</t>
  </si>
  <si>
    <t>HHT_VX1_ESPHevX_BL2_Sprint4</t>
  </si>
  <si>
    <t>HHT_VX1_ESPHevX_BL2</t>
  </si>
  <si>
    <t>Baseline</t>
  </si>
  <si>
    <t>BSSL07</t>
  </si>
  <si>
    <t>BL2_Sprint4</t>
  </si>
  <si>
    <t>BL2</t>
  </si>
  <si>
    <t>rb\as\hht\core\app\net\RBScl\src</t>
  </si>
  <si>
    <t>rb\as\hht\core\app\dcom\RBAPLCust\src\ESP</t>
  </si>
  <si>
    <t>rb\as\hht\vx1\dcompr\esp\src</t>
  </si>
  <si>
    <t>ComScl_UserDefinedProcessing.c</t>
  </si>
  <si>
    <t>RBAPLCUST_ActualServiceLife_ReadData.c</t>
  </si>
  <si>
    <t>RBAPLCUST_DateTime_ReadData.c</t>
  </si>
  <si>
    <t>RBAPLCUST_InputDataBattery_Snapshot_ReadData.c</t>
  </si>
  <si>
    <t>RBAPLCUST_VSOInformation_Snapshot_ReadData.c</t>
  </si>
  <si>
    <t>RBAPLCUST_HHT_RBDI_NVM.c</t>
  </si>
  <si>
    <t>RBAPLCUST_HHT_WBDI_NVM.c</t>
  </si>
  <si>
    <t>RBFSWBootInterface_HHT.c</t>
  </si>
  <si>
    <t>HHT_VX1_ESPHevX_Carbon_Int</t>
  </si>
  <si>
    <t>HHT_VX1_IBooster_Gen2_BL2</t>
  </si>
  <si>
    <t>rb\as\hht\core\app\dcom\RBAPLCust\src\iBooster</t>
  </si>
  <si>
    <t>rb\as\hht\vx1\dcompr\ib2\src</t>
  </si>
  <si>
    <t>iBoosterGen2\rb\as\hht\vx1\netpr\src</t>
  </si>
  <si>
    <t>ComScl_Scl_ADCM_BU_2_Rx.c</t>
  </si>
  <si>
    <t>ComScl_Scl_ADCM_FD_1_Rx.c</t>
  </si>
  <si>
    <t>ComScl_Scl_IFV300_1_Rx.c</t>
  </si>
  <si>
    <t>HHT_VX1_IB2_Carbon_Int</t>
  </si>
  <si>
    <t>EC_245950_NIO_ESX_ESPHevX_DTC_BSS01_SP01</t>
  </si>
  <si>
    <t>rba\BldrCmp\src</t>
  </si>
  <si>
    <t>rba_BldrCmp_10DiagnosticSessionControl.c</t>
  </si>
  <si>
    <t>rba_BldrCmp_11EcuReset.c</t>
  </si>
  <si>
    <t>rba_BldrCmp_22ReadDataByIdentifier.c</t>
  </si>
  <si>
    <t>rba_BldrCmp_28CommunicationControl.c</t>
  </si>
  <si>
    <t>rba_BldrCmp_2EWriteDataByIdentifier.c</t>
  </si>
  <si>
    <t>rba_BldrCmp_31RoutineControl_Chkpd.c</t>
  </si>
  <si>
    <t>rba_BldrCmp_31RoutineControl_Er.c</t>
  </si>
  <si>
    <t>rba_BldrCmp_31RoutineControl.c</t>
  </si>
  <si>
    <t>rba_BldrCmp_34RequestDownload.c</t>
  </si>
  <si>
    <t>rba_BldrCmp_37RequestTransferExit.c</t>
  </si>
  <si>
    <t>rba_BldrCmp_DataHdl.c</t>
  </si>
  <si>
    <t>rba_BldrCmp_LogBlkHdl.c</t>
  </si>
  <si>
    <t>rba_BldrCmp_ServiceCondCheck.c</t>
  </si>
  <si>
    <t>NextEV_IB2_Int</t>
  </si>
  <si>
    <t>BSS01_SP01</t>
  </si>
  <si>
    <t>GWM_AB30_CP</t>
  </si>
  <si>
    <t>BSS07</t>
  </si>
  <si>
    <t>rb\as\gwm\core\app\dcom</t>
  </si>
  <si>
    <t>DcmAppl_DcmSwitchCommunicationControl.c</t>
  </si>
  <si>
    <t>RBAPLCUST_RDBI_ActuationState.c</t>
  </si>
  <si>
    <t>RBAPLCUST_DiagnosticSessionControl.c</t>
  </si>
  <si>
    <t>RBAPLCUST_RBDI_NVMData_Prj.c</t>
  </si>
  <si>
    <t>RBAPLCUST_RDBI_AnalogData.c</t>
  </si>
  <si>
    <t>RBAPLCUST_RDBI_InputData.c</t>
  </si>
  <si>
    <t>RBAPLCUST_RDBI_IOCtrlState.c</t>
  </si>
  <si>
    <t>RBAPLCUST_RoutineControl_APBMi.c</t>
  </si>
  <si>
    <t>RBAPLCUST_RoutineControl_ConditionCheck.c</t>
  </si>
  <si>
    <t>RBAPLCUST_RoutineControl_iBoosterActuatorTest.c</t>
  </si>
  <si>
    <t>RBAPLCUST_VariandCode.c</t>
  </si>
  <si>
    <t>RBAPLOBD_Data.c</t>
  </si>
  <si>
    <t>RBAPLOBD_Global.c</t>
  </si>
  <si>
    <t>BYD_Carbon_Mainstream_BL02spr02</t>
  </si>
  <si>
    <t>rb\as\byd\Bydcarbon\dcompr\tst\rba_SimDcmCfg\src</t>
  </si>
  <si>
    <t>rb\as\byd\Bydcarbon\dcompr\tst\rba_SimDcmCfg\Stubs\ASW\src</t>
  </si>
  <si>
    <t>rb\as\byd\Bydcarbon\dcompr\tst\rba_SimDcmCfg\Stubs\CUBAS\src</t>
  </si>
  <si>
    <t>rb\as\byd\Bydcarbon\dcompr\tst\rba_SimDcmCfg\Stubs\DEM\src</t>
  </si>
  <si>
    <t>rb\as\byd\Bydcarbon\dcompr\tst\rba_SimDcmCfg\Stubs\HSW\src</t>
  </si>
  <si>
    <t>rb\as\byd\Bydcarbon\dcompr\tst\rba_SimDcmCfg\Stubs\NVM\src</t>
  </si>
  <si>
    <t>rb\as\byd\Bydcarbon\dcompr\tst\rba_SimDcmCfg\Stubs\OBD\src</t>
  </si>
  <si>
    <t>rb\as\byd\Bydcarbon\dcompr\tst\rba_SimDcmCfg\Stubs\OTHERS\src</t>
  </si>
  <si>
    <t>rb\as\byd\Bydcarbon\dcompr\tst\rba_SimDcmCfg\Stubs\rba_STM\src</t>
  </si>
  <si>
    <t>rba_SimDcm_Cfg_MergeProcTarget.c</t>
  </si>
  <si>
    <t>ASWIF_CommonConfig.c</t>
  </si>
  <si>
    <t>RBIRS_IRSCalc.c</t>
  </si>
  <si>
    <t>DemCSMosar_StoreEvtImm_Cfg.c</t>
  </si>
  <si>
    <t>Det.c</t>
  </si>
  <si>
    <t>Net_Stubs.c</t>
  </si>
  <si>
    <t>PduR_UpTp.c</t>
  </si>
  <si>
    <t>Dem_Cfg_FWClass.c</t>
  </si>
  <si>
    <t>Dem_Cfg_HWShutdown.c</t>
  </si>
  <si>
    <t>Dem_EventFHandling.c</t>
  </si>
  <si>
    <t>rba_STM_Component_Cfg.c</t>
  </si>
  <si>
    <t>RBBUTSWI_BLS_Ana.c</t>
  </si>
  <si>
    <t>RBDSM_EraseAllNvMBlock.c</t>
  </si>
  <si>
    <t>RBEnvData_OBD.c</t>
  </si>
  <si>
    <t>RBHMI_ImmediateAccess.c</t>
  </si>
  <si>
    <t>RBSUPPLYVLV_UBVRVoltage.c</t>
  </si>
  <si>
    <t>RBTSI_RbDiagInit.c</t>
  </si>
  <si>
    <t>RBVLV_UVRActuation.c</t>
  </si>
  <si>
    <t>NvM_GetErrorStatus.c</t>
  </si>
  <si>
    <t>NvM_ReadBlock.c</t>
  </si>
  <si>
    <t>NvM_WriteBlock.c</t>
  </si>
  <si>
    <t>Obd_Cvn_CalId.c</t>
  </si>
  <si>
    <t>PbcInterface.c</t>
  </si>
  <si>
    <t>stubPara.c</t>
  </si>
  <si>
    <t>rba_STM_Component.c</t>
  </si>
  <si>
    <t>rba_STM_ComponentStructure.c</t>
  </si>
  <si>
    <t>rba_STM_Processing.c</t>
  </si>
  <si>
    <t>rba_STM_SSC_ComponentGoodcheck.c</t>
  </si>
  <si>
    <t>rba_STM_SystemStateCalculator.c</t>
  </si>
  <si>
    <t>rba_STM_VirtualNode.c</t>
  </si>
  <si>
    <t>BYD_Carbon_ESP93_Int</t>
  </si>
  <si>
    <t>Obd_CalId.c</t>
  </si>
  <si>
    <t>iBoosterGen2\rb\as\hht\vx1\netpr\gen\Cubas\CAN_OBD_Off</t>
  </si>
  <si>
    <t>Type of OPL/Defect</t>
  </si>
  <si>
    <t>Defect</t>
  </si>
  <si>
    <t>None</t>
  </si>
  <si>
    <t>Can't cover case default for switch at line #116. Because of the conditon "if ((RBAPLCUST_PHASESEQUENCE_MINIMUM &gt; dataIn1) || (RBAPLCUST_PHASESEQUENCE_MAXIMUM &lt; dataIn1))" at line #87 false when range vaule of dataIn1 to 1 from 4.</t>
  </si>
  <si>
    <t>MC_245411_SGMW_CN202C_ESPCP_BSS01_SP01</t>
  </si>
  <si>
    <t>rb\as\sgmw\core\app\dcom\RBAPLCust\src\ESP</t>
  </si>
  <si>
    <t>RBAPLCUST_RBDI_NVMData_SGMW_ESP.c</t>
  </si>
  <si>
    <t>99885, 82188</t>
  </si>
  <si>
    <t>SGWM_ESP93_Carbon_Int</t>
  </si>
  <si>
    <t>SUN Yun (CC-AS/EVA-SW31-CN)</t>
  </si>
  <si>
    <t>10h00</t>
  </si>
  <si>
    <t>PLTMT_03040604, PLTMT_07040804, PLTMT_13041404</t>
  </si>
  <si>
    <t>- As discussion with Mr. Cuong via skype on 16th April 2020, he suggest to increse estimate time for package "PLTMT_03040604, PLTMT_07040804, PLTMT_13041404" because Platform process is new and difficult for new employeee</t>
  </si>
  <si>
    <t>Delta time Estimate</t>
  </si>
  <si>
    <t>ZHANG Wenjia (CC-AS/EVA-SW33-CN)</t>
  </si>
  <si>
    <t>LI Jianming (BEG/ESW-CN)</t>
  </si>
  <si>
    <t>YAN Jiebing (BEG/ESW-CN)</t>
  </si>
  <si>
    <t>YUAN Jessica(BEG/ESW-CN)</t>
  </si>
  <si>
    <t>XU Zhuofan (CC-AS/EVA-SW33-CN)</t>
  </si>
  <si>
    <t>Nguyen Van Tam (RBVH/EJV42)</t>
  </si>
  <si>
    <t>MA Python (CC-AS/EVA-SW31-CN)</t>
  </si>
  <si>
    <t>KASIVASAKAM Murugananth (CC-AS/EVA-SW32-CN)</t>
  </si>
  <si>
    <t>GEELY_SS11ESP9.3CP_BL02_SP02</t>
  </si>
  <si>
    <t>RBAPLCUST_RDBI_AccelerationPedal.c</t>
  </si>
  <si>
    <t>RBAPLCUST_RDBI_GearPosition.c</t>
  </si>
  <si>
    <t>RBAPLCUST_RDBI_HandBrake.c</t>
  </si>
  <si>
    <t>RBAPLCUST_RDBI_PTState.c</t>
  </si>
  <si>
    <t>rb\as\geely\core\app\dcom\RBAPLCust\src\ESP\RBAPLCUST_RDBI_AccelerationPedal.c</t>
  </si>
  <si>
    <t>rb\as\geely\core\app\dcom\RBAPLCust\src\ESP\RBAPLCUST_RDBI_GearPosition.c</t>
  </si>
  <si>
    <t>rb\as\geely\core\app\dcom\RBAPLCust\src\ESP\RBAPLCUST_RDBI_HandBrake.c</t>
  </si>
  <si>
    <t>rb\as\geely\core\app\dcom\RBAPLCust\src\ESP\RBAPLCUST_RDBI_PTState.c</t>
  </si>
  <si>
    <t>Geely_ESP93_Carbon_Int</t>
  </si>
  <si>
    <t>BL02_SP02</t>
  </si>
  <si>
    <t>FAW D090 High/Low G6 ECR</t>
  </si>
  <si>
    <t>BSS01_SP02</t>
  </si>
  <si>
    <t>JIN Li (CC-AS/EVA-SW33-CN)</t>
  </si>
  <si>
    <t>RBCAN_CanSMBusOffRecovery.c</t>
  </si>
  <si>
    <t>UnderVoltage.c</t>
  </si>
  <si>
    <t>FAW_Beryllium_D090HighG6_&amp;__D090LowG6_RC_INT</t>
  </si>
  <si>
    <t>rb\as\core\app\net</t>
  </si>
  <si>
    <t>rb\as\cnms_core\app\net\scl</t>
  </si>
  <si>
    <t>Can't cover full MCDC ((F &amp;&amp; ?) || (F &amp;&amp; ?)) at line #134. Because of can't create case "RBAPLCUST_RollerBenchSessionState = RBAPLCUST_RollerBenchSessionState_NOT_ACTIVE" and "RBAPLCUST_RollerBenchSessionState != RBAPLCUST_RollerBenchSessionState_NOT_ACTIVE".
Can't cover full MCDC (T &amp;&amp; F) at line #140. Because of when create case "(RBAPLCUST_RollerBenchSessionState == RBAPLCUST_RollerBenchSessionState_NOT_ACTIVE) &amp;&amp; (l_Active == FALSE)" =&gt; condition at line #134 is true.</t>
  </si>
  <si>
    <t>Lack of round brackets for if at line #116</t>
  </si>
  <si>
    <t>Manual</t>
  </si>
  <si>
    <t>GAC_Common_Task_Record_Sprint07</t>
  </si>
  <si>
    <t>CNMSESPHevX\rb\as\gaig\core\app\dcom\RBAPLCust\src\ESP\RBAPLCUST_RoutineControl_SteeringAngleSensorCalibration.c</t>
  </si>
  <si>
    <t>CNMSESPHevX\rb\as\gaig\core\app\dcom\RBAPLCust\src\ESP\RBAPLCUST_RoutineControl_INSCalibration.c</t>
  </si>
  <si>
    <t>RBAPLCUST_RoutineControl_SteeringAngleSensorCalibration.c</t>
  </si>
  <si>
    <t>RBAPLCUST_RoutineControl_INSCalibration.c</t>
  </si>
  <si>
    <t>PAN Qi (CC-AS/EVA-SW31-CN)</t>
  </si>
  <si>
    <t>GAC_ESPHevX_Carbon_Int</t>
  </si>
  <si>
    <t>SAIC_ZS11E_MCE_withDA_ESP9.3_241859_BSS01</t>
  </si>
  <si>
    <t>BSS01</t>
  </si>
  <si>
    <t>RBVAR_VarCode_PROJECT.c</t>
  </si>
  <si>
    <t>RBVAR_SystemStateManagement_COMMON.c</t>
  </si>
  <si>
    <t>FANG Amanda (CC-AS/EVA-SW31-CN)</t>
  </si>
  <si>
    <t>SAIC_A_ARCH_CMP_ESP93_Carbon_Int</t>
  </si>
  <si>
    <t>Adapt_236246_SMART_BBM_Ibooster_E2_SP3</t>
  </si>
  <si>
    <t>Adapt_236234_SMART_VDDM_ESPHevX_BSS02_E2_SP3</t>
  </si>
  <si>
    <t>BYD_IPB_SW_Mainstream_BL05_SP10</t>
  </si>
  <si>
    <t>206370_BYD_ESP9.3_New_Hybrid_MS15.1_BSS18</t>
  </si>
  <si>
    <t>AB30IB2</t>
  </si>
  <si>
    <t>GWM_B30_HP</t>
  </si>
  <si>
    <t>HAIMA_238525_VF00_ESP_RC2_BSS01.1_BSS02_Workitems_closure</t>
  </si>
  <si>
    <t>GAC_Carbon_Stream_ESPCP_BL05</t>
  </si>
  <si>
    <t>GAC_219651_Carbon_A18_iB2_FPA/RPA_BL04</t>
  </si>
  <si>
    <t>GAC_212111_Carbon_A12_iB2_FPA/RPA_BL02</t>
  </si>
  <si>
    <t>BYD_IPB_SW_Mainstream_BL05_Defect</t>
  </si>
  <si>
    <t>BYD_IPB_SW_Mainstream_BL05_SP11</t>
  </si>
  <si>
    <t>BYD_Carbon_Mainstream_BL02spr04</t>
  </si>
  <si>
    <t>GAC_220680_Carbon_A18_ESPHevx_FPA/RPA_BL04_TestExecution</t>
  </si>
  <si>
    <t>KX63_FL_ACC_232961_BSS03</t>
  </si>
  <si>
    <t>BYD_IPB_SW_Mainstream_BL05</t>
  </si>
  <si>
    <t>rb\as\saic\CpiwAPB\app\dsm\RBVAR\src</t>
  </si>
  <si>
    <t>rb\as\cnms_core\app\dsm\RBVAR\src\</t>
  </si>
  <si>
    <t>BSS02</t>
  </si>
  <si>
    <t>BL05_SP10</t>
  </si>
  <si>
    <t>BSS18</t>
  </si>
  <si>
    <t>BSS06</t>
  </si>
  <si>
    <t>BL05</t>
  </si>
  <si>
    <t>BL04</t>
  </si>
  <si>
    <t>BL02</t>
  </si>
  <si>
    <t>BL05_SP11</t>
  </si>
  <si>
    <t>BL02spr04</t>
  </si>
  <si>
    <t>BSS03</t>
  </si>
  <si>
    <t>\iBoosterGen2\rb\as\ms\core\app\dcom\RBAPLCust\src\</t>
  </si>
  <si>
    <t>\iBoosterGen2\rb\as\ms\core\app\dcom\Cubas\src\Dcm\</t>
  </si>
  <si>
    <t>\GEEA2.0\rb\as\cevt\core\app\dcom\Cubas\src\Dcm\</t>
  </si>
  <si>
    <t>rb\as\BYD\ipb\app\net\RBScl_TPMS\src</t>
  </si>
  <si>
    <t>rb\as\cnms_core\app\dsm\RBVAR\src</t>
  </si>
  <si>
    <t>rb\as\cnms_core\app\net\scl\Sensors\Steering\src</t>
  </si>
  <si>
    <t>rb\as\cnms_core\app\net\scl_callout\src</t>
  </si>
  <si>
    <t>rb\as\haimabmp\CpiwAPB\app\dsm\RBVAR\src</t>
  </si>
  <si>
    <t>rb\as\haimabmp\CpiwAPB\app\net\RbNetPrj\RBNet_Can\src</t>
  </si>
  <si>
    <t>MainstreamF30\rb\as\gaig\core\app\dcom\RBAPLCust\src\ESP\RBAPLCUST_RoutineControl_INSCalibration.c</t>
  </si>
  <si>
    <t>MainstreamF30\rb\as\gaig\core\app\dcom\RBAPLCust\src\ESP\RBAPLCUST_RoutineControl_SteeringAngleSensorCalibration.c</t>
  </si>
  <si>
    <t>MainstreamF30\rb\as\gaig\core\app\dcom\RBAPLCust\src\ESP\RBAPLCUST_RoutineControl_TPMSReset.c</t>
  </si>
  <si>
    <t>MainstreamF30\rb\as\cnms_core\app\dcom\RBAPLCust\src\common\RBAPLCUST_ClearDiagnosticInformation.c</t>
  </si>
  <si>
    <t>MainstreamF30\rb\as\cnms_core\app\dcom\RBAPLCust\src\ESP\RBAPLCUST_EOLDelayCtrlOrAPBMi.c</t>
  </si>
  <si>
    <t>rb\as\gaig\core\app\net\net_OBD_Off\RBScl\src\RBRIS_MainHandler.c</t>
  </si>
  <si>
    <t>rb\as\gaig\core\app\net\net_OBD_Off\RBScl\src\RB_SCL_GAC_RX.c</t>
  </si>
  <si>
    <t>\MainstreamF30\rb\as\core\app\net\RBNetSAS\src\RBNetSAS_Rx_Lws_Standard.c</t>
  </si>
  <si>
    <t>CNMSHevXHADHAP\rb\as\gaig\core\app\dcom\RBAPLCust\src\ESP\RBAPLCUST_RoutineControl_SteeringAngleSensorCalibration.c</t>
  </si>
  <si>
    <t>CNMSHevXHADHAP\rb\as\gaig\core\app\dcom\RBAPLCust\src\ESP\RBAPLCUST_RoutineControl_INSCalibration.c</t>
  </si>
  <si>
    <t>MainstreamF30\rb\as\core\app\dhp\src\RBDHP_HighSystemPressureProtection.c</t>
  </si>
  <si>
    <t>MainstreamF30\rb\as\core\app\dhp\src\RBDHP_PumpMotorActuationTimeLimitation.c</t>
  </si>
  <si>
    <t>MainstreamF30\rb\as\core\app\dhp\src\RBDHP_StateMachine.c</t>
  </si>
  <si>
    <t>MainstreamF30\rb\as\core\app\dhp\src\RBDHP_ValveActuationTimeLimitation.c</t>
  </si>
  <si>
    <t>MainstreamF30\rb\as\cnms_core\app\dsm\DemVar\src\Dem_VarCode_PRJ.c</t>
  </si>
  <si>
    <t>MainstreamF30\rb\as\cnms_core\app\dsm\DemVar\src\Dem_VarCodeHandling.c</t>
  </si>
  <si>
    <t>MainstreamF30\rb\as\cherycmp\core\app\dcom\RBAPLCust\src\ESP\RBAPLCUST_RoutineControl_ConditionCheck.c</t>
  </si>
  <si>
    <t>rba\Bldr\config\ApplicationLayer\rba_BldrCmp\src</t>
  </si>
  <si>
    <t>rb\as\BYD\core\app\dcom\RBAPLCust\src</t>
  </si>
  <si>
    <t>rb\as\BYD\Mainstream151\dcompr\src</t>
  </si>
  <si>
    <t>rb\as\gaig\A12ESP\app\net\RBScl\RBScl_GAC\src\NET_SCL_EngineIntervention_Torq_GAC.c</t>
  </si>
  <si>
    <t>rb\as\gaig\A12ESP\app\net\RBScl\RBScl_GAC\src\NET_SCL_Rx_GearBox.c</t>
  </si>
  <si>
    <t>rb\as\gaig\core\app\dsm\RBVAR\A12FPA\src\RBVAR_VarCode_PROJECT.c</t>
  </si>
  <si>
    <t>rb\as\gaig\core\app\dsm\RBVAR\A18FPA\src\RBVAR_VarCode_PROJECT.c</t>
  </si>
  <si>
    <t>rb\as\gaig\core\app\dsm\RBVAR\A20FPA\src\RBVAR_VarCode_PROJECT.c</t>
  </si>
  <si>
    <t>DcmAppl_22_rdbi.c</t>
  </si>
  <si>
    <t>RBAPLCUST_RDBI_WheelSpeedInformation.c</t>
  </si>
  <si>
    <t>DcmAppl_DcmGetRxPermission.c</t>
  </si>
  <si>
    <t>DcmAppl_Switch_DcmExecuteReset.c</t>
  </si>
  <si>
    <t>NET_SCL_Tx_TPMS.c</t>
  </si>
  <si>
    <t>NET_SCL_Rx_TPMS.c</t>
  </si>
  <si>
    <t>RBAPLCUST_BYD_RDBI_NVMData.c</t>
  </si>
  <si>
    <t>RBFSWBootInterface_BYD.c</t>
  </si>
  <si>
    <t>DCOMIF.c</t>
  </si>
  <si>
    <t>RBAPLCUST_RBDI_NVM.c</t>
  </si>
  <si>
    <t>RBAPLCUST_ReadDTCInformation.c</t>
  </si>
  <si>
    <t>RBVAR_VarCode_COMMON.c</t>
  </si>
  <si>
    <t>SAS_LWS_Standard.c</t>
  </si>
  <si>
    <t>RBA_NDS_Engine_Callout.c</t>
  </si>
  <si>
    <t>RBA_NDS_SystemInfo.c</t>
  </si>
  <si>
    <t>RBA_NDS_TCUAvaliable_Callout.c</t>
  </si>
  <si>
    <t>NET_CheckSumLib_CNMS.c</t>
  </si>
  <si>
    <t>NET_SCL_EngineIntervention_Torq_GAC.c</t>
  </si>
  <si>
    <t>NET_SCL_Rx_GearBox.c</t>
  </si>
  <si>
    <t>RBAPLCUST_RoutineControl_TPMSReset.c</t>
  </si>
  <si>
    <t>RBAPLCUST_ClearDiagnosticInformation.c</t>
  </si>
  <si>
    <t>RBAPLCUST_EOLDelayCtrlOrAPBMi.c</t>
  </si>
  <si>
    <t>RBRIS_MainHandler.c</t>
  </si>
  <si>
    <t>RB_SCL_GAC_RX.c</t>
  </si>
  <si>
    <t>RBA_NDS_Complex_Callout.c</t>
  </si>
  <si>
    <t>NET_SCL_Rx_VAF_Complex.c</t>
  </si>
  <si>
    <t>rba_SCL_Settings.c</t>
  </si>
  <si>
    <t>NET_SCL_Tx_VAF_Complex.c</t>
  </si>
  <si>
    <t>RBPduHandler_Callouts.c</t>
  </si>
  <si>
    <t>RBNetSAS_Rx_Lws_Standard.c</t>
  </si>
  <si>
    <t>RBDHP_HighSystemPressureProtection.c</t>
  </si>
  <si>
    <t>RBDHP_PumpMotorActuationTimeLimitation.c</t>
  </si>
  <si>
    <t>RBDHP_StateMachine.c</t>
  </si>
  <si>
    <t>RBDHP_ValveActuationTimeLimitation.c</t>
  </si>
  <si>
    <t>Dem_VarCode_PRJ.c</t>
  </si>
  <si>
    <t>Dem_VarCodeHandling.c</t>
  </si>
  <si>
    <t>rba_BldrCmp_Cfg_FlashIf.c</t>
  </si>
  <si>
    <t>rba_BldrCmp_Cfg_Functions.c</t>
  </si>
  <si>
    <t>rba_BldrCmp_Cfg_SecA.c</t>
  </si>
  <si>
    <t>LIANG Xin (CC-AS/EVA-SW33-CN)</t>
  </si>
  <si>
    <t>GUO Sasa (CC-AS/EVA-SW3-CN)</t>
  </si>
  <si>
    <t>TAO Frank (CC-AS/EVA-SW31-CN)</t>
  </si>
  <si>
    <t>Revathi Sundaram (RBEI/ESC1)</t>
  </si>
  <si>
    <t>ZHANG Yu (CC-AS/EVA-SW31-CN)</t>
  </si>
  <si>
    <t>RUBAGAN Varunidhan (CC-AS/EVA-SW2-CN)</t>
  </si>
  <si>
    <t>CAI Tantan (CC-AS/EVA-SW31-CN)</t>
  </si>
  <si>
    <t>LI Zhiyuan (CC-AS/EVA-SW31-CN)</t>
  </si>
  <si>
    <t>Resmi George (RBEI/ESC1)</t>
  </si>
  <si>
    <t>Priyanka Perumal (RBEI/EBB7)</t>
  </si>
  <si>
    <t>GEEA2_0_IB2_SMART_Deuterium_Int</t>
  </si>
  <si>
    <t>CEVT_GEEA_SMART_Deuterium_Int</t>
  </si>
  <si>
    <t>BYD_IPB_BL05_Int and BYD_IPB_SR_HC</t>
  </si>
  <si>
    <t>BYD_ESP93_INT</t>
  </si>
  <si>
    <t>GWM_B30_IB2_Int</t>
  </si>
  <si>
    <t>GWM_B30_HP_Int</t>
  </si>
  <si>
    <t>HAIMA_VF00_ESP93_Int</t>
  </si>
  <si>
    <t>GAC_ESP93CP_Carbon_Int</t>
  </si>
  <si>
    <t>GAC_IB2_HADHAP_Int</t>
  </si>
  <si>
    <t>GAC_ESPHevX_HADHAP_Int</t>
  </si>
  <si>
    <t>CHERY_ESP93_CMP_RBEI_INTEGRATION</t>
  </si>
  <si>
    <t>BYD_IPB_BL05_Int</t>
  </si>
  <si>
    <t>B30_9DCT_IB2: 80722, A30_DHT_IB2: 81556</t>
  </si>
  <si>
    <t>B30_8DCT_HP: 80432, A30_DHT_HP: 81558</t>
  </si>
  <si>
    <t>81614, 99300</t>
  </si>
  <si>
    <t>81116, 81175</t>
  </si>
  <si>
    <t>20200416_1</t>
  </si>
  <si>
    <t>Detail for each project</t>
  </si>
  <si>
    <t>Can't cover False case of if (ret == E_OK ) at line #26. Because of that it's always TRUE</t>
  </si>
  <si>
    <t>Can't cover False case of if (newDR != DegradationReason_Available) at line #59. Because of that variable newDR can't reach value of DegradationReason_Available.</t>
  </si>
  <si>
    <t>Release YES/NO</t>
  </si>
  <si>
    <t>Can't cover statement 'reached = reached &amp;&amp; IsStateReached' (F&amp;&amp;?). Because of that variable 'reached' has already set to TRUE.</t>
  </si>
  <si>
    <t>YES</t>
  </si>
  <si>
    <t>No function to test</t>
  </si>
  <si>
    <t>rb\as\ib2_baic\core\app\dcom</t>
  </si>
  <si>
    <t>BAIC_C62XP_IB2</t>
  </si>
  <si>
    <t>BL50</t>
  </si>
  <si>
    <t>BAIC_C62XP_IBooster_Int</t>
  </si>
  <si>
    <t xml:space="preserve">Line 374: RBA_BLDRSRVSTHDL_SERVICE_DCM_END(): Missing ";" at the end of line
Line 84: RBA_BLDRSRVSTHDL_SERVICE_DCM_BEGIN(pMsgContext,&amp;rba_BldrCmp_ReadDataByIdentifier,NULL_PTR): Missing ";" at the end of line
Line 349: Can’t cover case default because the value of rba_BldrCmp_RDBI_StateMachine_tst has only 3 elements 
Line 273, 274: Cannot false for line 273 and line 274 because rba_BldrCmp_RDBI_ListIdx_u8 is always set with value “0xFF” at line 208 
Line 290: Can not cover line 290 because rba_BldrCmp_RDBI_DidByFuncList_pst is constant variable and is set to define “RBA_BLDRCMP_RDBI_Read_DidByFuncList”;
+ static const rba_BldrCmp_RDBI_DidByFuncList_tst rba_BldrCmp_RDBI_DidByFuncList_pst[RBA_BLDRCMP_RDBI_NoReadDidByFuncList_Arraylen] = RBA_BLDRCMP_RDBI_Read_DidByFuncList;
</t>
  </si>
  <si>
    <t>Can’t cover false case if(Dem_ErrorQueueControl.isQueueEnabled) at line #518 and the true case if (callSetEventStatus) at line #532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</si>
</sst>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409]d\-mmm\-yyyy;@"/>
  </numFmts>
  <fonts count="21" x14ac:knownFonts="1">
    <font>
      <sz val="11"/>
      <color theme="1"/>
      <name val="Calibri"/>
      <family val="2"/>
      <scheme val="minor"/>
    </font>
    <font>
      <sz val="10"/>
      <color theme="1"/>
      <name val="Arial"/>
      <family val="2"/>
    </font>
    <font>
      <b/>
      <sz val="11"/>
      <color theme="1"/>
      <name val="Calibri"/>
      <family val="2"/>
      <scheme val="minor"/>
    </font>
    <font>
      <b/>
      <sz val="11"/>
      <name val="Calibri"/>
      <family val="2"/>
      <scheme val="minor"/>
    </font>
    <font>
      <sz val="10"/>
      <color rgb="FF9C6500"/>
      <name val="Arial"/>
      <family val="2"/>
    </font>
    <font>
      <sz val="10"/>
      <color rgb="FF006100"/>
      <name val="Arial"/>
      <family val="2"/>
    </font>
    <font>
      <sz val="11"/>
      <name val="Calibri"/>
      <family val="2"/>
      <scheme val="minor"/>
    </font>
    <font>
      <sz val="11"/>
      <color theme="1"/>
      <name val="Calibri"/>
      <family val="2"/>
      <scheme val="minor"/>
    </font>
    <font>
      <sz val="10"/>
      <name val="Arial"/>
      <family val="2"/>
    </font>
    <font>
      <sz val="11"/>
      <color theme="1"/>
      <name val="Calibri"/>
      <family val="2"/>
      <scheme val="minor"/>
    </font>
    <font>
      <b/>
      <sz val="10"/>
      <color theme="1"/>
      <name val="Arial"/>
      <family val="2"/>
    </font>
    <font>
      <sz val="10"/>
      <color rgb="FF9C0006"/>
      <name val="Arial"/>
      <family val="2"/>
    </font>
    <font>
      <sz val="10"/>
      <color indexed="8"/>
      <name val="Arial"/>
      <family val="2"/>
    </font>
    <font>
      <sz val="10"/>
      <color indexed="17"/>
      <name val="Arial"/>
      <family val="2"/>
    </font>
    <font>
      <sz val="10"/>
      <color indexed="10"/>
      <name val="Arial"/>
      <family val="2"/>
    </font>
    <font>
      <b/>
      <sz val="11"/>
      <color theme="1"/>
      <name val="Calibri"/>
      <family val="2"/>
      <scheme val="minor"/>
    </font>
    <font>
      <u/>
      <sz val="11"/>
      <color theme="1"/>
      <name val="Calibri"/>
      <family val="2"/>
      <scheme val="minor"/>
    </font>
    <font>
      <u/>
      <sz val="11"/>
      <name val="Calibri"/>
      <family val="2"/>
      <scheme val="minor"/>
    </font>
    <font>
      <b/>
      <sz val="11"/>
      <color rgb="FFFF0000"/>
      <name val="Calibri"/>
      <family val="2"/>
      <scheme val="minor"/>
    </font>
    <font>
      <sz val="9"/>
      <color indexed="81"/>
      <name val="Tahoma"/>
      <family val="2"/>
    </font>
    <font>
      <b/>
      <sz val="9"/>
      <color indexed="81"/>
      <name val="Tahoma"/>
      <family val="2"/>
    </font>
  </fonts>
  <fills count="24">
    <fill>
      <patternFill patternType="none"/>
    </fill>
    <fill>
      <patternFill patternType="gray125"/>
    </fill>
    <fill>
      <patternFill patternType="solid">
        <fgColor rgb="FFFFFF00"/>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rgb="FFFF0000"/>
        <bgColor indexed="64"/>
      </patternFill>
    </fill>
    <fill>
      <patternFill patternType="solid">
        <fgColor rgb="FFFFC000"/>
        <bgColor indexed="64"/>
      </patternFill>
    </fill>
    <fill>
      <patternFill patternType="solid">
        <fgColor rgb="FF92D050"/>
        <bgColor indexed="64"/>
      </patternFill>
    </fill>
    <fill>
      <patternFill patternType="solid">
        <fgColor theme="0"/>
        <bgColor indexed="64"/>
      </patternFill>
    </fill>
    <fill>
      <patternFill patternType="solid">
        <fgColor theme="7" tint="0.59999389629810485"/>
        <bgColor indexed="64"/>
      </patternFill>
    </fill>
    <fill>
      <patternFill patternType="solid">
        <fgColor rgb="FFFFC7CE"/>
      </patternFill>
    </fill>
    <fill>
      <patternFill patternType="solid">
        <fgColor theme="8"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9" tint="-0.249977111117893"/>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8" tint="-0.249977111117893"/>
        <bgColor indexed="64"/>
      </patternFill>
    </fill>
    <fill>
      <patternFill patternType="solid">
        <fgColor theme="0" tint="-0.499984740745262"/>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2" tint="-0.499984740745262"/>
        <bgColor indexed="64"/>
      </patternFill>
    </fill>
    <fill>
      <patternFill patternType="solid">
        <fgColor theme="5" tint="-0.249977111117893"/>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8" fillId="0" borderId="0"/>
    <xf numFmtId="0" fontId="11" fillId="10" borderId="0" applyNumberFormat="0" applyBorder="0" applyAlignment="0" applyProtection="0"/>
  </cellStyleXfs>
  <cellXfs count="147">
    <xf numFmtId="0" fontId="0" fillId="0" borderId="0" xfId="0"/>
    <xf numFmtId="0" fontId="2" fillId="0" borderId="0" xfId="0" applyFont="1"/>
    <xf numFmtId="0" fontId="2" fillId="0" borderId="1" xfId="0" applyFont="1" applyBorder="1"/>
    <xf numFmtId="0" fontId="0" fillId="0" borderId="1" xfId="0" applyBorder="1"/>
    <xf numFmtId="0" fontId="2" fillId="0" borderId="1" xfId="0" applyFont="1" applyFill="1" applyBorder="1"/>
    <xf numFmtId="0" fontId="0" fillId="0" borderId="0" xfId="0" applyBorder="1"/>
    <xf numFmtId="14" fontId="0" fillId="0" borderId="0" xfId="0" applyNumberFormat="1"/>
    <xf numFmtId="0" fontId="0" fillId="0" borderId="0" xfId="0" applyNumberFormat="1"/>
    <xf numFmtId="0" fontId="0" fillId="0" borderId="1" xfId="0" applyFill="1" applyBorder="1" applyAlignment="1">
      <alignment horizontal="right" vertical="center"/>
    </xf>
    <xf numFmtId="0" fontId="0" fillId="0" borderId="1" xfId="0" applyFill="1" applyBorder="1" applyAlignment="1">
      <alignment horizontal="center" vertical="center"/>
    </xf>
    <xf numFmtId="0" fontId="2" fillId="2" borderId="1" xfId="0" applyFont="1" applyFill="1" applyBorder="1" applyAlignment="1">
      <alignment horizontal="center" vertical="center" wrapText="1"/>
    </xf>
    <xf numFmtId="0" fontId="3" fillId="0" borderId="0" xfId="0" applyFont="1"/>
    <xf numFmtId="0" fontId="2" fillId="0" borderId="1" xfId="0" applyFont="1" applyBorder="1" applyAlignment="1">
      <alignment horizontal="center"/>
    </xf>
    <xf numFmtId="0" fontId="0" fillId="0" borderId="1" xfId="0" applyBorder="1" applyAlignment="1">
      <alignment horizontal="center"/>
    </xf>
    <xf numFmtId="0" fontId="0" fillId="0" borderId="1" xfId="0" applyBorder="1" applyAlignment="1">
      <alignment horizontal="center" vertical="center" wrapText="1"/>
    </xf>
    <xf numFmtId="0" fontId="0" fillId="0" borderId="1" xfId="0" applyBorder="1" applyAlignment="1">
      <alignment vertical="center" wrapText="1"/>
    </xf>
    <xf numFmtId="0" fontId="2" fillId="2" borderId="1" xfId="0" applyFont="1" applyFill="1" applyBorder="1"/>
    <xf numFmtId="0" fontId="0" fillId="0" borderId="1" xfId="0" quotePrefix="1" applyBorder="1"/>
    <xf numFmtId="0" fontId="5" fillId="0" borderId="0" xfId="0" applyNumberFormat="1" applyFont="1" applyFill="1" applyBorder="1" applyAlignment="1" applyProtection="1"/>
    <xf numFmtId="0" fontId="4" fillId="0" borderId="0" xfId="0" applyFont="1" applyFill="1"/>
    <xf numFmtId="0" fontId="6" fillId="0" borderId="1" xfId="0" applyFont="1" applyFill="1" applyBorder="1" applyAlignment="1">
      <alignment horizontal="left" vertical="top"/>
    </xf>
    <xf numFmtId="0" fontId="6" fillId="0" borderId="1" xfId="0" applyFont="1" applyBorder="1" applyAlignment="1">
      <alignment horizontal="left" vertical="top"/>
    </xf>
    <xf numFmtId="0" fontId="0" fillId="0" borderId="1" xfId="0" applyFont="1" applyBorder="1" applyAlignment="1">
      <alignment horizontal="left" vertical="top"/>
    </xf>
    <xf numFmtId="0" fontId="0" fillId="0" borderId="1" xfId="0" applyFont="1" applyFill="1" applyBorder="1" applyAlignment="1">
      <alignment horizontal="left" vertical="top"/>
    </xf>
    <xf numFmtId="0" fontId="0" fillId="0" borderId="1" xfId="0" quotePrefix="1" applyFont="1" applyBorder="1" applyAlignment="1">
      <alignment horizontal="left" vertical="top"/>
    </xf>
    <xf numFmtId="0" fontId="0" fillId="2" borderId="1" xfId="0" applyFont="1" applyFill="1" applyBorder="1" applyAlignment="1">
      <alignment horizontal="left" vertical="top"/>
    </xf>
    <xf numFmtId="164" fontId="0" fillId="0" borderId="1" xfId="0" applyNumberFormat="1" applyFont="1" applyBorder="1" applyAlignment="1">
      <alignment horizontal="left" vertical="top"/>
    </xf>
    <xf numFmtId="14" fontId="0" fillId="0" borderId="1" xfId="0" applyNumberFormat="1" applyFont="1" applyBorder="1" applyAlignment="1">
      <alignment horizontal="left" vertical="top"/>
    </xf>
    <xf numFmtId="0" fontId="6" fillId="0" borderId="1" xfId="0" applyNumberFormat="1" applyFont="1" applyFill="1" applyBorder="1" applyAlignment="1" applyProtection="1">
      <alignment horizontal="left" vertical="top"/>
    </xf>
    <xf numFmtId="0" fontId="6" fillId="0" borderId="0" xfId="0" applyNumberFormat="1" applyFont="1" applyFill="1" applyBorder="1" applyAlignment="1" applyProtection="1">
      <alignment horizontal="left" vertical="top"/>
    </xf>
    <xf numFmtId="0" fontId="0" fillId="0" borderId="1" xfId="0" applyFont="1" applyBorder="1" applyAlignment="1">
      <alignment horizontal="left" vertical="top" wrapText="1"/>
    </xf>
    <xf numFmtId="0" fontId="1" fillId="0" borderId="0" xfId="0" applyFont="1" applyAlignment="1">
      <alignment vertical="center"/>
    </xf>
    <xf numFmtId="0" fontId="1" fillId="0" borderId="0" xfId="0" quotePrefix="1" applyFont="1" applyAlignment="1">
      <alignment vertical="center"/>
    </xf>
    <xf numFmtId="0" fontId="0" fillId="3" borderId="1" xfId="0" applyFill="1" applyBorder="1"/>
    <xf numFmtId="0" fontId="0" fillId="4" borderId="1" xfId="0" applyFill="1" applyBorder="1"/>
    <xf numFmtId="0" fontId="0" fillId="0" borderId="0" xfId="0" applyAlignment="1">
      <alignment vertical="top"/>
    </xf>
    <xf numFmtId="0" fontId="8" fillId="0" borderId="1" xfId="1" applyFont="1" applyBorder="1" applyAlignment="1"/>
    <xf numFmtId="0" fontId="10" fillId="2" borderId="1" xfId="0" applyFont="1" applyFill="1" applyBorder="1" applyAlignment="1">
      <alignment horizontal="center"/>
    </xf>
    <xf numFmtId="0" fontId="10" fillId="5" borderId="2" xfId="0" applyFont="1" applyFill="1" applyBorder="1" applyAlignment="1">
      <alignment horizontal="center" vertical="center"/>
    </xf>
    <xf numFmtId="0" fontId="10" fillId="5" borderId="3" xfId="0" applyFont="1" applyFill="1" applyBorder="1" applyAlignment="1">
      <alignment horizontal="center" vertical="center"/>
    </xf>
    <xf numFmtId="0" fontId="10" fillId="5" borderId="4" xfId="0" applyFont="1" applyFill="1" applyBorder="1" applyAlignment="1">
      <alignment horizontal="center" vertical="center"/>
    </xf>
    <xf numFmtId="0" fontId="0" fillId="0" borderId="1" xfId="0" applyFill="1" applyBorder="1" applyAlignment="1">
      <alignment horizontal="left" vertical="center"/>
    </xf>
    <xf numFmtId="0" fontId="0" fillId="0" borderId="0" xfId="0" applyFill="1" applyBorder="1" applyAlignment="1">
      <alignment horizontal="left" vertical="center"/>
    </xf>
    <xf numFmtId="0" fontId="0" fillId="0" borderId="0" xfId="0" applyFill="1" applyBorder="1" applyAlignment="1">
      <alignment horizontal="center" vertical="center"/>
    </xf>
    <xf numFmtId="0" fontId="0" fillId="6" borderId="1" xfId="0" applyFont="1" applyFill="1" applyBorder="1" applyAlignment="1">
      <alignment horizontal="left" vertical="top"/>
    </xf>
    <xf numFmtId="0" fontId="0" fillId="7" borderId="1" xfId="0" applyFont="1" applyFill="1" applyBorder="1" applyAlignment="1">
      <alignment horizontal="left" vertical="top"/>
    </xf>
    <xf numFmtId="0" fontId="8" fillId="0" borderId="1" xfId="1" applyFont="1" applyBorder="1" applyAlignment="1">
      <alignment wrapText="1"/>
    </xf>
    <xf numFmtId="0" fontId="0" fillId="8" borderId="0" xfId="0" applyFill="1"/>
    <xf numFmtId="0" fontId="0" fillId="8" borderId="1" xfId="0" applyFont="1" applyFill="1" applyBorder="1" applyAlignment="1">
      <alignment horizontal="left" vertical="top"/>
    </xf>
    <xf numFmtId="0" fontId="0" fillId="8" borderId="1" xfId="0" quotePrefix="1" applyFont="1" applyFill="1" applyBorder="1" applyAlignment="1">
      <alignment horizontal="left" vertical="top"/>
    </xf>
    <xf numFmtId="164" fontId="0" fillId="8" borderId="1" xfId="0" applyNumberFormat="1" applyFont="1" applyFill="1" applyBorder="1" applyAlignment="1">
      <alignment horizontal="left" vertical="top"/>
    </xf>
    <xf numFmtId="0" fontId="0" fillId="8" borderId="1" xfId="0" applyFill="1" applyBorder="1" applyAlignment="1">
      <alignment horizontal="left" vertical="top"/>
    </xf>
    <xf numFmtId="10" fontId="0" fillId="0" borderId="1" xfId="0" applyNumberFormat="1" applyFont="1" applyBorder="1" applyAlignment="1">
      <alignment horizontal="left" vertical="top"/>
    </xf>
    <xf numFmtId="10" fontId="0" fillId="8" borderId="1" xfId="0" applyNumberFormat="1" applyFont="1" applyFill="1" applyBorder="1" applyAlignment="1">
      <alignment horizontal="left" vertical="top"/>
    </xf>
    <xf numFmtId="10" fontId="6" fillId="0" borderId="1" xfId="0" applyNumberFormat="1" applyFont="1" applyFill="1" applyBorder="1" applyAlignment="1" applyProtection="1">
      <alignment horizontal="left" vertical="top"/>
    </xf>
    <xf numFmtId="10" fontId="6" fillId="0" borderId="1" xfId="0" quotePrefix="1" applyNumberFormat="1" applyFont="1" applyFill="1" applyBorder="1" applyAlignment="1" applyProtection="1">
      <alignment horizontal="left" vertical="top"/>
    </xf>
    <xf numFmtId="10" fontId="7" fillId="0" borderId="1" xfId="0" applyNumberFormat="1" applyFont="1" applyFill="1" applyBorder="1" applyAlignment="1" applyProtection="1">
      <alignment horizontal="left" vertical="top"/>
    </xf>
    <xf numFmtId="10" fontId="9" fillId="0" borderId="1" xfId="0" applyNumberFormat="1" applyFont="1" applyFill="1" applyBorder="1" applyAlignment="1" applyProtection="1">
      <alignment horizontal="left" vertical="top"/>
    </xf>
    <xf numFmtId="10" fontId="0" fillId="0" borderId="1" xfId="0" quotePrefix="1" applyNumberFormat="1" applyFont="1" applyBorder="1" applyAlignment="1">
      <alignment horizontal="left" vertical="top"/>
    </xf>
    <xf numFmtId="0" fontId="0" fillId="9" borderId="1" xfId="0" applyFont="1" applyFill="1" applyBorder="1" applyAlignment="1">
      <alignment horizontal="left" vertical="top"/>
    </xf>
    <xf numFmtId="0" fontId="2" fillId="2" borderId="1"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0" xfId="0" applyFill="1" applyBorder="1" applyAlignment="1">
      <alignment horizontal="right" vertical="center"/>
    </xf>
    <xf numFmtId="10" fontId="0" fillId="0" borderId="0" xfId="0" applyNumberFormat="1" applyFill="1" applyBorder="1" applyAlignment="1">
      <alignment horizontal="center" vertical="center"/>
    </xf>
    <xf numFmtId="0" fontId="0" fillId="0" borderId="0" xfId="0" applyFont="1"/>
    <xf numFmtId="164" fontId="0" fillId="0" borderId="0" xfId="0" applyNumberFormat="1"/>
    <xf numFmtId="0" fontId="0" fillId="0" borderId="0" xfId="0" quotePrefix="1"/>
    <xf numFmtId="0" fontId="0" fillId="0" borderId="1" xfId="0" applyFill="1" applyBorder="1" applyAlignment="1">
      <alignment horizontal="center" vertical="center"/>
    </xf>
    <xf numFmtId="0" fontId="2" fillId="2" borderId="1" xfId="0" applyFont="1" applyFill="1" applyBorder="1" applyAlignment="1">
      <alignment horizontal="center" vertical="center"/>
    </xf>
    <xf numFmtId="0" fontId="0" fillId="0" borderId="1" xfId="0" quotePrefix="1" applyFill="1" applyBorder="1" applyAlignment="1">
      <alignment horizontal="center" vertical="center"/>
    </xf>
    <xf numFmtId="0" fontId="0" fillId="8" borderId="5" xfId="0" quotePrefix="1" applyFill="1" applyBorder="1" applyAlignment="1">
      <alignment vertical="center"/>
    </xf>
    <xf numFmtId="0" fontId="0" fillId="8" borderId="6" xfId="0" applyFill="1" applyBorder="1" applyAlignment="1">
      <alignment vertical="center"/>
    </xf>
    <xf numFmtId="0" fontId="0" fillId="8" borderId="7" xfId="0" applyFill="1" applyBorder="1" applyAlignment="1">
      <alignment vertical="center"/>
    </xf>
    <xf numFmtId="0" fontId="0" fillId="0" borderId="1" xfId="0" applyBorder="1" applyAlignment="1">
      <alignment horizontal="center" vertical="center"/>
    </xf>
    <xf numFmtId="10" fontId="0" fillId="0" borderId="1" xfId="0" applyNumberFormat="1" applyBorder="1" applyAlignment="1">
      <alignment horizontal="center" vertical="center"/>
    </xf>
    <xf numFmtId="0" fontId="11" fillId="10" borderId="1" xfId="2" applyBorder="1" applyAlignment="1">
      <alignment horizontal="center" vertical="center"/>
    </xf>
    <xf numFmtId="10" fontId="0" fillId="0" borderId="1" xfId="0" applyNumberFormat="1" applyBorder="1" applyAlignment="1">
      <alignment horizontal="left" vertical="top"/>
    </xf>
    <xf numFmtId="164" fontId="0" fillId="11" borderId="1" xfId="0" applyNumberFormat="1" applyFont="1" applyFill="1" applyBorder="1" applyAlignment="1">
      <alignment horizontal="left" vertical="top"/>
    </xf>
    <xf numFmtId="0" fontId="0" fillId="5" borderId="1" xfId="0" applyFont="1" applyFill="1" applyBorder="1" applyAlignment="1">
      <alignment horizontal="left" vertical="top"/>
    </xf>
    <xf numFmtId="0" fontId="2" fillId="2" borderId="1" xfId="0" applyFont="1" applyFill="1" applyBorder="1" applyAlignment="1">
      <alignment horizontal="center" vertical="center"/>
    </xf>
    <xf numFmtId="0" fontId="0" fillId="0" borderId="1" xfId="0" applyFill="1" applyBorder="1" applyAlignment="1">
      <alignment horizontal="center" vertical="center"/>
    </xf>
    <xf numFmtId="0" fontId="0" fillId="0" borderId="1" xfId="0" applyNumberFormat="1" applyFont="1" applyFill="1" applyBorder="1" applyAlignment="1">
      <alignment horizontal="left" vertical="top"/>
    </xf>
    <xf numFmtId="0" fontId="12" fillId="0" borderId="1" xfId="0" applyFont="1" applyFill="1" applyBorder="1" applyAlignment="1" applyProtection="1">
      <alignment horizontal="left" vertical="top"/>
    </xf>
    <xf numFmtId="0" fontId="2" fillId="2" borderId="1" xfId="0" applyFont="1" applyFill="1" applyBorder="1" applyAlignment="1">
      <alignment horizontal="center" vertical="center"/>
    </xf>
    <xf numFmtId="0" fontId="0" fillId="0" borderId="1" xfId="0" applyFill="1" applyBorder="1" applyAlignment="1">
      <alignment horizontal="center" vertical="center"/>
    </xf>
    <xf numFmtId="0" fontId="0" fillId="0" borderId="1" xfId="0" quotePrefix="1" applyFill="1" applyBorder="1" applyAlignment="1">
      <alignment horizontal="center" vertical="center"/>
    </xf>
    <xf numFmtId="0" fontId="2" fillId="2" borderId="1" xfId="0" applyFont="1" applyFill="1" applyBorder="1" applyAlignment="1">
      <alignment horizontal="center" vertical="center"/>
    </xf>
    <xf numFmtId="0" fontId="0" fillId="0" borderId="1" xfId="0" quotePrefix="1" applyFill="1" applyBorder="1" applyAlignment="1">
      <alignment horizontal="center" vertical="center"/>
    </xf>
    <xf numFmtId="0" fontId="0" fillId="0" borderId="1" xfId="0" applyFill="1" applyBorder="1" applyAlignment="1">
      <alignment horizontal="center" vertical="center"/>
    </xf>
    <xf numFmtId="0" fontId="2" fillId="2" borderId="5" xfId="0" applyFont="1" applyFill="1" applyBorder="1" applyAlignment="1">
      <alignment horizontal="center" vertical="center"/>
    </xf>
    <xf numFmtId="0" fontId="2" fillId="2" borderId="6" xfId="0" applyFont="1" applyFill="1" applyBorder="1" applyAlignment="1">
      <alignment horizontal="center" vertical="center"/>
    </xf>
    <xf numFmtId="0" fontId="2" fillId="2" borderId="7" xfId="0" applyFont="1" applyFill="1" applyBorder="1" applyAlignment="1">
      <alignment horizontal="center" vertical="center"/>
    </xf>
    <xf numFmtId="0" fontId="6" fillId="2" borderId="1" xfId="0" applyNumberFormat="1" applyFont="1" applyFill="1" applyBorder="1" applyAlignment="1" applyProtection="1">
      <alignment horizontal="left" vertical="top"/>
    </xf>
    <xf numFmtId="0" fontId="6" fillId="13" borderId="1" xfId="0" applyNumberFormat="1" applyFont="1" applyFill="1" applyBorder="1" applyAlignment="1" applyProtection="1">
      <alignment horizontal="left" vertical="top"/>
    </xf>
    <xf numFmtId="0" fontId="0" fillId="0" borderId="1" xfId="0" applyFill="1" applyBorder="1" applyAlignment="1">
      <alignment horizontal="center" vertical="center"/>
    </xf>
    <xf numFmtId="0" fontId="0" fillId="0" borderId="1" xfId="0" quotePrefix="1" applyFont="1" applyFill="1" applyBorder="1" applyAlignment="1">
      <alignment horizontal="left" vertical="top"/>
    </xf>
    <xf numFmtId="0" fontId="6" fillId="11" borderId="1" xfId="0" applyNumberFormat="1" applyFont="1" applyFill="1" applyBorder="1" applyAlignment="1" applyProtection="1">
      <alignment horizontal="left" vertical="top"/>
    </xf>
    <xf numFmtId="0" fontId="0" fillId="0" borderId="1" xfId="0" applyBorder="1" applyAlignment="1">
      <alignment horizontal="left" vertical="top"/>
    </xf>
    <xf numFmtId="0" fontId="15" fillId="0" borderId="0" xfId="0" applyFont="1"/>
    <xf numFmtId="0" fontId="15" fillId="2" borderId="1" xfId="0" applyFont="1" applyFill="1" applyBorder="1" applyAlignment="1">
      <alignment horizontal="center" vertical="center"/>
    </xf>
    <xf numFmtId="0" fontId="15" fillId="2" borderId="1" xfId="0" applyFont="1" applyFill="1" applyBorder="1" applyAlignment="1">
      <alignment horizontal="center" vertical="center" wrapText="1"/>
    </xf>
    <xf numFmtId="0" fontId="0" fillId="0" borderId="1" xfId="0" applyBorder="1" applyAlignment="1">
      <alignment horizontal="right" vertical="center"/>
    </xf>
    <xf numFmtId="0" fontId="12" fillId="0" borderId="1" xfId="0" applyFont="1" applyFill="1" applyBorder="1" applyAlignment="1" applyProtection="1"/>
    <xf numFmtId="0" fontId="0" fillId="0" borderId="0" xfId="0" quotePrefix="1" applyAlignment="1"/>
    <xf numFmtId="0" fontId="6" fillId="12" borderId="1" xfId="0" applyNumberFormat="1" applyFont="1" applyFill="1" applyBorder="1" applyAlignment="1" applyProtection="1">
      <alignment horizontal="left" vertical="top"/>
    </xf>
    <xf numFmtId="0" fontId="6" fillId="14" borderId="1" xfId="0" applyNumberFormat="1" applyFont="1" applyFill="1" applyBorder="1" applyAlignment="1" applyProtection="1">
      <alignment horizontal="left" vertical="top"/>
    </xf>
    <xf numFmtId="0" fontId="2" fillId="2" borderId="1" xfId="0" applyFont="1" applyFill="1" applyBorder="1" applyAlignment="1">
      <alignment horizontal="center" vertical="center"/>
    </xf>
    <xf numFmtId="0" fontId="0" fillId="0" borderId="1" xfId="0" quotePrefix="1" applyFill="1" applyBorder="1"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horizontal="center" vertical="center"/>
    </xf>
    <xf numFmtId="0" fontId="0" fillId="0" borderId="1" xfId="0" quotePrefix="1" applyFill="1" applyBorder="1" applyAlignment="1">
      <alignment horizontal="left" vertical="center"/>
    </xf>
    <xf numFmtId="0" fontId="2" fillId="2" borderId="5" xfId="0" applyFont="1" applyFill="1" applyBorder="1" applyAlignment="1">
      <alignment vertical="center"/>
    </xf>
    <xf numFmtId="0" fontId="2" fillId="2" borderId="6" xfId="0" applyFont="1" applyFill="1" applyBorder="1" applyAlignment="1">
      <alignment vertical="center"/>
    </xf>
    <xf numFmtId="0" fontId="2" fillId="2" borderId="7" xfId="0" applyFont="1" applyFill="1" applyBorder="1" applyAlignment="1">
      <alignment vertical="center"/>
    </xf>
    <xf numFmtId="164" fontId="0" fillId="0" borderId="1" xfId="0" applyNumberFormat="1" applyFont="1" applyFill="1" applyBorder="1" applyAlignment="1">
      <alignment horizontal="left" vertical="top"/>
    </xf>
    <xf numFmtId="0" fontId="6" fillId="15" borderId="1" xfId="0" applyNumberFormat="1" applyFont="1" applyFill="1" applyBorder="1" applyAlignment="1" applyProtection="1">
      <alignment horizontal="left" vertical="top"/>
    </xf>
    <xf numFmtId="0" fontId="6" fillId="16" borderId="1" xfId="0" applyNumberFormat="1" applyFont="1" applyFill="1" applyBorder="1" applyAlignment="1" applyProtection="1">
      <alignment horizontal="left" vertical="top"/>
    </xf>
    <xf numFmtId="0" fontId="16" fillId="0" borderId="0" xfId="0" applyFont="1"/>
    <xf numFmtId="0" fontId="17" fillId="0" borderId="1" xfId="0" applyNumberFormat="1" applyFont="1" applyFill="1" applyBorder="1" applyAlignment="1" applyProtection="1">
      <alignment horizontal="left" vertical="top"/>
    </xf>
    <xf numFmtId="0" fontId="16" fillId="0" borderId="1" xfId="0" applyFont="1" applyFill="1" applyBorder="1" applyAlignment="1">
      <alignment horizontal="left" vertical="top"/>
    </xf>
    <xf numFmtId="0" fontId="16" fillId="0" borderId="1" xfId="0" applyFont="1" applyBorder="1" applyAlignment="1">
      <alignment horizontal="left" vertical="top"/>
    </xf>
    <xf numFmtId="0" fontId="16" fillId="0" borderId="1" xfId="0" quotePrefix="1" applyFont="1" applyBorder="1" applyAlignment="1">
      <alignment horizontal="left" vertical="top"/>
    </xf>
    <xf numFmtId="0" fontId="16" fillId="2" borderId="1" xfId="0" applyFont="1" applyFill="1" applyBorder="1" applyAlignment="1">
      <alignment horizontal="left" vertical="top"/>
    </xf>
    <xf numFmtId="0" fontId="16" fillId="0" borderId="1" xfId="0" applyFont="1" applyBorder="1"/>
    <xf numFmtId="164" fontId="16" fillId="0" borderId="1" xfId="0" applyNumberFormat="1" applyFont="1" applyBorder="1" applyAlignment="1">
      <alignment horizontal="left" vertical="top"/>
    </xf>
    <xf numFmtId="10" fontId="16" fillId="0" borderId="1" xfId="0" applyNumberFormat="1" applyFont="1" applyBorder="1" applyAlignment="1">
      <alignment horizontal="left" vertical="top"/>
    </xf>
    <xf numFmtId="0" fontId="6" fillId="4" borderId="1" xfId="0" applyNumberFormat="1" applyFont="1" applyFill="1" applyBorder="1" applyAlignment="1" applyProtection="1">
      <alignment horizontal="left" vertical="top"/>
    </xf>
    <xf numFmtId="0" fontId="6" fillId="17" borderId="1" xfId="0" applyNumberFormat="1" applyFont="1" applyFill="1" applyBorder="1" applyAlignment="1" applyProtection="1">
      <alignment horizontal="left" vertical="top"/>
    </xf>
    <xf numFmtId="0" fontId="6" fillId="9" borderId="1" xfId="0" applyNumberFormat="1" applyFont="1" applyFill="1" applyBorder="1" applyAlignment="1" applyProtection="1">
      <alignment horizontal="left" vertical="top"/>
    </xf>
    <xf numFmtId="0" fontId="6" fillId="18" borderId="1" xfId="0" applyNumberFormat="1" applyFont="1" applyFill="1" applyBorder="1" applyAlignment="1" applyProtection="1">
      <alignment horizontal="left" vertical="top"/>
    </xf>
    <xf numFmtId="0" fontId="0" fillId="0" borderId="1" xfId="0" applyFill="1" applyBorder="1" applyAlignment="1">
      <alignment horizontal="center" vertical="center"/>
    </xf>
    <xf numFmtId="0" fontId="0" fillId="0" borderId="1" xfId="0" applyFill="1" applyBorder="1" applyAlignment="1">
      <alignment horizontal="center" vertical="center"/>
    </xf>
    <xf numFmtId="0" fontId="2" fillId="5" borderId="0" xfId="0" applyFont="1" applyFill="1"/>
    <xf numFmtId="0" fontId="18" fillId="0" borderId="0" xfId="0" quotePrefix="1" applyFont="1"/>
    <xf numFmtId="0" fontId="0" fillId="19" borderId="1" xfId="0" quotePrefix="1" applyFont="1" applyFill="1" applyBorder="1" applyAlignment="1">
      <alignment horizontal="left" vertical="top"/>
    </xf>
    <xf numFmtId="0" fontId="6" fillId="6" borderId="1" xfId="0" applyNumberFormat="1" applyFont="1" applyFill="1" applyBorder="1" applyAlignment="1" applyProtection="1">
      <alignment horizontal="left" vertical="top"/>
    </xf>
    <xf numFmtId="0" fontId="6" fillId="20" borderId="1" xfId="0" applyNumberFormat="1" applyFont="1" applyFill="1" applyBorder="1" applyAlignment="1" applyProtection="1">
      <alignment horizontal="left" vertical="top"/>
    </xf>
    <xf numFmtId="0" fontId="6" fillId="21" borderId="1" xfId="0" applyNumberFormat="1" applyFont="1" applyFill="1" applyBorder="1" applyAlignment="1" applyProtection="1">
      <alignment horizontal="left" vertical="top"/>
    </xf>
    <xf numFmtId="0" fontId="0" fillId="0" borderId="1" xfId="0" applyFill="1" applyBorder="1" applyAlignment="1">
      <alignment horizontal="center" vertical="center"/>
    </xf>
    <xf numFmtId="0" fontId="2" fillId="2" borderId="1" xfId="0" applyFont="1" applyFill="1" applyBorder="1" applyAlignment="1">
      <alignment horizontal="left" vertical="top"/>
    </xf>
    <xf numFmtId="0" fontId="6" fillId="22" borderId="1" xfId="0" applyNumberFormat="1" applyFont="1" applyFill="1" applyBorder="1" applyAlignment="1" applyProtection="1">
      <alignment horizontal="left" vertical="top"/>
    </xf>
    <xf numFmtId="0" fontId="6" fillId="23" borderId="1" xfId="0" applyNumberFormat="1" applyFont="1" applyFill="1" applyBorder="1" applyAlignment="1" applyProtection="1">
      <alignment horizontal="left" vertical="top"/>
    </xf>
    <xf numFmtId="0" fontId="0" fillId="2" borderId="1" xfId="0" quotePrefix="1" applyFont="1" applyFill="1" applyBorder="1" applyAlignment="1">
      <alignment horizontal="left" vertical="top"/>
    </xf>
    <xf numFmtId="0" fontId="2" fillId="2" borderId="1" xfId="0" applyFont="1" applyFill="1" applyBorder="1" applyAlignment="1">
      <alignment horizontal="center" vertical="center"/>
    </xf>
    <xf numFmtId="0" fontId="0" fillId="0" borderId="1" xfId="0" quotePrefix="1" applyFill="1" applyBorder="1" applyAlignment="1">
      <alignment horizontal="center" vertical="center"/>
    </xf>
    <xf numFmtId="0" fontId="0" fillId="0" borderId="1" xfId="0" applyFill="1" applyBorder="1" applyAlignment="1">
      <alignment horizontal="center" vertical="center"/>
    </xf>
    <xf numFmtId="0" fontId="6" fillId="3" borderId="1" xfId="0" applyNumberFormat="1" applyFont="1" applyFill="1" applyBorder="1" applyAlignment="1" applyProtection="1">
      <alignment horizontal="left" vertical="top"/>
    </xf>
  </cellXfs>
  <cellStyles count="3">
    <cellStyle name="Bad" xfId="2" builtinId="27"/>
    <cellStyle name="Normal" xfId="0" builtinId="0"/>
    <cellStyle name="Normal 3" xfId="1"/>
  </cellStyles>
  <dxfs count="240">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Medium9"/>
  <colors>
    <mruColors>
      <color rgb="FFC6EF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usernames" Target="revisions/userNam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revisionHeaders" Target="revisions/revisionHeader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38100</xdr:colOff>
      <xdr:row>18</xdr:row>
      <xdr:rowOff>142875</xdr:rowOff>
    </xdr:from>
    <xdr:to>
      <xdr:col>3</xdr:col>
      <xdr:colOff>322851</xdr:colOff>
      <xdr:row>36</xdr:row>
      <xdr:rowOff>113875</xdr:rowOff>
    </xdr:to>
    <xdr:pic>
      <xdr:nvPicPr>
        <xdr:cNvPr id="2" name="Picture 1"/>
        <xdr:cNvPicPr>
          <a:picLocks noChangeAspect="1"/>
        </xdr:cNvPicPr>
      </xdr:nvPicPr>
      <xdr:blipFill>
        <a:blip xmlns:r="http://schemas.openxmlformats.org/officeDocument/2006/relationships" r:embed="rId1"/>
        <a:stretch>
          <a:fillRect/>
        </a:stretch>
      </xdr:blipFill>
      <xdr:spPr>
        <a:xfrm>
          <a:off x="647700" y="3571875"/>
          <a:ext cx="7990476" cy="3400000"/>
        </a:xfrm>
        <a:prstGeom prst="rect">
          <a:avLst/>
        </a:prstGeom>
      </xdr:spPr>
    </xdr:pic>
    <xdr:clientData/>
  </xdr:twoCellAnchor>
</xdr:wsDr>
</file>

<file path=xl/revisions/_rels/revisionHeaders.xml.rels><?xml version="1.0" encoding="UTF-8" standalone="yes"?>
<Relationships xmlns="http://schemas.openxmlformats.org/package/2006/relationships"><Relationship Id="rId13" Type="http://schemas.openxmlformats.org/officeDocument/2006/relationships/revisionLog" Target="revisionLog13.xml"/><Relationship Id="rId18" Type="http://schemas.openxmlformats.org/officeDocument/2006/relationships/revisionLog" Target="revisionLog18.xml"/><Relationship Id="rId26" Type="http://schemas.openxmlformats.org/officeDocument/2006/relationships/revisionLog" Target="revisionLog26.xml"/><Relationship Id="rId39" Type="http://schemas.openxmlformats.org/officeDocument/2006/relationships/revisionLog" Target="revisionLog39.xml"/><Relationship Id="rId21" Type="http://schemas.openxmlformats.org/officeDocument/2006/relationships/revisionLog" Target="revisionLog21.xml"/><Relationship Id="rId34" Type="http://schemas.openxmlformats.org/officeDocument/2006/relationships/revisionLog" Target="revisionLog34.xml"/><Relationship Id="rId42" Type="http://schemas.openxmlformats.org/officeDocument/2006/relationships/revisionLog" Target="revisionLog42.xml"/><Relationship Id="rId47" Type="http://schemas.openxmlformats.org/officeDocument/2006/relationships/revisionLog" Target="revisionLog47.xml"/><Relationship Id="rId50" Type="http://schemas.openxmlformats.org/officeDocument/2006/relationships/revisionLog" Target="revisionLog50.xml"/><Relationship Id="rId55" Type="http://schemas.openxmlformats.org/officeDocument/2006/relationships/revisionLog" Target="revisionLog55.xml"/><Relationship Id="rId63" Type="http://schemas.openxmlformats.org/officeDocument/2006/relationships/revisionLog" Target="revisionLog63.xml"/><Relationship Id="rId68" Type="http://schemas.openxmlformats.org/officeDocument/2006/relationships/revisionLog" Target="revisionLog68.xml"/><Relationship Id="rId7" Type="http://schemas.openxmlformats.org/officeDocument/2006/relationships/revisionLog" Target="revisionLog7.xml"/><Relationship Id="rId71" Type="http://schemas.openxmlformats.org/officeDocument/2006/relationships/revisionLog" Target="revisionLog71.xml"/><Relationship Id="rId2" Type="http://schemas.openxmlformats.org/officeDocument/2006/relationships/revisionLog" Target="revisionLog2.xml"/><Relationship Id="rId16" Type="http://schemas.openxmlformats.org/officeDocument/2006/relationships/revisionLog" Target="revisionLog16.xml"/><Relationship Id="rId29" Type="http://schemas.openxmlformats.org/officeDocument/2006/relationships/revisionLog" Target="revisionLog29.xml"/><Relationship Id="rId11" Type="http://schemas.openxmlformats.org/officeDocument/2006/relationships/revisionLog" Target="revisionLog11.xml"/><Relationship Id="rId24" Type="http://schemas.openxmlformats.org/officeDocument/2006/relationships/revisionLog" Target="revisionLog24.xml"/><Relationship Id="rId32" Type="http://schemas.openxmlformats.org/officeDocument/2006/relationships/revisionLog" Target="revisionLog32.xml"/><Relationship Id="rId37" Type="http://schemas.openxmlformats.org/officeDocument/2006/relationships/revisionLog" Target="revisionLog37.xml"/><Relationship Id="rId40" Type="http://schemas.openxmlformats.org/officeDocument/2006/relationships/revisionLog" Target="revisionLog40.xml"/><Relationship Id="rId45" Type="http://schemas.openxmlformats.org/officeDocument/2006/relationships/revisionLog" Target="revisionLog45.xml"/><Relationship Id="rId53" Type="http://schemas.openxmlformats.org/officeDocument/2006/relationships/revisionLog" Target="revisionLog53.xml"/><Relationship Id="rId58" Type="http://schemas.openxmlformats.org/officeDocument/2006/relationships/revisionLog" Target="revisionLog58.xml"/><Relationship Id="rId66" Type="http://schemas.openxmlformats.org/officeDocument/2006/relationships/revisionLog" Target="revisionLog66.xml"/><Relationship Id="rId74" Type="http://schemas.openxmlformats.org/officeDocument/2006/relationships/revisionLog" Target="revisionLog74.xml"/><Relationship Id="rId5" Type="http://schemas.openxmlformats.org/officeDocument/2006/relationships/revisionLog" Target="revisionLog5.xml"/><Relationship Id="rId15" Type="http://schemas.openxmlformats.org/officeDocument/2006/relationships/revisionLog" Target="revisionLog15.xml"/><Relationship Id="rId23" Type="http://schemas.openxmlformats.org/officeDocument/2006/relationships/revisionLog" Target="revisionLog23.xml"/><Relationship Id="rId28" Type="http://schemas.openxmlformats.org/officeDocument/2006/relationships/revisionLog" Target="revisionLog28.xml"/><Relationship Id="rId36" Type="http://schemas.openxmlformats.org/officeDocument/2006/relationships/revisionLog" Target="revisionLog36.xml"/><Relationship Id="rId49" Type="http://schemas.openxmlformats.org/officeDocument/2006/relationships/revisionLog" Target="revisionLog49.xml"/><Relationship Id="rId57" Type="http://schemas.openxmlformats.org/officeDocument/2006/relationships/revisionLog" Target="revisionLog57.xml"/><Relationship Id="rId61" Type="http://schemas.openxmlformats.org/officeDocument/2006/relationships/revisionLog" Target="revisionLog61.xml"/><Relationship Id="rId10" Type="http://schemas.openxmlformats.org/officeDocument/2006/relationships/revisionLog" Target="revisionLog10.xml"/><Relationship Id="rId19" Type="http://schemas.openxmlformats.org/officeDocument/2006/relationships/revisionLog" Target="revisionLog19.xml"/><Relationship Id="rId31" Type="http://schemas.openxmlformats.org/officeDocument/2006/relationships/revisionLog" Target="revisionLog31.xml"/><Relationship Id="rId44" Type="http://schemas.openxmlformats.org/officeDocument/2006/relationships/revisionLog" Target="revisionLog44.xml"/><Relationship Id="rId52" Type="http://schemas.openxmlformats.org/officeDocument/2006/relationships/revisionLog" Target="revisionLog52.xml"/><Relationship Id="rId60" Type="http://schemas.openxmlformats.org/officeDocument/2006/relationships/revisionLog" Target="revisionLog60.xml"/><Relationship Id="rId65" Type="http://schemas.openxmlformats.org/officeDocument/2006/relationships/revisionLog" Target="revisionLog65.xml"/><Relationship Id="rId73" Type="http://schemas.openxmlformats.org/officeDocument/2006/relationships/revisionLog" Target="revisionLog73.xml"/><Relationship Id="rId4" Type="http://schemas.openxmlformats.org/officeDocument/2006/relationships/revisionLog" Target="revisionLog4.xml"/><Relationship Id="rId9" Type="http://schemas.openxmlformats.org/officeDocument/2006/relationships/revisionLog" Target="revisionLog9.xml"/><Relationship Id="rId14" Type="http://schemas.openxmlformats.org/officeDocument/2006/relationships/revisionLog" Target="revisionLog14.xml"/><Relationship Id="rId22" Type="http://schemas.openxmlformats.org/officeDocument/2006/relationships/revisionLog" Target="revisionLog22.xml"/><Relationship Id="rId27" Type="http://schemas.openxmlformats.org/officeDocument/2006/relationships/revisionLog" Target="revisionLog27.xml"/><Relationship Id="rId30" Type="http://schemas.openxmlformats.org/officeDocument/2006/relationships/revisionLog" Target="revisionLog30.xml"/><Relationship Id="rId35" Type="http://schemas.openxmlformats.org/officeDocument/2006/relationships/revisionLog" Target="revisionLog35.xml"/><Relationship Id="rId43" Type="http://schemas.openxmlformats.org/officeDocument/2006/relationships/revisionLog" Target="revisionLog43.xml"/><Relationship Id="rId48" Type="http://schemas.openxmlformats.org/officeDocument/2006/relationships/revisionLog" Target="revisionLog48.xml"/><Relationship Id="rId56" Type="http://schemas.openxmlformats.org/officeDocument/2006/relationships/revisionLog" Target="revisionLog56.xml"/><Relationship Id="rId64" Type="http://schemas.openxmlformats.org/officeDocument/2006/relationships/revisionLog" Target="revisionLog64.xml"/><Relationship Id="rId69" Type="http://schemas.openxmlformats.org/officeDocument/2006/relationships/revisionLog" Target="revisionLog69.xml"/><Relationship Id="rId8" Type="http://schemas.openxmlformats.org/officeDocument/2006/relationships/revisionLog" Target="revisionLog8.xml"/><Relationship Id="rId51" Type="http://schemas.openxmlformats.org/officeDocument/2006/relationships/revisionLog" Target="revisionLog51.xml"/><Relationship Id="rId72" Type="http://schemas.openxmlformats.org/officeDocument/2006/relationships/revisionLog" Target="revisionLog72.xml"/><Relationship Id="rId3" Type="http://schemas.openxmlformats.org/officeDocument/2006/relationships/revisionLog" Target="revisionLog3.xml"/><Relationship Id="rId12" Type="http://schemas.openxmlformats.org/officeDocument/2006/relationships/revisionLog" Target="revisionLog12.xml"/><Relationship Id="rId17" Type="http://schemas.openxmlformats.org/officeDocument/2006/relationships/revisionLog" Target="revisionLog17.xml"/><Relationship Id="rId25" Type="http://schemas.openxmlformats.org/officeDocument/2006/relationships/revisionLog" Target="revisionLog25.xml"/><Relationship Id="rId33" Type="http://schemas.openxmlformats.org/officeDocument/2006/relationships/revisionLog" Target="revisionLog33.xml"/><Relationship Id="rId38" Type="http://schemas.openxmlformats.org/officeDocument/2006/relationships/revisionLog" Target="revisionLog38.xml"/><Relationship Id="rId46" Type="http://schemas.openxmlformats.org/officeDocument/2006/relationships/revisionLog" Target="revisionLog46.xml"/><Relationship Id="rId59" Type="http://schemas.openxmlformats.org/officeDocument/2006/relationships/revisionLog" Target="revisionLog59.xml"/><Relationship Id="rId67" Type="http://schemas.openxmlformats.org/officeDocument/2006/relationships/revisionLog" Target="revisionLog67.xml"/><Relationship Id="rId20" Type="http://schemas.openxmlformats.org/officeDocument/2006/relationships/revisionLog" Target="revisionLog20.xml"/><Relationship Id="rId41" Type="http://schemas.openxmlformats.org/officeDocument/2006/relationships/revisionLog" Target="revisionLog41.xml"/><Relationship Id="rId54" Type="http://schemas.openxmlformats.org/officeDocument/2006/relationships/revisionLog" Target="revisionLog54.xml"/><Relationship Id="rId62" Type="http://schemas.openxmlformats.org/officeDocument/2006/relationships/revisionLog" Target="revisionLog62.xml"/><Relationship Id="rId70" Type="http://schemas.openxmlformats.org/officeDocument/2006/relationships/revisionLog" Target="revisionLog70.xml"/><Relationship Id="rId1" Type="http://schemas.openxmlformats.org/officeDocument/2006/relationships/revisionLog" Target="revisionLog1.xml"/><Relationship Id="rId6" Type="http://schemas.openxmlformats.org/officeDocument/2006/relationships/revisionLog" Target="revisionLog6.xml"/></Relationships>
</file>

<file path=xl/revisions/revisionHeaders.xml><?xml version="1.0" encoding="utf-8"?>
<headers xmlns="http://schemas.openxmlformats.org/spreadsheetml/2006/main" xmlns:r="http://schemas.openxmlformats.org/officeDocument/2006/relationships" xmlns:mc="http://schemas.openxmlformats.org/markup-compatibility/2006" xmlns:x14ac="http://schemas.microsoft.com/office/spreadsheetml/2009/9/ac" mc:Ignorable="x14ac" guid="{03F7FB66-51A1-4FC1-B9A9-7EF44B95D053}" diskRevisions="1" revisionId="1228" version="74">
  <header guid="{700F4341-CA77-4E28-9810-8DC3726F6544}" dateTime="2020-04-17T10:42:38" maxSheetId="15" userName="EXTERNAL Nguyen Trung Hieu (Ban Vien, RBVH/EPS45)" r:id="rId1">
    <sheetIdMap count="14">
      <sheetId val="1"/>
      <sheetId val="2"/>
      <sheetId val="3"/>
      <sheetId val="4"/>
      <sheetId val="5"/>
      <sheetId val="6"/>
      <sheetId val="7"/>
      <sheetId val="8"/>
      <sheetId val="9"/>
      <sheetId val="10"/>
      <sheetId val="11"/>
      <sheetId val="12"/>
      <sheetId val="13"/>
      <sheetId val="14"/>
    </sheetIdMap>
  </header>
  <header guid="{3432F241-EA83-4C22-A33E-EE78B7BE799E}" dateTime="2020-04-17T10:43:44" maxSheetId="15" userName="EXTERNAL Nguyen Trung Hieu (Ban Vien, RBVH/EPS45)" r:id="rId2" minRId="1" maxRId="21">
    <sheetIdMap count="14">
      <sheetId val="1"/>
      <sheetId val="2"/>
      <sheetId val="3"/>
      <sheetId val="4"/>
      <sheetId val="5"/>
      <sheetId val="6"/>
      <sheetId val="7"/>
      <sheetId val="8"/>
      <sheetId val="9"/>
      <sheetId val="10"/>
      <sheetId val="11"/>
      <sheetId val="12"/>
      <sheetId val="13"/>
      <sheetId val="14"/>
    </sheetIdMap>
  </header>
  <header guid="{53EBCC98-4F0E-48AA-B13C-5FEF97687646}" dateTime="2020-04-17T10:44:45" maxSheetId="15" userName="EXTERNAL Nguyen Trung Hieu (Ban Vien, RBVH/EPS45)" r:id="rId3" minRId="26" maxRId="43">
    <sheetIdMap count="14">
      <sheetId val="1"/>
      <sheetId val="2"/>
      <sheetId val="3"/>
      <sheetId val="4"/>
      <sheetId val="5"/>
      <sheetId val="6"/>
      <sheetId val="7"/>
      <sheetId val="8"/>
      <sheetId val="9"/>
      <sheetId val="10"/>
      <sheetId val="11"/>
      <sheetId val="12"/>
      <sheetId val="13"/>
      <sheetId val="14"/>
    </sheetIdMap>
  </header>
  <header guid="{65C15880-F680-4C36-9EEA-0EEAFC133F4C}" dateTime="2020-04-17T10:53:46" maxSheetId="15" userName="EXTERNAL Nguyen Trung Hieu (Ban Vien, RBVH/EPS45)" r:id="rId4" minRId="48" maxRId="49">
    <sheetIdMap count="14">
      <sheetId val="1"/>
      <sheetId val="2"/>
      <sheetId val="3"/>
      <sheetId val="4"/>
      <sheetId val="5"/>
      <sheetId val="6"/>
      <sheetId val="7"/>
      <sheetId val="8"/>
      <sheetId val="9"/>
      <sheetId val="10"/>
      <sheetId val="11"/>
      <sheetId val="12"/>
      <sheetId val="13"/>
      <sheetId val="14"/>
    </sheetIdMap>
  </header>
  <header guid="{3589EA54-554F-45A7-8275-35113494E989}" dateTime="2020-04-17T10:55:16" maxSheetId="15" userName="EXTERNAL Nguyen Trung Hieu (Ban Vien, RBVH/EPS45)" r:id="rId5" minRId="54">
    <sheetIdMap count="14">
      <sheetId val="1"/>
      <sheetId val="2"/>
      <sheetId val="3"/>
      <sheetId val="4"/>
      <sheetId val="5"/>
      <sheetId val="6"/>
      <sheetId val="7"/>
      <sheetId val="8"/>
      <sheetId val="9"/>
      <sheetId val="10"/>
      <sheetId val="11"/>
      <sheetId val="12"/>
      <sheetId val="13"/>
      <sheetId val="14"/>
    </sheetIdMap>
  </header>
  <header guid="{E2D03F54-F6CF-47A8-A609-1EFB768DF84E}" dateTime="2020-04-17T11:19:08" maxSheetId="15" userName="EXTERNAL Nguyen Trung Hieu (Ban Vien, RBVH/EPS45)" r:id="rId6">
    <sheetIdMap count="14">
      <sheetId val="1"/>
      <sheetId val="2"/>
      <sheetId val="3"/>
      <sheetId val="4"/>
      <sheetId val="5"/>
      <sheetId val="6"/>
      <sheetId val="7"/>
      <sheetId val="8"/>
      <sheetId val="9"/>
      <sheetId val="10"/>
      <sheetId val="11"/>
      <sheetId val="12"/>
      <sheetId val="13"/>
      <sheetId val="14"/>
    </sheetIdMap>
  </header>
  <header guid="{E860D0CE-1201-4BDF-9210-38FD3D138ACB}" dateTime="2020-04-17T11:19:14" maxSheetId="15" userName="EXTERNAL Nguyen Trung Hieu (Ban Vien, RBVH/EPS45)" r:id="rId7" minRId="63" maxRId="69">
    <sheetIdMap count="14">
      <sheetId val="1"/>
      <sheetId val="2"/>
      <sheetId val="3"/>
      <sheetId val="4"/>
      <sheetId val="5"/>
      <sheetId val="6"/>
      <sheetId val="7"/>
      <sheetId val="8"/>
      <sheetId val="9"/>
      <sheetId val="10"/>
      <sheetId val="11"/>
      <sheetId val="12"/>
      <sheetId val="13"/>
      <sheetId val="14"/>
    </sheetIdMap>
  </header>
  <header guid="{0BCC7ECE-278E-4616-9AFE-A68262D2160D}" dateTime="2020-04-17T11:19:31" maxSheetId="15" userName="EXTERNAL Nguyen Trung Hieu (Ban Vien, RBVH/EPS45)" r:id="rId8" minRId="74">
    <sheetIdMap count="14">
      <sheetId val="1"/>
      <sheetId val="2"/>
      <sheetId val="3"/>
      <sheetId val="4"/>
      <sheetId val="5"/>
      <sheetId val="6"/>
      <sheetId val="7"/>
      <sheetId val="8"/>
      <sheetId val="9"/>
      <sheetId val="10"/>
      <sheetId val="11"/>
      <sheetId val="12"/>
      <sheetId val="13"/>
      <sheetId val="14"/>
    </sheetIdMap>
  </header>
  <header guid="{C916AB99-25C2-4C25-864A-CAABDED1DC4C}" dateTime="2020-04-17T13:21:31" maxSheetId="15" userName="EXTERNAL Nguyen Trung Hieu (Ban Vien, RBVH/EPS45)" r:id="rId9" minRId="79">
    <sheetIdMap count="14">
      <sheetId val="1"/>
      <sheetId val="2"/>
      <sheetId val="3"/>
      <sheetId val="4"/>
      <sheetId val="5"/>
      <sheetId val="6"/>
      <sheetId val="7"/>
      <sheetId val="8"/>
      <sheetId val="9"/>
      <sheetId val="10"/>
      <sheetId val="11"/>
      <sheetId val="12"/>
      <sheetId val="13"/>
      <sheetId val="14"/>
    </sheetIdMap>
  </header>
  <header guid="{87427099-CAE8-4518-AE46-EB7CA4050492}" dateTime="2020-04-17T13:30:51" maxSheetId="15" userName="EXTERNAL Nguyen Trung Hieu (Ban Vien, RBVH/EPS45)" r:id="rId10" minRId="80" maxRId="115">
    <sheetIdMap count="14">
      <sheetId val="1"/>
      <sheetId val="2"/>
      <sheetId val="3"/>
      <sheetId val="4"/>
      <sheetId val="5"/>
      <sheetId val="6"/>
      <sheetId val="7"/>
      <sheetId val="8"/>
      <sheetId val="9"/>
      <sheetId val="10"/>
      <sheetId val="11"/>
      <sheetId val="12"/>
      <sheetId val="13"/>
      <sheetId val="14"/>
    </sheetIdMap>
  </header>
  <header guid="{81790E4B-E719-4057-9C64-3381C9A15B5A}" dateTime="2020-04-17T13:31:35" maxSheetId="15" userName="EXTERNAL Nguyen Trung Hieu (Ban Vien, RBVH/EPS45)" r:id="rId11">
    <sheetIdMap count="14">
      <sheetId val="1"/>
      <sheetId val="2"/>
      <sheetId val="3"/>
      <sheetId val="4"/>
      <sheetId val="5"/>
      <sheetId val="6"/>
      <sheetId val="7"/>
      <sheetId val="8"/>
      <sheetId val="9"/>
      <sheetId val="10"/>
      <sheetId val="11"/>
      <sheetId val="12"/>
      <sheetId val="13"/>
      <sheetId val="14"/>
    </sheetIdMap>
  </header>
  <header guid="{98646865-9FE6-4ABE-8461-3787BDB0E4ED}" dateTime="2020-04-17T13:35:35" maxSheetId="15" userName="EXTERNAL Nguyen Trung Hieu (Ban Vien, RBVH/EPS45)" r:id="rId12" minRId="124" maxRId="125">
    <sheetIdMap count="14">
      <sheetId val="1"/>
      <sheetId val="2"/>
      <sheetId val="3"/>
      <sheetId val="4"/>
      <sheetId val="5"/>
      <sheetId val="6"/>
      <sheetId val="7"/>
      <sheetId val="8"/>
      <sheetId val="9"/>
      <sheetId val="10"/>
      <sheetId val="11"/>
      <sheetId val="12"/>
      <sheetId val="13"/>
      <sheetId val="14"/>
    </sheetIdMap>
  </header>
  <header guid="{061556D9-BACB-49C8-B561-4D49E0AEEE89}" dateTime="2020-04-17T13:35:41" maxSheetId="15" userName="EXTERNAL Nguyen Trung Hieu (Ban Vien, RBVH/EPS45)" r:id="rId13">
    <sheetIdMap count="14">
      <sheetId val="1"/>
      <sheetId val="2"/>
      <sheetId val="3"/>
      <sheetId val="4"/>
      <sheetId val="5"/>
      <sheetId val="6"/>
      <sheetId val="7"/>
      <sheetId val="8"/>
      <sheetId val="9"/>
      <sheetId val="10"/>
      <sheetId val="11"/>
      <sheetId val="12"/>
      <sheetId val="13"/>
      <sheetId val="14"/>
    </sheetIdMap>
  </header>
  <header guid="{5CC24BC9-0D81-4D0F-BD83-8CEA9A65013C}" dateTime="2020-04-17T13:39:03" maxSheetId="15" userName="EXTERNAL Nguyen Trung Hieu (Ban Vien, RBVH/EPS45)" r:id="rId14" minRId="134">
    <sheetIdMap count="14">
      <sheetId val="1"/>
      <sheetId val="2"/>
      <sheetId val="3"/>
      <sheetId val="4"/>
      <sheetId val="5"/>
      <sheetId val="6"/>
      <sheetId val="7"/>
      <sheetId val="8"/>
      <sheetId val="9"/>
      <sheetId val="10"/>
      <sheetId val="11"/>
      <sheetId val="12"/>
      <sheetId val="13"/>
      <sheetId val="14"/>
    </sheetIdMap>
  </header>
  <header guid="{CA537983-2195-447A-9526-D98235B28F01}" dateTime="2020-04-17T13:40:32" maxSheetId="15" userName="EXTERNAL Nguyen Trung Hieu (Ban Vien, RBVH/EPS45)" r:id="rId15" minRId="139" maxRId="156">
    <sheetIdMap count="14">
      <sheetId val="1"/>
      <sheetId val="2"/>
      <sheetId val="3"/>
      <sheetId val="4"/>
      <sheetId val="5"/>
      <sheetId val="6"/>
      <sheetId val="7"/>
      <sheetId val="8"/>
      <sheetId val="9"/>
      <sheetId val="10"/>
      <sheetId val="11"/>
      <sheetId val="12"/>
      <sheetId val="13"/>
      <sheetId val="14"/>
    </sheetIdMap>
  </header>
  <header guid="{270842C4-0580-4F02-8731-91A9D37E489B}" dateTime="2020-04-17T13:41:19" maxSheetId="15" userName="EXTERNAL Nguyen Trung Hieu (Ban Vien, RBVH/EPS45)" r:id="rId16" minRId="161" maxRId="176">
    <sheetIdMap count="14">
      <sheetId val="1"/>
      <sheetId val="2"/>
      <sheetId val="3"/>
      <sheetId val="4"/>
      <sheetId val="5"/>
      <sheetId val="6"/>
      <sheetId val="7"/>
      <sheetId val="8"/>
      <sheetId val="9"/>
      <sheetId val="10"/>
      <sheetId val="11"/>
      <sheetId val="12"/>
      <sheetId val="13"/>
      <sheetId val="14"/>
    </sheetIdMap>
  </header>
  <header guid="{A1F2A4BD-1614-4D61-8620-C78979D6258D}" dateTime="2020-04-17T13:41:36" maxSheetId="15" userName="EXTERNAL Nguyen Trung Hieu (Ban Vien, RBVH/EPS45)" r:id="rId17" minRId="181" maxRId="193">
    <sheetIdMap count="14">
      <sheetId val="1"/>
      <sheetId val="2"/>
      <sheetId val="3"/>
      <sheetId val="4"/>
      <sheetId val="5"/>
      <sheetId val="6"/>
      <sheetId val="7"/>
      <sheetId val="8"/>
      <sheetId val="9"/>
      <sheetId val="10"/>
      <sheetId val="11"/>
      <sheetId val="12"/>
      <sheetId val="13"/>
      <sheetId val="14"/>
    </sheetIdMap>
  </header>
  <header guid="{97281D4F-D3F0-4E38-9931-374A9E09EE2F}" dateTime="2020-04-17T13:44:55" maxSheetId="15" userName="EXTERNAL Nguyen Trung Hieu (Ban Vien, RBVH/EPS45)" r:id="rId18">
    <sheetIdMap count="14">
      <sheetId val="1"/>
      <sheetId val="2"/>
      <sheetId val="3"/>
      <sheetId val="4"/>
      <sheetId val="5"/>
      <sheetId val="6"/>
      <sheetId val="7"/>
      <sheetId val="8"/>
      <sheetId val="9"/>
      <sheetId val="10"/>
      <sheetId val="11"/>
      <sheetId val="12"/>
      <sheetId val="13"/>
      <sheetId val="14"/>
    </sheetIdMap>
  </header>
  <header guid="{E5D062CB-3452-4206-A999-2BCCB4EBCC27}" dateTime="2020-04-17T13:46:02" maxSheetId="15" userName="EXTERNAL Nguyen Trung Hieu (Ban Vien, RBVH/EPS45)" r:id="rId19" minRId="202">
    <sheetIdMap count="14">
      <sheetId val="1"/>
      <sheetId val="2"/>
      <sheetId val="3"/>
      <sheetId val="4"/>
      <sheetId val="5"/>
      <sheetId val="6"/>
      <sheetId val="7"/>
      <sheetId val="8"/>
      <sheetId val="9"/>
      <sheetId val="10"/>
      <sheetId val="11"/>
      <sheetId val="12"/>
      <sheetId val="13"/>
      <sheetId val="14"/>
    </sheetIdMap>
  </header>
  <header guid="{9AEAC8DF-77B5-410F-B28A-D7F8ACA79CA8}" dateTime="2020-04-17T13:46:26" maxSheetId="15" userName="EXTERNAL Nguyen Trung Hieu (Ban Vien, RBVH/EPS45)" r:id="rId20">
    <sheetIdMap count="14">
      <sheetId val="1"/>
      <sheetId val="2"/>
      <sheetId val="3"/>
      <sheetId val="4"/>
      <sheetId val="5"/>
      <sheetId val="6"/>
      <sheetId val="7"/>
      <sheetId val="8"/>
      <sheetId val="9"/>
      <sheetId val="10"/>
      <sheetId val="11"/>
      <sheetId val="12"/>
      <sheetId val="13"/>
      <sheetId val="14"/>
    </sheetIdMap>
  </header>
  <header guid="{CF01E159-A286-4840-9885-499CC9130E2B}" dateTime="2020-04-17T13:47:17" maxSheetId="15" userName="EXTERNAL Do Anh Huy (Ban Vien Company, RBVH/EPS45)" r:id="rId21" minRId="211" maxRId="220">
    <sheetIdMap count="14">
      <sheetId val="1"/>
      <sheetId val="2"/>
      <sheetId val="3"/>
      <sheetId val="4"/>
      <sheetId val="5"/>
      <sheetId val="6"/>
      <sheetId val="7"/>
      <sheetId val="8"/>
      <sheetId val="9"/>
      <sheetId val="10"/>
      <sheetId val="11"/>
      <sheetId val="12"/>
      <sheetId val="13"/>
      <sheetId val="14"/>
    </sheetIdMap>
  </header>
  <header guid="{EADFFF08-C8D3-4D25-BDF8-8BB23930BA83}" dateTime="2020-04-17T13:47:43" maxSheetId="15" userName="EXTERNAL Nguyen Trung Hieu (Ban Vien, RBVH/EPS45)" r:id="rId22">
    <sheetIdMap count="14">
      <sheetId val="1"/>
      <sheetId val="2"/>
      <sheetId val="3"/>
      <sheetId val="4"/>
      <sheetId val="5"/>
      <sheetId val="6"/>
      <sheetId val="7"/>
      <sheetId val="8"/>
      <sheetId val="9"/>
      <sheetId val="10"/>
      <sheetId val="11"/>
      <sheetId val="12"/>
      <sheetId val="13"/>
      <sheetId val="14"/>
    </sheetIdMap>
  </header>
  <header guid="{38424318-B0A9-41E2-B4A2-588550ACD838}" dateTime="2020-04-17T13:47:45" maxSheetId="15" userName="EXTERNAL Nguyen Trung Hieu (Ban Vien, RBVH/EPS45)" r:id="rId23">
    <sheetIdMap count="14">
      <sheetId val="1"/>
      <sheetId val="2"/>
      <sheetId val="3"/>
      <sheetId val="4"/>
      <sheetId val="5"/>
      <sheetId val="6"/>
      <sheetId val="7"/>
      <sheetId val="8"/>
      <sheetId val="9"/>
      <sheetId val="10"/>
      <sheetId val="11"/>
      <sheetId val="12"/>
      <sheetId val="13"/>
      <sheetId val="14"/>
    </sheetIdMap>
  </header>
  <header guid="{39516C30-5666-40D1-9B8B-8C433F949026}" dateTime="2020-04-17T13:57:43" maxSheetId="15" userName="EXTERNAL Nguyen Trung Hieu (Ban Vien, RBVH/EPS45)" r:id="rId24">
    <sheetIdMap count="14">
      <sheetId val="1"/>
      <sheetId val="2"/>
      <sheetId val="3"/>
      <sheetId val="4"/>
      <sheetId val="5"/>
      <sheetId val="6"/>
      <sheetId val="7"/>
      <sheetId val="8"/>
      <sheetId val="9"/>
      <sheetId val="10"/>
      <sheetId val="11"/>
      <sheetId val="12"/>
      <sheetId val="13"/>
      <sheetId val="14"/>
    </sheetIdMap>
  </header>
  <header guid="{2C6830C3-F417-4460-B5FC-4575DE3D2891}" dateTime="2020-04-17T14:00:39" maxSheetId="15" userName="EXTERNAL Nguyen Trung Hieu (Ban Vien, RBVH/EPS45)" r:id="rId25" minRId="237" maxRId="242">
    <sheetIdMap count="14">
      <sheetId val="1"/>
      <sheetId val="2"/>
      <sheetId val="3"/>
      <sheetId val="4"/>
      <sheetId val="5"/>
      <sheetId val="6"/>
      <sheetId val="7"/>
      <sheetId val="8"/>
      <sheetId val="9"/>
      <sheetId val="10"/>
      <sheetId val="11"/>
      <sheetId val="12"/>
      <sheetId val="13"/>
      <sheetId val="14"/>
    </sheetIdMap>
  </header>
  <header guid="{08E3A1B0-D5DC-4B99-B248-75A3470E1AFF}" dateTime="2020-04-17T14:27:46" maxSheetId="15" userName="EXTERNAL Nguyen Tai Hau (Ban Vien, RBVH/EPS45)" r:id="rId26" minRId="247" maxRId="253">
    <sheetIdMap count="14">
      <sheetId val="1"/>
      <sheetId val="2"/>
      <sheetId val="3"/>
      <sheetId val="4"/>
      <sheetId val="5"/>
      <sheetId val="6"/>
      <sheetId val="7"/>
      <sheetId val="8"/>
      <sheetId val="9"/>
      <sheetId val="10"/>
      <sheetId val="11"/>
      <sheetId val="12"/>
      <sheetId val="13"/>
      <sheetId val="14"/>
    </sheetIdMap>
  </header>
  <header guid="{00826BCE-0B1C-476A-955D-705DD38B890D}" dateTime="2020-04-17T14:37:36" maxSheetId="15" userName="EXTERNAL Nguyen Trung Hieu (Ban Vien, RBVH/EPS45)" r:id="rId27" minRId="258" maxRId="259">
    <sheetIdMap count="14">
      <sheetId val="1"/>
      <sheetId val="2"/>
      <sheetId val="3"/>
      <sheetId val="4"/>
      <sheetId val="5"/>
      <sheetId val="6"/>
      <sheetId val="7"/>
      <sheetId val="8"/>
      <sheetId val="9"/>
      <sheetId val="10"/>
      <sheetId val="11"/>
      <sheetId val="12"/>
      <sheetId val="13"/>
      <sheetId val="14"/>
    </sheetIdMap>
  </header>
  <header guid="{65B512BD-FBDC-4DB9-8F35-03CEDA2DDBE7}" dateTime="2020-04-17T14:38:11" maxSheetId="15" userName="EXTERNAL Nguyen Trung Hieu (Ban Vien, RBVH/EPS45)" r:id="rId28" minRId="264">
    <sheetIdMap count="14">
      <sheetId val="1"/>
      <sheetId val="2"/>
      <sheetId val="3"/>
      <sheetId val="4"/>
      <sheetId val="5"/>
      <sheetId val="6"/>
      <sheetId val="7"/>
      <sheetId val="8"/>
      <sheetId val="9"/>
      <sheetId val="10"/>
      <sheetId val="11"/>
      <sheetId val="12"/>
      <sheetId val="13"/>
      <sheetId val="14"/>
    </sheetIdMap>
  </header>
  <header guid="{49BEF455-86F9-4425-B437-A17F5AAF04FD}" dateTime="2020-04-17T14:40:08" maxSheetId="15" userName="EXTERNAL Nguyen Trung Hieu (Ban Vien, RBVH/EPS45)" r:id="rId29" minRId="269">
    <sheetIdMap count="14">
      <sheetId val="1"/>
      <sheetId val="2"/>
      <sheetId val="3"/>
      <sheetId val="4"/>
      <sheetId val="5"/>
      <sheetId val="6"/>
      <sheetId val="7"/>
      <sheetId val="8"/>
      <sheetId val="9"/>
      <sheetId val="10"/>
      <sheetId val="11"/>
      <sheetId val="12"/>
      <sheetId val="13"/>
      <sheetId val="14"/>
    </sheetIdMap>
  </header>
  <header guid="{7FFECF44-FB72-4A41-B72E-75BA8054AA93}" dateTime="2020-04-17T14:41:35" maxSheetId="15" userName="EXTERNAL Nguyen Tai Hau (Ban Vien, RBVH/EPS45)" r:id="rId30" minRId="270" maxRId="276">
    <sheetIdMap count="14">
      <sheetId val="1"/>
      <sheetId val="2"/>
      <sheetId val="3"/>
      <sheetId val="4"/>
      <sheetId val="5"/>
      <sheetId val="6"/>
      <sheetId val="7"/>
      <sheetId val="8"/>
      <sheetId val="9"/>
      <sheetId val="10"/>
      <sheetId val="11"/>
      <sheetId val="12"/>
      <sheetId val="13"/>
      <sheetId val="14"/>
    </sheetIdMap>
  </header>
  <header guid="{F5385E6E-4B1C-450F-807C-C00493AC0E20}" dateTime="2020-04-17T15:38:17" maxSheetId="15" userName="EXTERNAL Luu Cong Dac (Ban Vien, RBVH/EPS45)" r:id="rId31" minRId="281" maxRId="297">
    <sheetIdMap count="14">
      <sheetId val="1"/>
      <sheetId val="2"/>
      <sheetId val="3"/>
      <sheetId val="4"/>
      <sheetId val="5"/>
      <sheetId val="6"/>
      <sheetId val="7"/>
      <sheetId val="8"/>
      <sheetId val="9"/>
      <sheetId val="10"/>
      <sheetId val="11"/>
      <sheetId val="12"/>
      <sheetId val="13"/>
      <sheetId val="14"/>
    </sheetIdMap>
  </header>
  <header guid="{CE4EEF14-BEA6-4029-B067-90E2416E6840}" dateTime="2020-04-17T15:38:33" maxSheetId="15" userName="EXTERNAL Luu Cong Dac (Ban Vien, RBVH/EPS45)" r:id="rId32">
    <sheetIdMap count="14">
      <sheetId val="1"/>
      <sheetId val="2"/>
      <sheetId val="3"/>
      <sheetId val="4"/>
      <sheetId val="5"/>
      <sheetId val="6"/>
      <sheetId val="7"/>
      <sheetId val="8"/>
      <sheetId val="9"/>
      <sheetId val="10"/>
      <sheetId val="11"/>
      <sheetId val="12"/>
      <sheetId val="13"/>
      <sheetId val="14"/>
    </sheetIdMap>
  </header>
  <header guid="{7CD6AFAC-5EC4-423A-8D35-B3B11D462650}" dateTime="2020-04-17T18:40:02" maxSheetId="15" userName="EXTERNAL Nguyen Trung Hieu (Ban Vien, RBVH/EPS45)" r:id="rId33" minRId="308" maxRId="367">
    <sheetIdMap count="14">
      <sheetId val="1"/>
      <sheetId val="2"/>
      <sheetId val="3"/>
      <sheetId val="4"/>
      <sheetId val="5"/>
      <sheetId val="6"/>
      <sheetId val="7"/>
      <sheetId val="8"/>
      <sheetId val="9"/>
      <sheetId val="10"/>
      <sheetId val="11"/>
      <sheetId val="12"/>
      <sheetId val="13"/>
      <sheetId val="14"/>
    </sheetIdMap>
  </header>
  <header guid="{677922DB-F8BC-4923-874F-8787A6B5AF2D}" dateTime="2020-04-17T18:41:04" maxSheetId="15" userName="EXTERNAL Nguyen Trung Hieu (Ban Vien, RBVH/EPS45)" r:id="rId34" minRId="372" maxRId="444">
    <sheetIdMap count="14">
      <sheetId val="1"/>
      <sheetId val="2"/>
      <sheetId val="3"/>
      <sheetId val="4"/>
      <sheetId val="5"/>
      <sheetId val="6"/>
      <sheetId val="7"/>
      <sheetId val="8"/>
      <sheetId val="9"/>
      <sheetId val="10"/>
      <sheetId val="11"/>
      <sheetId val="12"/>
      <sheetId val="13"/>
      <sheetId val="14"/>
    </sheetIdMap>
  </header>
  <header guid="{0F289AAC-9D39-4886-AA2B-85E191B84335}" dateTime="2020-04-17T18:41:56" maxSheetId="15" userName="EXTERNAL Nguyen Trung Hieu (Ban Vien, RBVH/EPS45)" r:id="rId35" minRId="445" maxRId="450">
    <sheetIdMap count="14">
      <sheetId val="1"/>
      <sheetId val="2"/>
      <sheetId val="3"/>
      <sheetId val="4"/>
      <sheetId val="5"/>
      <sheetId val="6"/>
      <sheetId val="7"/>
      <sheetId val="8"/>
      <sheetId val="9"/>
      <sheetId val="10"/>
      <sheetId val="11"/>
      <sheetId val="12"/>
      <sheetId val="13"/>
      <sheetId val="14"/>
    </sheetIdMap>
  </header>
  <header guid="{8CA143A6-1BDE-4B3A-B810-2CC9CDE0B2A3}" dateTime="2020-04-17T18:48:27" maxSheetId="15" userName="EXTERNAL Nguyen Tai Hau (Ban Vien, RBVH/EPS45)" r:id="rId36" minRId="451" maxRId="463">
    <sheetIdMap count="14">
      <sheetId val="1"/>
      <sheetId val="2"/>
      <sheetId val="3"/>
      <sheetId val="4"/>
      <sheetId val="5"/>
      <sheetId val="6"/>
      <sheetId val="7"/>
      <sheetId val="8"/>
      <sheetId val="9"/>
      <sheetId val="10"/>
      <sheetId val="11"/>
      <sheetId val="12"/>
      <sheetId val="13"/>
      <sheetId val="14"/>
    </sheetIdMap>
  </header>
  <header guid="{40A0FE6F-3613-4FA7-A15C-BE76856D2D6C}" dateTime="2020-04-17T18:48:39" maxSheetId="15" userName="EXTERNAL Nguyen Tai Hau (Ban Vien, RBVH/EPS45)" r:id="rId37" minRId="468" maxRId="469">
    <sheetIdMap count="14">
      <sheetId val="1"/>
      <sheetId val="2"/>
      <sheetId val="3"/>
      <sheetId val="4"/>
      <sheetId val="5"/>
      <sheetId val="6"/>
      <sheetId val="7"/>
      <sheetId val="8"/>
      <sheetId val="9"/>
      <sheetId val="10"/>
      <sheetId val="11"/>
      <sheetId val="12"/>
      <sheetId val="13"/>
      <sheetId val="14"/>
    </sheetIdMap>
  </header>
  <header guid="{27EF6A43-D4FD-4BD4-B3A3-5A37B8ABE7ED}" dateTime="2020-04-17T18:48:48" maxSheetId="15" userName="EXTERNAL Nguyen Tai Hau (Ban Vien, RBVH/EPS45)" r:id="rId38" minRId="474" maxRId="477">
    <sheetIdMap count="14">
      <sheetId val="1"/>
      <sheetId val="2"/>
      <sheetId val="3"/>
      <sheetId val="4"/>
      <sheetId val="5"/>
      <sheetId val="6"/>
      <sheetId val="7"/>
      <sheetId val="8"/>
      <sheetId val="9"/>
      <sheetId val="10"/>
      <sheetId val="11"/>
      <sheetId val="12"/>
      <sheetId val="13"/>
      <sheetId val="14"/>
    </sheetIdMap>
  </header>
  <header guid="{4025C91E-E1DB-4029-9C12-C9BB30D7643C}" dateTime="2020-04-17T18:48:59" maxSheetId="15" userName="EXTERNAL Nguyen Tai Hau (Ban Vien, RBVH/EPS45)" r:id="rId39" minRId="482" maxRId="485">
    <sheetIdMap count="14">
      <sheetId val="1"/>
      <sheetId val="2"/>
      <sheetId val="3"/>
      <sheetId val="4"/>
      <sheetId val="5"/>
      <sheetId val="6"/>
      <sheetId val="7"/>
      <sheetId val="8"/>
      <sheetId val="9"/>
      <sheetId val="10"/>
      <sheetId val="11"/>
      <sheetId val="12"/>
      <sheetId val="13"/>
      <sheetId val="14"/>
    </sheetIdMap>
  </header>
  <header guid="{D1436F92-C6C8-4A5F-B358-978828BD56F6}" dateTime="2020-04-17T19:00:52" maxSheetId="15" userName="EXTERNAL Nguyen Tai Hau (Ban Vien, RBVH/EPS45)" r:id="rId40" minRId="486">
    <sheetIdMap count="14">
      <sheetId val="1"/>
      <sheetId val="2"/>
      <sheetId val="3"/>
      <sheetId val="4"/>
      <sheetId val="5"/>
      <sheetId val="6"/>
      <sheetId val="7"/>
      <sheetId val="8"/>
      <sheetId val="9"/>
      <sheetId val="10"/>
      <sheetId val="11"/>
      <sheetId val="12"/>
      <sheetId val="13"/>
      <sheetId val="14"/>
    </sheetIdMap>
  </header>
  <header guid="{6BC82E63-B693-4D33-983F-7542962D8D53}" dateTime="2020-04-17T19:01:44" maxSheetId="15" userName="EXTERNAL Nguyen Tai Hau (Ban Vien, RBVH/EPS45)" r:id="rId41" minRId="491">
    <sheetIdMap count="14">
      <sheetId val="1"/>
      <sheetId val="2"/>
      <sheetId val="3"/>
      <sheetId val="4"/>
      <sheetId val="5"/>
      <sheetId val="6"/>
      <sheetId val="7"/>
      <sheetId val="8"/>
      <sheetId val="9"/>
      <sheetId val="10"/>
      <sheetId val="11"/>
      <sheetId val="12"/>
      <sheetId val="13"/>
      <sheetId val="14"/>
    </sheetIdMap>
  </header>
  <header guid="{CF02DB76-403D-459C-9E9C-0EAF8AF8B448}" dateTime="2020-04-17T19:10:15" maxSheetId="15" userName="EXTERNAL Nguyen Trung Hieu (Ban Vien, RBVH/EPS45)" r:id="rId42" minRId="496">
    <sheetIdMap count="14">
      <sheetId val="1"/>
      <sheetId val="2"/>
      <sheetId val="3"/>
      <sheetId val="4"/>
      <sheetId val="5"/>
      <sheetId val="6"/>
      <sheetId val="7"/>
      <sheetId val="8"/>
      <sheetId val="9"/>
      <sheetId val="10"/>
      <sheetId val="11"/>
      <sheetId val="12"/>
      <sheetId val="13"/>
      <sheetId val="14"/>
    </sheetIdMap>
  </header>
  <header guid="{2FD2D587-8F48-4AAB-9313-7B1F60D1C2BF}" dateTime="2020-04-17T19:16:58" maxSheetId="15" userName="EXTERNAL Luu Cong Dac (Ban Vien, RBVH/EPS45)" r:id="rId43" minRId="497" maxRId="503">
    <sheetIdMap count="14">
      <sheetId val="1"/>
      <sheetId val="2"/>
      <sheetId val="3"/>
      <sheetId val="4"/>
      <sheetId val="5"/>
      <sheetId val="6"/>
      <sheetId val="7"/>
      <sheetId val="8"/>
      <sheetId val="9"/>
      <sheetId val="10"/>
      <sheetId val="11"/>
      <sheetId val="12"/>
      <sheetId val="13"/>
      <sheetId val="14"/>
    </sheetIdMap>
  </header>
  <header guid="{BF772FB8-E6D8-4B58-9BDE-571A418A766E}" dateTime="2020-04-17T19:25:27" maxSheetId="15" userName="EXTERNAL Nguyen Trung Hieu (Ban Vien, RBVH/EPS45)" r:id="rId44" minRId="509" maxRId="513">
    <sheetIdMap count="14">
      <sheetId val="1"/>
      <sheetId val="2"/>
      <sheetId val="3"/>
      <sheetId val="4"/>
      <sheetId val="5"/>
      <sheetId val="6"/>
      <sheetId val="7"/>
      <sheetId val="8"/>
      <sheetId val="9"/>
      <sheetId val="10"/>
      <sheetId val="11"/>
      <sheetId val="12"/>
      <sheetId val="13"/>
      <sheetId val="14"/>
    </sheetIdMap>
  </header>
  <header guid="{177D0AED-F9CC-4F10-B98B-C207C7992D2D}" dateTime="2020-04-17T19:46:46" maxSheetId="15" userName="EXTERNAL Nguyen Trung Hieu (Ban Vien, RBVH/EPS45)" r:id="rId45">
    <sheetIdMap count="14">
      <sheetId val="1"/>
      <sheetId val="2"/>
      <sheetId val="3"/>
      <sheetId val="4"/>
      <sheetId val="5"/>
      <sheetId val="6"/>
      <sheetId val="7"/>
      <sheetId val="8"/>
      <sheetId val="9"/>
      <sheetId val="10"/>
      <sheetId val="11"/>
      <sheetId val="12"/>
      <sheetId val="13"/>
      <sheetId val="14"/>
    </sheetIdMap>
  </header>
  <header guid="{97A5FD14-2CD1-4BF7-8078-C476566FA0CC}" dateTime="2020-04-17T19:51:51" maxSheetId="15" userName="EXTERNAL Nguyen Trung Hieu (Ban Vien, RBVH/EPS45)" r:id="rId46" minRId="522">
    <sheetIdMap count="14">
      <sheetId val="1"/>
      <sheetId val="2"/>
      <sheetId val="3"/>
      <sheetId val="4"/>
      <sheetId val="5"/>
      <sheetId val="6"/>
      <sheetId val="7"/>
      <sheetId val="8"/>
      <sheetId val="9"/>
      <sheetId val="10"/>
      <sheetId val="11"/>
      <sheetId val="12"/>
      <sheetId val="13"/>
      <sheetId val="14"/>
    </sheetIdMap>
  </header>
  <header guid="{17F509E8-7B58-48BA-8B06-55A91E71DA3C}" dateTime="2020-04-17T19:52:52" maxSheetId="15" userName="EXTERNAL Nguyen Trung Hieu (Ban Vien, RBVH/EPS45)" r:id="rId47" minRId="527" maxRId="529">
    <sheetIdMap count="14">
      <sheetId val="1"/>
      <sheetId val="2"/>
      <sheetId val="3"/>
      <sheetId val="4"/>
      <sheetId val="5"/>
      <sheetId val="6"/>
      <sheetId val="7"/>
      <sheetId val="8"/>
      <sheetId val="9"/>
      <sheetId val="10"/>
      <sheetId val="11"/>
      <sheetId val="12"/>
      <sheetId val="13"/>
      <sheetId val="14"/>
    </sheetIdMap>
  </header>
  <header guid="{5166BADE-36A7-438D-809B-47682229185C}" dateTime="2020-04-17T19:52:57" maxSheetId="15" userName="EXTERNAL Nguyen Trung Hieu (Ban Vien, RBVH/EPS45)" r:id="rId48" minRId="534" maxRId="535">
    <sheetIdMap count="14">
      <sheetId val="1"/>
      <sheetId val="2"/>
      <sheetId val="3"/>
      <sheetId val="4"/>
      <sheetId val="5"/>
      <sheetId val="6"/>
      <sheetId val="7"/>
      <sheetId val="8"/>
      <sheetId val="9"/>
      <sheetId val="10"/>
      <sheetId val="11"/>
      <sheetId val="12"/>
      <sheetId val="13"/>
      <sheetId val="14"/>
    </sheetIdMap>
  </header>
  <header guid="{9DE46C67-124B-4667-8E73-49B91F6BD10C}" dateTime="2020-04-17T19:53:10" maxSheetId="15" userName="EXTERNAL Nguyen Trung Hieu (Ban Vien, RBVH/EPS45)" r:id="rId49">
    <sheetIdMap count="14">
      <sheetId val="1"/>
      <sheetId val="2"/>
      <sheetId val="3"/>
      <sheetId val="4"/>
      <sheetId val="5"/>
      <sheetId val="6"/>
      <sheetId val="7"/>
      <sheetId val="8"/>
      <sheetId val="9"/>
      <sheetId val="10"/>
      <sheetId val="11"/>
      <sheetId val="12"/>
      <sheetId val="13"/>
      <sheetId val="14"/>
    </sheetIdMap>
  </header>
  <header guid="{A2D6B3D3-43E9-4A6C-BEC6-F9287A43EA13}" dateTime="2020-04-17T19:54:07" maxSheetId="15" userName="EXTERNAL Nguyen Duy Bang (Ban Vien, RBVH/EPS45)" r:id="rId50" minRId="544" maxRId="580">
    <sheetIdMap count="14">
      <sheetId val="1"/>
      <sheetId val="2"/>
      <sheetId val="3"/>
      <sheetId val="4"/>
      <sheetId val="5"/>
      <sheetId val="6"/>
      <sheetId val="7"/>
      <sheetId val="8"/>
      <sheetId val="9"/>
      <sheetId val="10"/>
      <sheetId val="11"/>
      <sheetId val="12"/>
      <sheetId val="13"/>
      <sheetId val="14"/>
    </sheetIdMap>
  </header>
  <header guid="{2519B0AC-1585-4BD5-9DCA-C6AB58A742F1}" dateTime="2020-04-17T19:55:11" maxSheetId="15" userName="EXTERNAL Nguyen Duy Bang (Ban Vien, RBVH/EPS45)" r:id="rId51">
    <sheetIdMap count="14">
      <sheetId val="1"/>
      <sheetId val="2"/>
      <sheetId val="3"/>
      <sheetId val="4"/>
      <sheetId val="5"/>
      <sheetId val="6"/>
      <sheetId val="7"/>
      <sheetId val="8"/>
      <sheetId val="9"/>
      <sheetId val="10"/>
      <sheetId val="11"/>
      <sheetId val="12"/>
      <sheetId val="13"/>
      <sheetId val="14"/>
    </sheetIdMap>
  </header>
  <header guid="{AAD202FB-F477-4571-A341-FBDD4ADB6BC4}" dateTime="2020-04-17T19:57:15" maxSheetId="15" userName="EXTERNAL Nguyen Trung Hieu (Ban Vien, RBVH/EPS45)" r:id="rId52">
    <sheetIdMap count="14">
      <sheetId val="1"/>
      <sheetId val="2"/>
      <sheetId val="3"/>
      <sheetId val="4"/>
      <sheetId val="5"/>
      <sheetId val="6"/>
      <sheetId val="7"/>
      <sheetId val="8"/>
      <sheetId val="9"/>
      <sheetId val="10"/>
      <sheetId val="11"/>
      <sheetId val="12"/>
      <sheetId val="13"/>
      <sheetId val="14"/>
    </sheetIdMap>
  </header>
  <header guid="{374AF3B7-E06D-4283-AAEE-0E7DCD968955}" dateTime="2020-04-17T19:59:03" maxSheetId="15" userName="EXTERNAL Nguyen Trung Hieu (Ban Vien, RBVH/EPS45)" r:id="rId53">
    <sheetIdMap count="14">
      <sheetId val="1"/>
      <sheetId val="2"/>
      <sheetId val="3"/>
      <sheetId val="4"/>
      <sheetId val="5"/>
      <sheetId val="6"/>
      <sheetId val="7"/>
      <sheetId val="8"/>
      <sheetId val="9"/>
      <sheetId val="10"/>
      <sheetId val="11"/>
      <sheetId val="12"/>
      <sheetId val="13"/>
      <sheetId val="14"/>
    </sheetIdMap>
  </header>
  <header guid="{39E040E4-DBED-4BC3-B3AC-75BC50934659}" dateTime="2020-04-17T20:21:30" maxSheetId="15" userName="EXTERNAL Nguyen Trung Hieu (Ban Vien, RBVH/EPS45)" r:id="rId54" minRId="599" maxRId="635">
    <sheetIdMap count="14">
      <sheetId val="1"/>
      <sheetId val="2"/>
      <sheetId val="3"/>
      <sheetId val="4"/>
      <sheetId val="5"/>
      <sheetId val="6"/>
      <sheetId val="7"/>
      <sheetId val="8"/>
      <sheetId val="9"/>
      <sheetId val="10"/>
      <sheetId val="11"/>
      <sheetId val="12"/>
      <sheetId val="13"/>
      <sheetId val="14"/>
    </sheetIdMap>
  </header>
  <header guid="{3A199C85-9904-438C-BEBB-BB932DB73FB0}" dateTime="2020-04-17T20:21:54" maxSheetId="15" userName="EXTERNAL Nguyen Trung Hieu (Ban Vien, RBVH/EPS45)" r:id="rId55" minRId="640" maxRId="653">
    <sheetIdMap count="14">
      <sheetId val="1"/>
      <sheetId val="2"/>
      <sheetId val="3"/>
      <sheetId val="4"/>
      <sheetId val="5"/>
      <sheetId val="6"/>
      <sheetId val="7"/>
      <sheetId val="8"/>
      <sheetId val="9"/>
      <sheetId val="10"/>
      <sheetId val="11"/>
      <sheetId val="12"/>
      <sheetId val="13"/>
      <sheetId val="14"/>
    </sheetIdMap>
  </header>
  <header guid="{49AABCF9-7D12-4BB8-BE2F-62AE98C6BED8}" dateTime="2020-04-17T20:23:05" maxSheetId="15" userName="EXTERNAL Nguyen Trung Hieu (Ban Vien, RBVH/EPS45)" r:id="rId56" minRId="658" maxRId="673">
    <sheetIdMap count="14">
      <sheetId val="1"/>
      <sheetId val="2"/>
      <sheetId val="3"/>
      <sheetId val="4"/>
      <sheetId val="5"/>
      <sheetId val="6"/>
      <sheetId val="7"/>
      <sheetId val="8"/>
      <sheetId val="9"/>
      <sheetId val="10"/>
      <sheetId val="11"/>
      <sheetId val="12"/>
      <sheetId val="13"/>
      <sheetId val="14"/>
    </sheetIdMap>
  </header>
  <header guid="{B175D21B-F539-4F46-BF9B-022CA53FD90A}" dateTime="2020-04-17T20:38:58" maxSheetId="15" userName="EXTERNAL Nguyen Trung Hieu (Ban Vien, RBVH/EPS45)" r:id="rId57">
    <sheetIdMap count="14">
      <sheetId val="1"/>
      <sheetId val="2"/>
      <sheetId val="3"/>
      <sheetId val="4"/>
      <sheetId val="5"/>
      <sheetId val="6"/>
      <sheetId val="7"/>
      <sheetId val="8"/>
      <sheetId val="9"/>
      <sheetId val="10"/>
      <sheetId val="11"/>
      <sheetId val="12"/>
      <sheetId val="13"/>
      <sheetId val="14"/>
    </sheetIdMap>
  </header>
  <header guid="{F52F5FCF-591C-4A0B-A68A-ED41592AF25E}" dateTime="2020-04-17T20:43:49" maxSheetId="15" userName="EXTERNAL Nguyen Trung Hieu (Ban Vien, RBVH/EPS45)" r:id="rId58" minRId="682" maxRId="701">
    <sheetIdMap count="14">
      <sheetId val="1"/>
      <sheetId val="2"/>
      <sheetId val="3"/>
      <sheetId val="4"/>
      <sheetId val="5"/>
      <sheetId val="6"/>
      <sheetId val="7"/>
      <sheetId val="8"/>
      <sheetId val="9"/>
      <sheetId val="10"/>
      <sheetId val="11"/>
      <sheetId val="12"/>
      <sheetId val="13"/>
      <sheetId val="14"/>
    </sheetIdMap>
  </header>
  <header guid="{020135B6-7404-4F22-B6C3-407DD7F07E41}" dateTime="2020-04-17T20:45:13" maxSheetId="15" userName="EXTERNAL Nguyen Trung Hieu (Ban Vien, RBVH/EPS45)" r:id="rId59">
    <sheetIdMap count="14">
      <sheetId val="1"/>
      <sheetId val="2"/>
      <sheetId val="3"/>
      <sheetId val="4"/>
      <sheetId val="5"/>
      <sheetId val="6"/>
      <sheetId val="7"/>
      <sheetId val="8"/>
      <sheetId val="9"/>
      <sheetId val="10"/>
      <sheetId val="11"/>
      <sheetId val="12"/>
      <sheetId val="13"/>
      <sheetId val="14"/>
    </sheetIdMap>
  </header>
  <header guid="{18B0D18A-DF1E-47F9-9117-888B7F9EB2B4}" dateTime="2020-04-17T20:49:19" maxSheetId="15" userName="GUP7HC" r:id="rId60" minRId="710" maxRId="757">
    <sheetIdMap count="14">
      <sheetId val="1"/>
      <sheetId val="2"/>
      <sheetId val="3"/>
      <sheetId val="4"/>
      <sheetId val="5"/>
      <sheetId val="6"/>
      <sheetId val="7"/>
      <sheetId val="8"/>
      <sheetId val="9"/>
      <sheetId val="10"/>
      <sheetId val="11"/>
      <sheetId val="12"/>
      <sheetId val="13"/>
      <sheetId val="14"/>
    </sheetIdMap>
  </header>
  <header guid="{0FDF32B7-5C1C-492A-97AC-2DDE3115A70D}" dateTime="2020-04-17T20:55:10" maxSheetId="15" userName="GUP7HC" r:id="rId61" minRId="762" maxRId="765">
    <sheetIdMap count="14">
      <sheetId val="1"/>
      <sheetId val="2"/>
      <sheetId val="3"/>
      <sheetId val="4"/>
      <sheetId val="5"/>
      <sheetId val="6"/>
      <sheetId val="7"/>
      <sheetId val="8"/>
      <sheetId val="9"/>
      <sheetId val="10"/>
      <sheetId val="11"/>
      <sheetId val="12"/>
      <sheetId val="13"/>
      <sheetId val="14"/>
    </sheetIdMap>
  </header>
  <header guid="{F1EF23A3-5903-4BC0-9FD1-8130C4530C31}" dateTime="2020-04-17T20:57:15" maxSheetId="15" userName="GUP7HC" r:id="rId62">
    <sheetIdMap count="14">
      <sheetId val="1"/>
      <sheetId val="2"/>
      <sheetId val="3"/>
      <sheetId val="4"/>
      <sheetId val="5"/>
      <sheetId val="6"/>
      <sheetId val="7"/>
      <sheetId val="8"/>
      <sheetId val="9"/>
      <sheetId val="10"/>
      <sheetId val="11"/>
      <sheetId val="12"/>
      <sheetId val="13"/>
      <sheetId val="14"/>
    </sheetIdMap>
  </header>
  <header guid="{36BA794A-8AD6-43EA-BAAF-BD2B89D3DD72}" dateTime="2020-04-17T20:59:58" maxSheetId="15" userName="EXTERNAL Nguyen Trung Hieu (Ban Vien, RBVH/EPS45)" r:id="rId63" minRId="774" maxRId="847">
    <sheetIdMap count="14">
      <sheetId val="1"/>
      <sheetId val="2"/>
      <sheetId val="3"/>
      <sheetId val="4"/>
      <sheetId val="5"/>
      <sheetId val="6"/>
      <sheetId val="7"/>
      <sheetId val="8"/>
      <sheetId val="9"/>
      <sheetId val="10"/>
      <sheetId val="11"/>
      <sheetId val="12"/>
      <sheetId val="13"/>
      <sheetId val="14"/>
    </sheetIdMap>
  </header>
  <header guid="{961229C9-687B-4833-BB54-90EA7B59AFE9}" dateTime="2020-04-17T21:00:17" maxSheetId="15" userName="EXTERNAL Nguyen Trung Hieu (Ban Vien, RBVH/EPS45)" r:id="rId64" minRId="852" maxRId="854">
    <sheetIdMap count="14">
      <sheetId val="1"/>
      <sheetId val="2"/>
      <sheetId val="3"/>
      <sheetId val="4"/>
      <sheetId val="5"/>
      <sheetId val="6"/>
      <sheetId val="7"/>
      <sheetId val="8"/>
      <sheetId val="9"/>
      <sheetId val="10"/>
      <sheetId val="11"/>
      <sheetId val="12"/>
      <sheetId val="13"/>
      <sheetId val="14"/>
    </sheetIdMap>
  </header>
  <header guid="{A2835D5F-1BAB-435B-A846-00E07B47D064}" dateTime="2020-04-17T21:00:20" maxSheetId="15" userName="EXTERNAL Nguyen Trung Hieu (Ban Vien, RBVH/EPS45)" r:id="rId65">
    <sheetIdMap count="14">
      <sheetId val="1"/>
      <sheetId val="2"/>
      <sheetId val="3"/>
      <sheetId val="4"/>
      <sheetId val="5"/>
      <sheetId val="6"/>
      <sheetId val="7"/>
      <sheetId val="8"/>
      <sheetId val="9"/>
      <sheetId val="10"/>
      <sheetId val="11"/>
      <sheetId val="12"/>
      <sheetId val="13"/>
      <sheetId val="14"/>
    </sheetIdMap>
  </header>
  <header guid="{0A13D626-D375-49A2-820C-122B09009117}" dateTime="2020-04-17T21:01:36" maxSheetId="15" userName="EXTERNAL Nguyen Trung Hieu (Ban Vien, RBVH/EPS45)" r:id="rId66" minRId="863" maxRId="926">
    <sheetIdMap count="14">
      <sheetId val="1"/>
      <sheetId val="2"/>
      <sheetId val="3"/>
      <sheetId val="4"/>
      <sheetId val="5"/>
      <sheetId val="6"/>
      <sheetId val="7"/>
      <sheetId val="8"/>
      <sheetId val="9"/>
      <sheetId val="10"/>
      <sheetId val="11"/>
      <sheetId val="12"/>
      <sheetId val="13"/>
      <sheetId val="14"/>
    </sheetIdMap>
  </header>
  <header guid="{E7EBD157-1385-4B39-BDB9-3EF545D93ED8}" dateTime="2020-04-17T21:01:47" maxSheetId="15" userName="EXTERNAL Nguyen Trung Hieu (Ban Vien, RBVH/EPS45)" r:id="rId67">
    <sheetIdMap count="14">
      <sheetId val="1"/>
      <sheetId val="2"/>
      <sheetId val="3"/>
      <sheetId val="4"/>
      <sheetId val="5"/>
      <sheetId val="6"/>
      <sheetId val="7"/>
      <sheetId val="8"/>
      <sheetId val="9"/>
      <sheetId val="10"/>
      <sheetId val="11"/>
      <sheetId val="12"/>
      <sheetId val="13"/>
      <sheetId val="14"/>
    </sheetIdMap>
  </header>
  <header guid="{3C5AE980-64EC-42B9-A280-B0FD8DEB2C82}" dateTime="2020-04-17T21:16:15" maxSheetId="15" userName="EXTERNAL Luu Cong Dac (Ban Vien, RBVH/EPS45)" r:id="rId68" minRId="935" maxRId="965">
    <sheetIdMap count="14">
      <sheetId val="1"/>
      <sheetId val="2"/>
      <sheetId val="3"/>
      <sheetId val="4"/>
      <sheetId val="5"/>
      <sheetId val="6"/>
      <sheetId val="7"/>
      <sheetId val="8"/>
      <sheetId val="9"/>
      <sheetId val="10"/>
      <sheetId val="11"/>
      <sheetId val="12"/>
      <sheetId val="13"/>
      <sheetId val="14"/>
    </sheetIdMap>
  </header>
  <header guid="{AA5ECF2C-3787-4B6E-8ED8-58BC85BA1B81}" dateTime="2020-04-17T21:26:04" maxSheetId="15" userName="EXTERNAL Do Anh Huy (Ban Vien Company, RBVH/EPS45)" r:id="rId69" minRId="971" maxRId="979">
    <sheetIdMap count="14">
      <sheetId val="1"/>
      <sheetId val="2"/>
      <sheetId val="3"/>
      <sheetId val="4"/>
      <sheetId val="5"/>
      <sheetId val="6"/>
      <sheetId val="7"/>
      <sheetId val="8"/>
      <sheetId val="9"/>
      <sheetId val="10"/>
      <sheetId val="11"/>
      <sheetId val="12"/>
      <sheetId val="13"/>
      <sheetId val="14"/>
    </sheetIdMap>
  </header>
  <header guid="{2C28F717-8A81-4B0E-ABC9-2F91951A3413}" dateTime="2020-04-17T21:36:15" maxSheetId="15" userName="EXTERNAL Luu Cong Dac (Ban Vien, RBVH/EPS45)" r:id="rId70" minRId="984" maxRId="1016">
    <sheetIdMap count="14">
      <sheetId val="1"/>
      <sheetId val="2"/>
      <sheetId val="3"/>
      <sheetId val="4"/>
      <sheetId val="5"/>
      <sheetId val="6"/>
      <sheetId val="7"/>
      <sheetId val="8"/>
      <sheetId val="9"/>
      <sheetId val="10"/>
      <sheetId val="11"/>
      <sheetId val="12"/>
      <sheetId val="13"/>
      <sheetId val="14"/>
    </sheetIdMap>
  </header>
  <header guid="{A5A29E77-0C04-4F3E-83AF-4BD8C03D171F}" dateTime="2020-04-17T21:43:22" maxSheetId="15" userName="EXTERNAL Nguyen Trung Hieu (Ban Vien, RBVH/EPS45)" r:id="rId71">
    <sheetIdMap count="14">
      <sheetId val="1"/>
      <sheetId val="2"/>
      <sheetId val="3"/>
      <sheetId val="4"/>
      <sheetId val="5"/>
      <sheetId val="6"/>
      <sheetId val="7"/>
      <sheetId val="8"/>
      <sheetId val="9"/>
      <sheetId val="10"/>
      <sheetId val="11"/>
      <sheetId val="12"/>
      <sheetId val="13"/>
      <sheetId val="14"/>
    </sheetIdMap>
  </header>
  <header guid="{E5B3B533-648B-4207-BA24-DBBD8C456230}" dateTime="2020-04-17T21:59:10" maxSheetId="15" userName="EXTERNAL Nguyen Trung Hieu (Ban Vien, RBVH/EPS45)" r:id="rId72" minRId="1026" maxRId="1029">
    <sheetIdMap count="14">
      <sheetId val="1"/>
      <sheetId val="2"/>
      <sheetId val="3"/>
      <sheetId val="4"/>
      <sheetId val="5"/>
      <sheetId val="6"/>
      <sheetId val="7"/>
      <sheetId val="8"/>
      <sheetId val="9"/>
      <sheetId val="10"/>
      <sheetId val="11"/>
      <sheetId val="12"/>
      <sheetId val="13"/>
      <sheetId val="14"/>
    </sheetIdMap>
  </header>
  <header guid="{003CA625-C25B-494F-A5F5-2F05ADCD4ADC}" dateTime="2020-04-17T22:06:02" maxSheetId="15" userName="EXTERNAL Nguyen Trung Hieu (Ban Vien, RBVH/EPS45)" r:id="rId73">
    <sheetIdMap count="14">
      <sheetId val="1"/>
      <sheetId val="2"/>
      <sheetId val="3"/>
      <sheetId val="4"/>
      <sheetId val="5"/>
      <sheetId val="6"/>
      <sheetId val="7"/>
      <sheetId val="8"/>
      <sheetId val="9"/>
      <sheetId val="10"/>
      <sheetId val="11"/>
      <sheetId val="12"/>
      <sheetId val="13"/>
      <sheetId val="14"/>
    </sheetIdMap>
  </header>
  <header guid="{03F7FB66-51A1-4FC1-B9A9-7EF44B95D053}" dateTime="2020-04-17T22:06:25" maxSheetId="15" userName="EXTERNAL Nguyen Trung Hieu (Ban Vien, RBVH/EPS45)" r:id="rId74" minRId="1038" maxRId="1224">
    <sheetIdMap count="14">
      <sheetId val="1"/>
      <sheetId val="2"/>
      <sheetId val="3"/>
      <sheetId val="4"/>
      <sheetId val="5"/>
      <sheetId val="6"/>
      <sheetId val="7"/>
      <sheetId val="8"/>
      <sheetId val="9"/>
      <sheetId val="10"/>
      <sheetId val="11"/>
      <sheetId val="12"/>
      <sheetId val="13"/>
      <sheetId val="14"/>
    </sheetIdMap>
  </header>
</headers>
</file>

<file path=xl/revisions/revisionLog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file>

<file path=xl/revisions/revisionLog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 sId="1">
    <nc r="AB48" t="inlineStr">
      <is>
        <t>YES</t>
      </is>
    </nc>
  </rcc>
  <rcc rId="2" sId="1">
    <nc r="AB49" t="inlineStr">
      <is>
        <t>YES</t>
      </is>
    </nc>
  </rcc>
  <rcc rId="3" sId="1">
    <nc r="AB50" t="inlineStr">
      <is>
        <t>YES</t>
      </is>
    </nc>
  </rcc>
  <rcc rId="4" sId="1">
    <nc r="AB51" t="inlineStr">
      <is>
        <t>YES</t>
      </is>
    </nc>
  </rcc>
  <rcc rId="5" sId="1">
    <nc r="AB52" t="inlineStr">
      <is>
        <t>YES</t>
      </is>
    </nc>
  </rcc>
  <rcc rId="6" sId="1">
    <nc r="AB53" t="inlineStr">
      <is>
        <t>YES</t>
      </is>
    </nc>
  </rcc>
  <rcc rId="7" sId="1">
    <nc r="AB54" t="inlineStr">
      <is>
        <t>YES</t>
      </is>
    </nc>
  </rcc>
  <rcc rId="8" sId="1">
    <nc r="AB55" t="inlineStr">
      <is>
        <t>YES</t>
      </is>
    </nc>
  </rcc>
  <rcc rId="9" sId="1">
    <nc r="AB56" t="inlineStr">
      <is>
        <t>YES</t>
      </is>
    </nc>
  </rcc>
  <rcc rId="10" sId="1">
    <nc r="AB57" t="inlineStr">
      <is>
        <t>YES</t>
      </is>
    </nc>
  </rcc>
  <rcc rId="11" sId="1">
    <nc r="AB58" t="inlineStr">
      <is>
        <t>YES</t>
      </is>
    </nc>
  </rcc>
  <rcc rId="12" sId="1">
    <nc r="AB59" t="inlineStr">
      <is>
        <t>YES</t>
      </is>
    </nc>
  </rcc>
  <rcc rId="13" sId="1">
    <nc r="AB60" t="inlineStr">
      <is>
        <t>YES</t>
      </is>
    </nc>
  </rcc>
  <rcc rId="14" sId="1">
    <nc r="AB61" t="inlineStr">
      <is>
        <t>YES</t>
      </is>
    </nc>
  </rcc>
  <rcc rId="15" sId="1">
    <nc r="AB63" t="inlineStr">
      <is>
        <t>YES</t>
      </is>
    </nc>
  </rcc>
  <rcc rId="16" sId="1">
    <nc r="AB62" t="inlineStr">
      <is>
        <t>YES</t>
      </is>
    </nc>
  </rcc>
  <rcc rId="17" sId="1">
    <nc r="AB64" t="inlineStr">
      <is>
        <t>YES</t>
      </is>
    </nc>
  </rcc>
  <rcc rId="18" sId="1">
    <nc r="AB65" t="inlineStr">
      <is>
        <t>YES</t>
      </is>
    </nc>
  </rcc>
  <rcc rId="19" sId="1">
    <nc r="AB66" t="inlineStr">
      <is>
        <t>YES</t>
      </is>
    </nc>
  </rcc>
  <rcc rId="20" sId="1">
    <nc r="AB67" t="inlineStr">
      <is>
        <t>YES</t>
      </is>
    </nc>
  </rcc>
  <rcc rId="21" sId="1">
    <nc r="AB68" t="inlineStr">
      <is>
        <t>YES</t>
      </is>
    </nc>
  </rcc>
  <rcv guid="{250915DF-0B97-45D7-B29D-7EED4C89C1C1}" action="delete"/>
  <rdn rId="0" localSheetId="1" customView="1" name="Z_250915DF_0B97_45D7_B29D_7EED4C89C1C1_.wvu.FilterData" hidden="1" oldHidden="1">
    <formula>COEM_Data_20200414!$B$47:$AN$309</formula>
    <oldFormula>COEM_Data_20200414!$B$47:$AN$309</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 sId="1">
    <nc r="AB69" t="inlineStr">
      <is>
        <t>YES</t>
      </is>
    </nc>
  </rcc>
  <rcc rId="27" sId="1">
    <nc r="AB101" t="inlineStr">
      <is>
        <t>YES</t>
      </is>
    </nc>
  </rcc>
  <rcc rId="28" sId="1">
    <nc r="AB102" t="inlineStr">
      <is>
        <t>YES</t>
      </is>
    </nc>
  </rcc>
  <rcc rId="29" sId="1">
    <nc r="AB103" t="inlineStr">
      <is>
        <t>YES</t>
      </is>
    </nc>
  </rcc>
  <rcc rId="30" sId="1">
    <nc r="AB104" t="inlineStr">
      <is>
        <t>YES</t>
      </is>
    </nc>
  </rcc>
  <rcc rId="31" sId="1">
    <nc r="AB105" t="inlineStr">
      <is>
        <t>YES</t>
      </is>
    </nc>
  </rcc>
  <rcc rId="32" sId="1">
    <nc r="AB106" t="inlineStr">
      <is>
        <t>YES</t>
      </is>
    </nc>
  </rcc>
  <rcc rId="33" sId="1">
    <nc r="AB107" t="inlineStr">
      <is>
        <t>YES</t>
      </is>
    </nc>
  </rcc>
  <rcc rId="34" sId="1">
    <nc r="AB108" t="inlineStr">
      <is>
        <t>YES</t>
      </is>
    </nc>
  </rcc>
  <rcc rId="35" sId="1">
    <nc r="AB109" t="inlineStr">
      <is>
        <t>YES</t>
      </is>
    </nc>
  </rcc>
  <rcc rId="36" sId="1">
    <nc r="AB110" t="inlineStr">
      <is>
        <t>YES</t>
      </is>
    </nc>
  </rcc>
  <rcc rId="37" sId="1">
    <nc r="AB111" t="inlineStr">
      <is>
        <t>YES</t>
      </is>
    </nc>
  </rcc>
  <rcc rId="38" sId="1">
    <nc r="AB112" t="inlineStr">
      <is>
        <t>YES</t>
      </is>
    </nc>
  </rcc>
  <rcc rId="39" sId="1">
    <nc r="AB113" t="inlineStr">
      <is>
        <t>YES</t>
      </is>
    </nc>
  </rcc>
  <rcc rId="40" sId="1">
    <nc r="AB84" t="inlineStr">
      <is>
        <t>YES</t>
      </is>
    </nc>
  </rcc>
  <rcc rId="41" sId="1">
    <nc r="AB85" t="inlineStr">
      <is>
        <t>YES</t>
      </is>
    </nc>
  </rcc>
  <rcc rId="42" sId="1">
    <nc r="AB86" t="inlineStr">
      <is>
        <t>YES</t>
      </is>
    </nc>
  </rcc>
  <rcc rId="43" sId="1">
    <nc r="AB87" t="inlineStr">
      <is>
        <t>YES</t>
      </is>
    </nc>
  </rcc>
  <rcv guid="{250915DF-0B97-45D7-B29D-7EED4C89C1C1}" action="delete"/>
  <rdn rId="0" localSheetId="1" customView="1" name="Z_250915DF_0B97_45D7_B29D_7EED4C89C1C1_.wvu.FilterData" hidden="1" oldHidden="1">
    <formula>COEM_Data_20200414!$B$47:$AN$309</formula>
    <oldFormula>COEM_Data_20200414!$B$47:$AN$309</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8" sId="1">
    <nc r="AN65" t="inlineStr">
      <is>
        <t>No function</t>
      </is>
    </nc>
  </rcc>
  <rcc rId="49" sId="1">
    <oc r="AL65" t="inlineStr">
      <is>
        <t>No function</t>
      </is>
    </oc>
    <nc r="AL65"/>
  </rcc>
  <rcv guid="{250915DF-0B97-45D7-B29D-7EED4C89C1C1}" action="delete"/>
  <rdn rId="0" localSheetId="1" customView="1" name="Z_250915DF_0B97_45D7_B29D_7EED4C89C1C1_.wvu.FilterData" hidden="1" oldHidden="1">
    <formula>COEM_Data_20200414!$B$47:$AN$309</formula>
    <oldFormula>COEM_Data_20200414!$B$47:$AN$309</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4" sId="1">
    <oc r="AN113" t="inlineStr">
      <is>
        <t>None function</t>
      </is>
    </oc>
    <nc r="AN113" t="inlineStr">
      <is>
        <t>No fuctions to test</t>
      </is>
    </nc>
  </rcc>
  <rcv guid="{250915DF-0B97-45D7-B29D-7EED4C89C1C1}" action="delete"/>
  <rdn rId="0" localSheetId="1" customView="1" name="Z_250915DF_0B97_45D7_B29D_7EED4C89C1C1_.wvu.FilterData" hidden="1" oldHidden="1">
    <formula>COEM_Data_20200414!$B$47:$AN$309</formula>
    <oldFormula>COEM_Data_20200414!$B$47:$AN$309</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COEM_Data_20200414!$B$47:$AN$309</formula>
    <oldFormula>COEM_Data_20200414!$B$47:$AN$309</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3" sId="1">
    <oc r="S77" t="inlineStr">
      <is>
        <t>hieu.nguyen-trung</t>
      </is>
    </oc>
    <nc r="S77" t="inlineStr">
      <is>
        <t>phuong.nguyen-thanh</t>
      </is>
    </nc>
  </rcc>
  <rcc rId="64" sId="1">
    <oc r="S78" t="inlineStr">
      <is>
        <t>hieu.nguyen-trung</t>
      </is>
    </oc>
    <nc r="S78" t="inlineStr">
      <is>
        <t>phuong.nguyen-thanh</t>
      </is>
    </nc>
  </rcc>
  <rcc rId="65" sId="1">
    <oc r="S79" t="inlineStr">
      <is>
        <t>hieu.nguyen-trung</t>
      </is>
    </oc>
    <nc r="S79" t="inlineStr">
      <is>
        <t>phuong.nguyen-thanh</t>
      </is>
    </nc>
  </rcc>
  <rcc rId="66" sId="1">
    <oc r="S80" t="inlineStr">
      <is>
        <t>hieu.nguyen-trung</t>
      </is>
    </oc>
    <nc r="S80" t="inlineStr">
      <is>
        <t>phuong.nguyen-thanh</t>
      </is>
    </nc>
  </rcc>
  <rcc rId="67" sId="1">
    <oc r="S81" t="inlineStr">
      <is>
        <t>hieu.nguyen-trung</t>
      </is>
    </oc>
    <nc r="S81" t="inlineStr">
      <is>
        <t>phuong.nguyen-thanh</t>
      </is>
    </nc>
  </rcc>
  <rcc rId="68" sId="1">
    <oc r="S82" t="inlineStr">
      <is>
        <t>hieu.nguyen-trung</t>
      </is>
    </oc>
    <nc r="S82" t="inlineStr">
      <is>
        <t>phuong.nguyen-thanh</t>
      </is>
    </nc>
  </rcc>
  <rcc rId="69" sId="1">
    <oc r="S83" t="inlineStr">
      <is>
        <t>hieu.nguyen-trung</t>
      </is>
    </oc>
    <nc r="S83" t="inlineStr">
      <is>
        <t>phuong.nguyen-thanh</t>
      </is>
    </nc>
  </rcc>
  <rcv guid="{250915DF-0B97-45D7-B29D-7EED4C89C1C1}" action="delete"/>
  <rdn rId="0" localSheetId="1" customView="1" name="Z_250915DF_0B97_45D7_B29D_7EED4C89C1C1_.wvu.FilterData" hidden="1" oldHidden="1">
    <formula>COEM_Data_20200414!$B$47:$AN$309</formula>
    <oldFormula>COEM_Data_20200414!$B$47:$AN$309</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4" sId="1">
    <oc r="S90" t="inlineStr">
      <is>
        <t>dac.luu-cong</t>
      </is>
    </oc>
    <nc r="S90" t="inlineStr">
      <is>
        <t>hieu.nguyen-trung</t>
      </is>
    </nc>
  </rcc>
  <rcv guid="{250915DF-0B97-45D7-B29D-7EED4C89C1C1}" action="delete"/>
  <rdn rId="0" localSheetId="1" customView="1" name="Z_250915DF_0B97_45D7_B29D_7EED4C89C1C1_.wvu.FilterData" hidden="1" oldHidden="1">
    <formula>COEM_Data_20200414!$B$47:$AN$309</formula>
    <oldFormula>COEM_Data_20200414!$B$47:$AN$309</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9" sId="1">
    <nc r="AK65" t="inlineStr">
      <is>
        <t>None</t>
      </is>
    </nc>
  </rcc>
</revisions>
</file>

<file path=xl/revisions/revisionLog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0" sId="1">
    <oc r="AG66" t="inlineStr">
      <is>
        <t>OK</t>
      </is>
    </oc>
    <nc r="AG66" t="inlineStr">
      <is>
        <t>NG</t>
      </is>
    </nc>
  </rcc>
  <rcc rId="81" sId="1" numFmtId="14">
    <nc r="AH67">
      <v>1</v>
    </nc>
  </rcc>
  <rcc rId="82" sId="1" numFmtId="14">
    <nc r="AI67">
      <v>1</v>
    </nc>
  </rcc>
  <rcc rId="83" sId="1" numFmtId="14">
    <nc r="AJ67">
      <v>1</v>
    </nc>
  </rcc>
  <rcc rId="84" sId="1" numFmtId="14">
    <nc r="AI68">
      <v>1</v>
    </nc>
  </rcc>
  <rcc rId="85" sId="1" numFmtId="14">
    <nc r="AJ68">
      <v>1</v>
    </nc>
  </rcc>
  <rcc rId="86" sId="1">
    <oc r="AG69" t="inlineStr">
      <is>
        <t>OK</t>
      </is>
    </oc>
    <nc r="AG69" t="inlineStr">
      <is>
        <t>NG</t>
      </is>
    </nc>
  </rcc>
  <rcc rId="87" sId="1" numFmtId="14">
    <nc r="AH68">
      <v>1</v>
    </nc>
  </rcc>
  <rcc rId="88" sId="1" numFmtId="14">
    <nc r="AH70">
      <v>1</v>
    </nc>
  </rcc>
  <rcc rId="89" sId="1" numFmtId="14">
    <nc r="AI70">
      <v>1</v>
    </nc>
  </rcc>
  <rcc rId="90" sId="1" numFmtId="14">
    <nc r="AJ70">
      <v>1</v>
    </nc>
  </rcc>
  <rcc rId="91" sId="1" numFmtId="14">
    <nc r="AH71">
      <v>1</v>
    </nc>
  </rcc>
  <rcc rId="92" sId="1" numFmtId="14">
    <nc r="AI71">
      <v>1</v>
    </nc>
  </rcc>
  <rcc rId="93" sId="1" numFmtId="14">
    <nc r="AJ71">
      <v>1</v>
    </nc>
  </rcc>
  <rcc rId="94" sId="1" numFmtId="14">
    <nc r="AH72">
      <v>1</v>
    </nc>
  </rcc>
  <rcc rId="95" sId="1" numFmtId="14">
    <nc r="AI72">
      <v>1</v>
    </nc>
  </rcc>
  <rcc rId="96" sId="1" numFmtId="14">
    <nc r="AJ72">
      <v>1</v>
    </nc>
  </rcc>
  <rcc rId="97" sId="1" numFmtId="14">
    <nc r="AH73">
      <v>1</v>
    </nc>
  </rcc>
  <rcc rId="98" sId="1" numFmtId="14">
    <nc r="AI73">
      <v>1</v>
    </nc>
  </rcc>
  <rcc rId="99" sId="1" numFmtId="14">
    <nc r="AJ73">
      <v>1</v>
    </nc>
  </rcc>
  <rcc rId="100" sId="1" numFmtId="14">
    <nc r="AH74">
      <v>1</v>
    </nc>
  </rcc>
  <rcc rId="101" sId="1" numFmtId="14">
    <nc r="AI74">
      <v>1</v>
    </nc>
  </rcc>
  <rcc rId="102" sId="1" numFmtId="14">
    <nc r="AJ74">
      <v>1</v>
    </nc>
  </rcc>
  <rcc rId="103" sId="1" numFmtId="14">
    <nc r="AH75">
      <v>1</v>
    </nc>
  </rcc>
  <rcc rId="104" sId="1" numFmtId="14">
    <nc r="AI75">
      <v>1</v>
    </nc>
  </rcc>
  <rcc rId="105" sId="1" numFmtId="14">
    <nc r="AJ75">
      <v>1</v>
    </nc>
  </rcc>
  <rcc rId="106" sId="1">
    <oc r="AG88" t="inlineStr">
      <is>
        <t>OK</t>
      </is>
    </oc>
    <nc r="AG88" t="inlineStr">
      <is>
        <t>NG</t>
      </is>
    </nc>
  </rcc>
  <rcc rId="107" sId="1" numFmtId="14">
    <nc r="AH88">
      <v>0.22</v>
    </nc>
  </rcc>
  <rcc rId="108" sId="1" numFmtId="14">
    <nc r="AI88">
      <v>0.12</v>
    </nc>
  </rcc>
  <rcc rId="109" sId="1" numFmtId="14">
    <nc r="AJ88">
      <v>0</v>
    </nc>
  </rcc>
  <rcc rId="110" sId="1" numFmtId="14">
    <nc r="AH89">
      <v>1</v>
    </nc>
  </rcc>
  <rcc rId="111" sId="1" numFmtId="14">
    <nc r="AI89">
      <v>1</v>
    </nc>
  </rcc>
  <rcc rId="112" sId="1" numFmtId="14">
    <nc r="AJ89">
      <v>1</v>
    </nc>
  </rcc>
  <rcc rId="113" sId="1" numFmtId="14">
    <nc r="AH91">
      <v>1</v>
    </nc>
  </rcc>
  <rcc rId="114" sId="1" numFmtId="14">
    <nc r="AI91">
      <v>1</v>
    </nc>
  </rcc>
  <rcc rId="115" sId="1" numFmtId="14">
    <nc r="AJ91">
      <v>1</v>
    </nc>
  </rcc>
  <rcv guid="{250915DF-0B97-45D7-B29D-7EED4C89C1C1}" action="delete"/>
  <rdn rId="0" localSheetId="1" customView="1" name="Z_250915DF_0B97_45D7_B29D_7EED4C89C1C1_.wvu.FilterData" hidden="1" oldHidden="1">
    <formula>COEM_Data_20200414!$B$47:$AN$309</formula>
    <oldFormula>COEM_Data_20200414!$B$47:$AN$309</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COEM_Data_20200414!$B$47:$AN$309</formula>
    <oldFormula>COEM_Data_20200414!$B$47:$AN$309</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I76" start="0" length="2147483647">
    <dxf>
      <font>
        <color auto="1"/>
      </font>
    </dxf>
  </rfmt>
  <rcc rId="124" sId="1">
    <oc r="AG76" t="inlineStr">
      <is>
        <t>OK</t>
      </is>
    </oc>
    <nc r="AG76"/>
  </rcc>
  <rcc rId="125" sId="1">
    <oc r="AG92" t="inlineStr">
      <is>
        <t>OK</t>
      </is>
    </oc>
    <nc r="AG92"/>
  </rcc>
  <rcv guid="{250915DF-0B97-45D7-B29D-7EED4C89C1C1}" action="delete"/>
  <rdn rId="0" localSheetId="1" customView="1" name="Z_250915DF_0B97_45D7_B29D_7EED4C89C1C1_.wvu.FilterData" hidden="1" oldHidden="1">
    <formula>COEM_Data_20200414!$B$47:$AN$309</formula>
    <oldFormula>COEM_Data_20200414!$B$47:$AN$309</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COEM_Data_20200414!$B$47:$AN$309</formula>
    <oldFormula>COEM_Data_20200414!$B$47:$AN$309</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4" sId="1">
    <oc r="AB69" t="inlineStr">
      <is>
        <t>YES</t>
      </is>
    </oc>
    <nc r="AB69"/>
  </rcc>
  <rcv guid="{250915DF-0B97-45D7-B29D-7EED4C89C1C1}" action="delete"/>
  <rdn rId="0" localSheetId="1" customView="1" name="Z_250915DF_0B97_45D7_B29D_7EED4C89C1C1_.wvu.FilterData" hidden="1" oldHidden="1">
    <formula>COEM_Data_20200414!$B$47:$AN$309</formula>
    <oldFormula>COEM_Data_20200414!$B$47:$AN$309</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9" sId="1">
    <nc r="AK125" t="inlineStr">
      <is>
        <t>None</t>
      </is>
    </nc>
  </rcc>
  <rcc rId="140" sId="1">
    <nc r="AG125" t="inlineStr">
      <is>
        <t>OK</t>
      </is>
    </nc>
  </rcc>
  <rcc rId="141" sId="1">
    <oc r="AG65" t="inlineStr">
      <is>
        <t>NG</t>
      </is>
    </oc>
    <nc r="AG65" t="inlineStr">
      <is>
        <t>OK</t>
      </is>
    </nc>
  </rcc>
  <rcc rId="142" sId="1">
    <nc r="AG115" t="inlineStr">
      <is>
        <t>OK</t>
      </is>
    </nc>
  </rcc>
  <rcc rId="143" sId="1">
    <nc r="AG116" t="inlineStr">
      <is>
        <t>OK</t>
      </is>
    </nc>
  </rcc>
  <rcc rId="144" sId="1">
    <nc r="AG117" t="inlineStr">
      <is>
        <t>OK</t>
      </is>
    </nc>
  </rcc>
  <rcc rId="145" sId="1" odxf="1" dxf="1" quotePrefix="1">
    <nc r="AH115" t="inlineStr">
      <is>
        <t>-</t>
      </is>
    </nc>
    <odxf/>
    <ndxf/>
  </rcc>
  <rcc rId="146" sId="1" odxf="1" dxf="1" quotePrefix="1">
    <nc r="AI115" t="inlineStr">
      <is>
        <t>-</t>
      </is>
    </nc>
    <odxf/>
    <ndxf/>
  </rcc>
  <rcc rId="147" sId="1" odxf="1" dxf="1" quotePrefix="1">
    <nc r="AJ115" t="inlineStr">
      <is>
        <t>-</t>
      </is>
    </nc>
    <odxf/>
    <ndxf/>
  </rcc>
  <rcc rId="148" sId="1" odxf="1" dxf="1" quotePrefix="1">
    <nc r="AH116" t="inlineStr">
      <is>
        <t>-</t>
      </is>
    </nc>
    <odxf/>
    <ndxf/>
  </rcc>
  <rcc rId="149" sId="1" odxf="1" dxf="1" quotePrefix="1">
    <nc r="AI116" t="inlineStr">
      <is>
        <t>-</t>
      </is>
    </nc>
    <odxf/>
    <ndxf/>
  </rcc>
  <rcc rId="150" sId="1" odxf="1" dxf="1" quotePrefix="1">
    <nc r="AJ116" t="inlineStr">
      <is>
        <t>-</t>
      </is>
    </nc>
    <odxf/>
    <ndxf/>
  </rcc>
  <rcc rId="151" sId="1" odxf="1" dxf="1" quotePrefix="1">
    <nc r="AH117" t="inlineStr">
      <is>
        <t>-</t>
      </is>
    </nc>
    <odxf/>
    <ndxf/>
  </rcc>
  <rcc rId="152" sId="1" odxf="1" dxf="1" quotePrefix="1">
    <nc r="AI117" t="inlineStr">
      <is>
        <t>-</t>
      </is>
    </nc>
    <odxf/>
    <ndxf/>
  </rcc>
  <rcc rId="153" sId="1" odxf="1" dxf="1" quotePrefix="1">
    <nc r="AJ117" t="inlineStr">
      <is>
        <t>-</t>
      </is>
    </nc>
    <odxf/>
    <ndxf/>
  </rcc>
  <rcc rId="154" sId="1" odxf="1" dxf="1" quotePrefix="1">
    <nc r="AH65" t="inlineStr">
      <is>
        <t>-</t>
      </is>
    </nc>
    <odxf/>
    <ndxf/>
  </rcc>
  <rcc rId="155" sId="1" odxf="1" dxf="1" quotePrefix="1">
    <nc r="AI65" t="inlineStr">
      <is>
        <t>-</t>
      </is>
    </nc>
    <odxf/>
    <ndxf/>
  </rcc>
  <rcc rId="156" sId="1" odxf="1" dxf="1" quotePrefix="1">
    <nc r="AJ65" t="inlineStr">
      <is>
        <t>-</t>
      </is>
    </nc>
    <odxf/>
    <ndxf/>
  </rcc>
  <rcv guid="{250915DF-0B97-45D7-B29D-7EED4C89C1C1}" action="delete"/>
  <rdn rId="0" localSheetId="1" customView="1" name="Z_250915DF_0B97_45D7_B29D_7EED4C89C1C1_.wvu.FilterData" hidden="1" oldHidden="1">
    <formula>COEM_Data_20200414!$B$47:$AN$309</formula>
    <oldFormula>COEM_Data_20200414!$B$47:$AN$309</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1" sId="1">
    <oc r="AN65" t="inlineStr">
      <is>
        <t>No function</t>
      </is>
    </oc>
    <nc r="AN65" t="inlineStr">
      <is>
        <t>No function to test</t>
      </is>
    </nc>
  </rcc>
  <rcc rId="162" sId="1">
    <oc r="AN113" t="inlineStr">
      <is>
        <t>No fuctions to test</t>
      </is>
    </oc>
    <nc r="AN113" t="inlineStr">
      <is>
        <t>No function to test</t>
      </is>
    </nc>
  </rcc>
  <rcc rId="163" sId="1">
    <oc r="AL115" t="inlineStr">
      <is>
        <t>No fuctions to test</t>
      </is>
    </oc>
    <nc r="AL115"/>
  </rcc>
  <rcc rId="164" sId="1">
    <oc r="AL116" t="inlineStr">
      <is>
        <t>No fuctions to test</t>
      </is>
    </oc>
    <nc r="AL116"/>
  </rcc>
  <rcc rId="165" sId="1">
    <oc r="AL117" t="inlineStr">
      <is>
        <t>No fuctions to test</t>
      </is>
    </oc>
    <nc r="AL117"/>
  </rcc>
  <rcc rId="166" sId="1">
    <oc r="AL125" t="inlineStr">
      <is>
        <t>No fuctions to test</t>
      </is>
    </oc>
    <nc r="AL125"/>
  </rcc>
  <rcc rId="167" sId="1">
    <nc r="AN115" t="inlineStr">
      <is>
        <t>No function to test</t>
      </is>
    </nc>
  </rcc>
  <rcc rId="168" sId="1">
    <nc r="AN116" t="inlineStr">
      <is>
        <t>No function to test</t>
      </is>
    </nc>
  </rcc>
  <rcc rId="169" sId="1">
    <nc r="AN117" t="inlineStr">
      <is>
        <t>No function to test</t>
      </is>
    </nc>
  </rcc>
  <rcc rId="170" sId="1">
    <nc r="AN125" t="inlineStr">
      <is>
        <t>No function to test</t>
      </is>
    </nc>
  </rcc>
  <rcc rId="171" sId="1">
    <nc r="AN130" t="inlineStr">
      <is>
        <t>No function to test</t>
      </is>
    </nc>
  </rcc>
  <rcc rId="172" sId="1">
    <oc r="AL130" t="inlineStr">
      <is>
        <t>No fuctions to test</t>
      </is>
    </oc>
    <nc r="AL130"/>
  </rcc>
  <rcc rId="173" sId="1">
    <nc r="AN137" t="inlineStr">
      <is>
        <t>No function to test</t>
      </is>
    </nc>
  </rcc>
  <rcc rId="174" sId="1">
    <oc r="AL137" t="inlineStr">
      <is>
        <t>No fuctions to test</t>
      </is>
    </oc>
    <nc r="AL137"/>
  </rcc>
  <rcc rId="175" sId="1">
    <nc r="AG137" t="inlineStr">
      <is>
        <t>OK</t>
      </is>
    </nc>
  </rcc>
  <rcc rId="176" sId="1">
    <oc r="AG113" t="inlineStr">
      <is>
        <t>NG</t>
      </is>
    </oc>
    <nc r="AG113" t="inlineStr">
      <is>
        <t>OK</t>
      </is>
    </nc>
  </rcc>
  <rcv guid="{250915DF-0B97-45D7-B29D-7EED4C89C1C1}" action="delete"/>
  <rdn rId="0" localSheetId="1" customView="1" name="Z_250915DF_0B97_45D7_B29D_7EED4C89C1C1_.wvu.FilterData" hidden="1" oldHidden="1">
    <formula>COEM_Data_20200414!$B$47:$AN$309</formula>
    <oldFormula>COEM_Data_20200414!$B$47:$AN$309</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81" sId="1" odxf="1" dxf="1" quotePrefix="1">
    <nc r="AH137" t="inlineStr">
      <is>
        <t>-</t>
      </is>
    </nc>
    <odxf/>
    <ndxf/>
  </rcc>
  <rcc rId="182" sId="1" odxf="1" dxf="1" quotePrefix="1">
    <nc r="AI137" t="inlineStr">
      <is>
        <t>-</t>
      </is>
    </nc>
    <odxf/>
    <ndxf/>
  </rcc>
  <rcc rId="183" sId="1" odxf="1" dxf="1" quotePrefix="1">
    <nc r="AJ137" t="inlineStr">
      <is>
        <t>-</t>
      </is>
    </nc>
    <odxf/>
    <ndxf/>
  </rcc>
  <rcc rId="184" sId="1" odxf="1" dxf="1" quotePrefix="1">
    <nc r="AH130" t="inlineStr">
      <is>
        <t>-</t>
      </is>
    </nc>
    <odxf/>
    <ndxf/>
  </rcc>
  <rcc rId="185" sId="1" odxf="1" dxf="1" quotePrefix="1">
    <nc r="AI130" t="inlineStr">
      <is>
        <t>-</t>
      </is>
    </nc>
    <odxf/>
    <ndxf/>
  </rcc>
  <rcc rId="186" sId="1" odxf="1" dxf="1" quotePrefix="1">
    <nc r="AJ130" t="inlineStr">
      <is>
        <t>-</t>
      </is>
    </nc>
    <odxf/>
    <ndxf/>
  </rcc>
  <rcc rId="187" sId="1">
    <nc r="AG130" t="inlineStr">
      <is>
        <t>OK</t>
      </is>
    </nc>
  </rcc>
  <rcc rId="188" sId="1" odxf="1" dxf="1" quotePrefix="1">
    <nc r="AH125" t="inlineStr">
      <is>
        <t>-</t>
      </is>
    </nc>
    <odxf/>
    <ndxf/>
  </rcc>
  <rcc rId="189" sId="1" odxf="1" dxf="1" quotePrefix="1">
    <nc r="AI125" t="inlineStr">
      <is>
        <t>-</t>
      </is>
    </nc>
    <odxf/>
    <ndxf/>
  </rcc>
  <rcc rId="190" sId="1" odxf="1" dxf="1" quotePrefix="1">
    <nc r="AJ125" t="inlineStr">
      <is>
        <t>-</t>
      </is>
    </nc>
    <odxf/>
    <ndxf/>
  </rcc>
  <rcc rId="191" sId="1" odxf="1" dxf="1" quotePrefix="1">
    <nc r="AH113" t="inlineStr">
      <is>
        <t>-</t>
      </is>
    </nc>
    <odxf/>
    <ndxf/>
  </rcc>
  <rcc rId="192" sId="1" odxf="1" dxf="1" quotePrefix="1">
    <nc r="AI113" t="inlineStr">
      <is>
        <t>-</t>
      </is>
    </nc>
    <odxf/>
    <ndxf/>
  </rcc>
  <rcc rId="193" sId="1" odxf="1" dxf="1" quotePrefix="1">
    <nc r="AJ113" t="inlineStr">
      <is>
        <t>-</t>
      </is>
    </nc>
    <odxf/>
    <ndxf/>
  </rcc>
  <rcv guid="{250915DF-0B97-45D7-B29D-7EED4C89C1C1}" action="delete"/>
  <rdn rId="0" localSheetId="1" customView="1" name="Z_250915DF_0B97_45D7_B29D_7EED4C89C1C1_.wvu.FilterData" hidden="1" oldHidden="1">
    <formula>COEM_Data_20200414!$B$47:$AN$309</formula>
    <oldFormula>COEM_Data_20200414!$B$47:$AN$309</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COEM_Data_20200414!$B$47:$AN$309</formula>
    <oldFormula>COEM_Data_20200414!$B$47:$AN$309</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02" sId="1">
    <nc r="AK60" t="inlineStr">
      <is>
        <t>OPL</t>
      </is>
    </nc>
  </rcc>
  <rcv guid="{250915DF-0B97-45D7-B29D-7EED4C89C1C1}" action="delete"/>
  <rdn rId="0" localSheetId="1" customView="1" name="Z_250915DF_0B97_45D7_B29D_7EED4C89C1C1_.wvu.FilterData" hidden="1" oldHidden="1">
    <formula>COEM_Data_20200414!$B$47:$AN$309</formula>
    <oldFormula>COEM_Data_20200414!$B$47:$AN$309</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COEM_Data_20200414!$B$47:$AN$309</formula>
    <oldFormula>COEM_Data_20200414!$B$47:$AN$309</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11" sId="1">
    <nc r="AG118" t="inlineStr">
      <is>
        <t>OK</t>
      </is>
    </nc>
  </rcc>
  <rcc rId="212" sId="1">
    <nc r="AG119" t="inlineStr">
      <is>
        <t>OK</t>
      </is>
    </nc>
  </rcc>
  <rcc rId="213" sId="1">
    <nc r="AG120" t="inlineStr">
      <is>
        <t>OK</t>
      </is>
    </nc>
  </rcc>
  <rcc rId="214" sId="1">
    <nc r="AG121" t="inlineStr">
      <is>
        <t>OK</t>
      </is>
    </nc>
  </rcc>
  <rcc rId="215" sId="1">
    <nc r="AG122" t="inlineStr">
      <is>
        <t>OK</t>
      </is>
    </nc>
  </rcc>
  <rcc rId="216" sId="1">
    <nc r="AG124" t="inlineStr">
      <is>
        <t>OK</t>
      </is>
    </nc>
  </rcc>
  <rcc rId="217" sId="1">
    <nc r="AG114" t="inlineStr">
      <is>
        <t>OK</t>
      </is>
    </nc>
  </rcc>
  <rcc rId="218" sId="1">
    <nc r="AK115" t="inlineStr">
      <is>
        <t>None</t>
      </is>
    </nc>
  </rcc>
  <rcc rId="219" sId="1">
    <nc r="AK116" t="inlineStr">
      <is>
        <t>None</t>
      </is>
    </nc>
  </rcc>
  <rcc rId="220" sId="1">
    <nc r="AK117" t="inlineStr">
      <is>
        <t>None</t>
      </is>
    </nc>
  </rcc>
  <rcv guid="{D33AC7AF-C8AB-4CE9-94C7-9237011A5FC3}" action="delete"/>
  <rdn rId="0" localSheetId="1" customView="1" name="Z_D33AC7AF_C8AB_4CE9_94C7_9237011A5FC3_.wvu.FilterData" hidden="1" oldHidden="1">
    <formula>COEM_Data_20200414!$B$47:$AN$309</formula>
    <oldFormula>COEM_Data_20200414!$B$47:$AN$150</oldFormula>
  </rdn>
  <rdn rId="0" localSheetId="2" customView="1" name="Z_D33AC7AF_C8AB_4CE9_94C7_9237011A5FC3_.wvu.FilterData" hidden="1" oldHidden="1">
    <formula>Merged!$B$62:$AK$313</formula>
    <oldFormula>Merged!$B$62:$AK$313</oldFormula>
  </rdn>
  <rdn rId="0" localSheetId="10" customView="1" name="Z_D33AC7AF_C8AB_4CE9_94C7_9237011A5FC3_.wvu.FilterData" hidden="1" oldHidden="1">
    <formula>Not_Fill_Data_20200321_20200420!$P$49:$P$219</formula>
    <oldFormula>Not_Fill_Data_20200321_20200420!$P$49:$P$219</oldFormula>
  </rdn>
  <rdn rId="0" localSheetId="11" customView="1" name="Z_D33AC7AF_C8AB_4CE9_94C7_9237011A5FC3_.wvu.FilterData" hidden="1" oldHidden="1">
    <formula>Not_Fill_Data_20200305_20200320!$B$37:$AK$106</formula>
    <oldFormula>Not_Fill_Data_20200305_20200320!$B$37:$AK$106</oldFormula>
  </rdn>
  <rcv guid="{D33AC7AF-C8AB-4CE9-94C7-9237011A5FC3}" action="add"/>
</revisions>
</file>

<file path=xl/revisions/revisionLog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COEM_Data_20200414!$B$47:$AN$309</formula>
    <oldFormula>COEM_Data_20200414!$B$47:$AN$309</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COEM_Data_20200414!$B$47:$AN$309</formula>
    <oldFormula>COEM_Data_20200414!$B$47:$AN$309</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COEM_Data_20200414!$B$47:$AN$309</formula>
    <oldFormula>COEM_Data_20200414!$B$47:$AN$309</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7" sId="1">
    <nc r="AB145" t="inlineStr">
      <is>
        <t>YES</t>
      </is>
    </nc>
  </rcc>
  <rcc rId="238" sId="1">
    <nc r="AB146" t="inlineStr">
      <is>
        <t>YES</t>
      </is>
    </nc>
  </rcc>
  <rcc rId="239" sId="1">
    <nc r="AB147" t="inlineStr">
      <is>
        <t>YES</t>
      </is>
    </nc>
  </rcc>
  <rcc rId="240" sId="1">
    <nc r="AB148" t="inlineStr">
      <is>
        <t>YES</t>
      </is>
    </nc>
  </rcc>
  <rcc rId="241" sId="1">
    <nc r="AB149" t="inlineStr">
      <is>
        <t>YES</t>
      </is>
    </nc>
  </rcc>
  <rcc rId="242" sId="1">
    <nc r="AB150" t="inlineStr">
      <is>
        <t>YES</t>
      </is>
    </nc>
  </rcc>
  <rcv guid="{250915DF-0B97-45D7-B29D-7EED4C89C1C1}" action="delete"/>
  <rdn rId="0" localSheetId="1" customView="1" name="Z_250915DF_0B97_45D7_B29D_7EED4C89C1C1_.wvu.FilterData" hidden="1" oldHidden="1">
    <formula>COEM_Data_20200414!$B$47:$AN$309</formula>
    <oldFormula>COEM_Data_20200414!$B$47:$AN$309</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7" sId="1" numFmtId="19">
    <nc r="AE151">
      <v>43938</v>
    </nc>
  </rcc>
  <rcc rId="248" sId="1" numFmtId="19">
    <nc r="AF151">
      <v>43938</v>
    </nc>
  </rcc>
  <rcc rId="249" sId="1">
    <nc r="AG151" t="inlineStr">
      <is>
        <t>OK</t>
      </is>
    </nc>
  </rcc>
  <rcc rId="250" sId="1" numFmtId="14">
    <nc r="AH151">
      <v>1</v>
    </nc>
  </rcc>
  <rcc rId="251" sId="1" numFmtId="14">
    <nc r="AI151">
      <v>1</v>
    </nc>
  </rcc>
  <rcc rId="252" sId="1" numFmtId="14">
    <nc r="AJ151">
      <v>1</v>
    </nc>
  </rcc>
  <rcc rId="253" sId="1">
    <nc r="AA151" t="inlineStr">
      <is>
        <t>Ready for review</t>
      </is>
    </nc>
  </rcc>
  <rcv guid="{7ECC2B8E-6A82-42F5-8AB0-4A51C54EA5EC}" action="delete"/>
  <rdn rId="0" localSheetId="1" customView="1" name="Z_7ECC2B8E_6A82_42F5_8AB0_4A51C54EA5EC_.wvu.FilterData" hidden="1" oldHidden="1">
    <formula>COEM_Data_20200414!$B$47:$AN$309</formula>
    <oldFormula>COEM_Data_20200414!$B$47:$AN$170</oldFormula>
  </rdn>
  <rdn rId="0" localSheetId="2" customView="1" name="Z_7ECC2B8E_6A82_42F5_8AB0_4A51C54EA5EC_.wvu.FilterData" hidden="1" oldHidden="1">
    <formula>Merged!$B$62:$AK$313</formula>
    <oldFormula>Merged!$B$62:$AK$313</oldFormula>
  </rdn>
  <rdn rId="0" localSheetId="10" customView="1" name="Z_7ECC2B8E_6A82_42F5_8AB0_4A51C54EA5EC_.wvu.FilterData" hidden="1" oldHidden="1">
    <formula>Not_Fill_Data_20200321_20200420!$P$49:$P$219</formula>
    <oldFormula>Not_Fill_Data_20200321_20200420!$P$49:$P$219</oldFormula>
  </rdn>
  <rdn rId="0" localSheetId="11" customView="1" name="Z_7ECC2B8E_6A82_42F5_8AB0_4A51C54EA5EC_.wvu.FilterData" hidden="1" oldHidden="1">
    <formula>Not_Fill_Data_20200305_20200320!$B$37:$AK$106</formula>
    <oldFormula>Not_Fill_Data_20200305_20200320!$B$37:$AK$106</oldFormula>
  </rdn>
  <rcv guid="{7ECC2B8E-6A82-42F5-8AB0-4A51C54EA5EC}" action="add"/>
</revisions>
</file>

<file path=xl/revisions/revisionLog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8" sId="1">
    <nc r="AG90" t="inlineStr">
      <is>
        <t>NG</t>
      </is>
    </nc>
  </rcc>
  <rcc rId="259" sId="1">
    <nc r="AN90" t="inlineStr">
      <is>
        <t>Line 374: RBA_BLDRSRVSTHDL_SERVICE_DCM_END(). Missing</t>
      </is>
    </nc>
  </rcc>
  <rcv guid="{250915DF-0B97-45D7-B29D-7EED4C89C1C1}" action="delete"/>
  <rdn rId="0" localSheetId="1" customView="1" name="Z_250915DF_0B97_45D7_B29D_7EED4C89C1C1_.wvu.FilterData" hidden="1" oldHidden="1">
    <formula>COEM_Data_20200414!$B$47:$AN$309</formula>
    <oldFormula>COEM_Data_20200414!$B$47:$AN$309</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4" sId="1">
    <oc r="AN90" t="inlineStr">
      <is>
        <t>Line 374: RBA_BLDRSRVSTHDL_SERVICE_DCM_END(). Missing</t>
      </is>
    </oc>
    <nc r="AN90" t="inlineStr">
      <is>
        <t>Line 374: RBA_BLDRSRVSTHDL_SERVICE_DCM_END(). Missing ";" at the end of line</t>
      </is>
    </nc>
  </rcc>
  <rcv guid="{250915DF-0B97-45D7-B29D-7EED4C89C1C1}" action="delete"/>
  <rdn rId="0" localSheetId="1" customView="1" name="Z_250915DF_0B97_45D7_B29D_7EED4C89C1C1_.wvu.FilterData" hidden="1" oldHidden="1">
    <formula>COEM_Data_20200414!$B$47:$AN$309</formula>
    <oldFormula>COEM_Data_20200414!$B$47:$AN$309</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N90" start="0" length="0">
    <dxf>
      <alignment wrapText="1" readingOrder="0"/>
    </dxf>
  </rfmt>
  <rcc rId="269" sId="1">
    <oc r="AN90" t="inlineStr">
      <is>
        <t>Line 374: RBA_BLDRSRVSTHDL_SERVICE_DCM_END(). Missing ";" at the end of line</t>
      </is>
    </oc>
    <nc r="AN90" t="inlineStr">
      <is>
        <t>Line 374: RBA_BLDRSRVSTHDL_SERVICE_DCM_END(): Missing ";" at the end of line
Line 84: RBA_BLDRSRVSTHDL_SERVICE_DCM_BEGIN(pMsgContext,&amp;rba_BldrCmp_ReadDataByIdentifier,NULL_PTR): Missing ";" at the end of line</t>
      </is>
    </nc>
  </rcc>
</revisions>
</file>

<file path=xl/revisions/revisionLog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0" sId="1" numFmtId="19">
    <nc r="AE152">
      <v>43938</v>
    </nc>
  </rcc>
  <rcc rId="271" sId="1" numFmtId="19">
    <nc r="AF152">
      <v>43938</v>
    </nc>
  </rcc>
  <rcc rId="272" sId="1">
    <nc r="AG152" t="inlineStr">
      <is>
        <t>OK</t>
      </is>
    </nc>
  </rcc>
  <rcc rId="273" sId="1" numFmtId="14">
    <nc r="AH152">
      <v>1</v>
    </nc>
  </rcc>
  <rcc rId="274" sId="1" numFmtId="14">
    <nc r="AI152">
      <v>1</v>
    </nc>
  </rcc>
  <rcc rId="275" sId="1" numFmtId="14">
    <nc r="AJ152">
      <v>1</v>
    </nc>
  </rcc>
  <rcc rId="276" sId="1">
    <nc r="AA152" t="inlineStr">
      <is>
        <t>Ready for review</t>
      </is>
    </nc>
  </rcc>
  <rcv guid="{7ECC2B8E-6A82-42F5-8AB0-4A51C54EA5EC}" action="delete"/>
  <rdn rId="0" localSheetId="1" customView="1" name="Z_7ECC2B8E_6A82_42F5_8AB0_4A51C54EA5EC_.wvu.FilterData" hidden="1" oldHidden="1">
    <formula>COEM_Data_20200414!$B$47:$AN$309</formula>
    <oldFormula>COEM_Data_20200414!$B$47:$AN$309</oldFormula>
  </rdn>
  <rdn rId="0" localSheetId="2" customView="1" name="Z_7ECC2B8E_6A82_42F5_8AB0_4A51C54EA5EC_.wvu.FilterData" hidden="1" oldHidden="1">
    <formula>Merged!$B$62:$AK$313</formula>
    <oldFormula>Merged!$B$62:$AK$313</oldFormula>
  </rdn>
  <rdn rId="0" localSheetId="10" customView="1" name="Z_7ECC2B8E_6A82_42F5_8AB0_4A51C54EA5EC_.wvu.FilterData" hidden="1" oldHidden="1">
    <formula>Not_Fill_Data_20200321_20200420!$P$49:$P$219</formula>
    <oldFormula>Not_Fill_Data_20200321_20200420!$P$49:$P$219</oldFormula>
  </rdn>
  <rdn rId="0" localSheetId="11" customView="1" name="Z_7ECC2B8E_6A82_42F5_8AB0_4A51C54EA5EC_.wvu.FilterData" hidden="1" oldHidden="1">
    <formula>Not_Fill_Data_20200305_20200320!$B$37:$AK$106</formula>
    <oldFormula>Not_Fill_Data_20200305_20200320!$B$37:$AK$106</oldFormula>
  </rdn>
  <rcv guid="{7ECC2B8E-6A82-42F5-8AB0-4A51C54EA5EC}" action="add"/>
</revisions>
</file>

<file path=xl/revisions/revisionLog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1" sId="1" numFmtId="14">
    <oc r="AH68">
      <v>1</v>
    </oc>
    <nc r="AH68"/>
  </rcc>
  <rcc rId="282" sId="1" numFmtId="14">
    <oc r="AI68">
      <v>1</v>
    </oc>
    <nc r="AI68"/>
  </rcc>
  <rcc rId="283" sId="1" numFmtId="14">
    <oc r="AJ68">
      <v>1</v>
    </oc>
    <nc r="AJ68"/>
  </rcc>
  <rcc rId="284" sId="1">
    <oc r="AG69" t="inlineStr">
      <is>
        <t>NG</t>
      </is>
    </oc>
    <nc r="AG69" t="inlineStr">
      <is>
        <t>OK</t>
      </is>
    </nc>
  </rcc>
  <rcc rId="285" sId="1" numFmtId="14">
    <nc r="AH69">
      <v>1</v>
    </nc>
  </rcc>
  <rcc rId="286" sId="1" numFmtId="14">
    <nc r="AI69">
      <v>1</v>
    </nc>
  </rcc>
  <rcc rId="287" sId="1" numFmtId="14">
    <nc r="AJ69">
      <v>1</v>
    </nc>
  </rcc>
  <rcc rId="288" sId="1">
    <nc r="AN66" t="inlineStr">
      <is>
        <t>No function to test</t>
      </is>
    </nc>
  </rcc>
  <rcc rId="289" sId="1">
    <nc r="AN68" t="inlineStr">
      <is>
        <t>No function to test</t>
      </is>
    </nc>
  </rcc>
  <rcc rId="290" sId="1">
    <nc r="AN76" t="inlineStr">
      <is>
        <t>No function to test</t>
      </is>
    </nc>
  </rcc>
  <rcc rId="291" sId="1">
    <nc r="AG76" t="inlineStr">
      <is>
        <t>NG</t>
      </is>
    </nc>
  </rcc>
  <rcc rId="292" sId="1">
    <oc r="AG68" t="inlineStr">
      <is>
        <t>OK</t>
      </is>
    </oc>
    <nc r="AG68" t="inlineStr">
      <is>
        <t>NG</t>
      </is>
    </nc>
  </rcc>
  <rcc rId="293" sId="1">
    <oc r="AG88" t="inlineStr">
      <is>
        <t>NG</t>
      </is>
    </oc>
    <nc r="AG88" t="inlineStr">
      <is>
        <t>OK</t>
      </is>
    </nc>
  </rcc>
  <rcc rId="294" sId="1" numFmtId="14">
    <oc r="AH88">
      <v>0.22</v>
    </oc>
    <nc r="AH88">
      <v>1</v>
    </nc>
  </rcc>
  <rcc rId="295" sId="1" numFmtId="14">
    <oc r="AI88">
      <v>0.12</v>
    </oc>
    <nc r="AI88">
      <v>1</v>
    </nc>
  </rcc>
  <rcc rId="296" sId="1" numFmtId="14">
    <oc r="AJ88">
      <v>0</v>
    </oc>
    <nc r="AJ88">
      <v>1</v>
    </nc>
  </rcc>
  <rcc rId="297" sId="1">
    <oc r="AA92" t="inlineStr">
      <is>
        <t>Ready for review</t>
      </is>
    </oc>
    <nc r="AA92" t="inlineStr">
      <is>
        <t>Ongoing</t>
      </is>
    </nc>
  </rcc>
  <rcv guid="{336B6883-2145-4B58-921E-CEC7185A847E}" action="delete"/>
  <rdn rId="0" localSheetId="1" customView="1" name="Z_336B6883_2145_4B58_921E_CEC7185A847E_.wvu.FilterData" hidden="1" oldHidden="1">
    <formula>COEM_Data_20200414!$S$47:$S$309</formula>
    <oldFormula>COEM_Data_20200414!$S$47:$S$144</oldFormula>
  </rdn>
  <rdn rId="0" localSheetId="2" customView="1" name="Z_336B6883_2145_4B58_921E_CEC7185A847E_.wvu.FilterData" hidden="1" oldHidden="1">
    <formula>Merged!$P$62:$P$328</formula>
    <oldFormula>Merged!$P$62:$P$328</oldFormula>
  </rdn>
  <rdn rId="0" localSheetId="10" customView="1" name="Z_336B6883_2145_4B58_921E_CEC7185A847E_.wvu.FilterData" hidden="1" oldHidden="1">
    <formula>Not_Fill_Data_20200321_20200420!$P$49:$P$219</formula>
    <oldFormula>Not_Fill_Data_20200321_20200420!$P$49:$P$219</oldFormula>
  </rdn>
  <rdn rId="0" localSheetId="11" customView="1" name="Z_336B6883_2145_4B58_921E_CEC7185A847E_.wvu.Cols" hidden="1" oldHidden="1">
    <formula>Not_Fill_Data_20200305_20200320!$M:$N</formula>
    <oldFormula>Not_Fill_Data_20200305_20200320!$M:$N</oldFormula>
  </rdn>
  <rdn rId="0" localSheetId="11" customView="1" name="Z_336B6883_2145_4B58_921E_CEC7185A847E_.wvu.FilterData" hidden="1" oldHidden="1">
    <formula>Not_Fill_Data_20200305_20200320!$B$37:$AK$106</formula>
    <oldFormula>Not_Fill_Data_20200305_20200320!$B$37:$AK$106</oldFormula>
  </rdn>
  <rcv guid="{336B6883-2145-4B58-921E-CEC7185A847E}" action="add"/>
</revisions>
</file>

<file path=xl/revisions/revisionLog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36B6883-2145-4B58-921E-CEC7185A847E}" action="delete"/>
  <rdn rId="0" localSheetId="1" customView="1" name="Z_336B6883_2145_4B58_921E_CEC7185A847E_.wvu.FilterData" hidden="1" oldHidden="1">
    <formula>COEM_Data_20200414!$S$47:$S$309</formula>
    <oldFormula>COEM_Data_20200414!$S$47:$S$309</oldFormula>
  </rdn>
  <rdn rId="0" localSheetId="2" customView="1" name="Z_336B6883_2145_4B58_921E_CEC7185A847E_.wvu.FilterData" hidden="1" oldHidden="1">
    <formula>Merged!$P$62:$P$328</formula>
    <oldFormula>Merged!$P$62:$P$328</oldFormula>
  </rdn>
  <rdn rId="0" localSheetId="10" customView="1" name="Z_336B6883_2145_4B58_921E_CEC7185A847E_.wvu.FilterData" hidden="1" oldHidden="1">
    <formula>Not_Fill_Data_20200321_20200420!$P$49:$P$219</formula>
    <oldFormula>Not_Fill_Data_20200321_20200420!$P$49:$P$219</oldFormula>
  </rdn>
  <rdn rId="0" localSheetId="11" customView="1" name="Z_336B6883_2145_4B58_921E_CEC7185A847E_.wvu.Cols" hidden="1" oldHidden="1">
    <formula>Not_Fill_Data_20200305_20200320!$M:$N</formula>
    <oldFormula>Not_Fill_Data_20200305_20200320!$M:$N</oldFormula>
  </rdn>
  <rdn rId="0" localSheetId="11" customView="1" name="Z_336B6883_2145_4B58_921E_CEC7185A847E_.wvu.FilterData" hidden="1" oldHidden="1">
    <formula>Not_Fill_Data_20200305_20200320!$B$37:$AK$106</formula>
    <oldFormula>Not_Fill_Data_20200305_20200320!$B$37:$AK$106</oldFormula>
  </rdn>
  <rcv guid="{336B6883-2145-4B58-921E-CEC7185A847E}" action="add"/>
</revisions>
</file>

<file path=xl/revisions/revisionLog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308" sId="1" ref="A155:XFD155" action="insertRow">
    <undo index="0" exp="area" ref3D="1" dr="$K$1:$R$1048576" dn="Z_A2C66332_A809_458E_971B_FDB6D62C74C3_.wvu.Cols" sId="1"/>
  </rrc>
  <rrc rId="309" sId="1" ref="A155:XFD155" action="insertRow">
    <undo index="0" exp="area" ref3D="1" dr="$K$1:$R$1048576" dn="Z_A2C66332_A809_458E_971B_FDB6D62C74C3_.wvu.Cols" sId="1"/>
  </rrc>
  <rrc rId="310" sId="1" ref="A155:XFD155" action="insertRow">
    <undo index="0" exp="area" ref3D="1" dr="$K$1:$R$1048576" dn="Z_A2C66332_A809_458E_971B_FDB6D62C74C3_.wvu.Cols" sId="1"/>
  </rrc>
  <rrc rId="311" sId="1" ref="A155:XFD155" action="insertRow">
    <undo index="0" exp="area" ref3D="1" dr="$K$1:$R$1048576" dn="Z_A2C66332_A809_458E_971B_FDB6D62C74C3_.wvu.Cols" sId="1"/>
  </rrc>
  <rrc rId="312" sId="1" ref="A155:XFD155" action="insertRow">
    <undo index="0" exp="area" ref3D="1" dr="$K$1:$R$1048576" dn="Z_A2C66332_A809_458E_971B_FDB6D62C74C3_.wvu.Cols" sId="1"/>
  </rrc>
  <rrc rId="313" sId="1" ref="A155:XFD155" action="insertRow">
    <undo index="0" exp="area" ref3D="1" dr="$K$1:$R$1048576" dn="Z_A2C66332_A809_458E_971B_FDB6D62C74C3_.wvu.Cols" sId="1"/>
  </rrc>
  <rfmt sheetId="1" sqref="I155" start="0" length="0">
    <dxf>
      <alignment horizontal="general" vertical="bottom" readingOrder="0"/>
      <border outline="0">
        <left/>
        <right/>
        <top/>
        <bottom/>
      </border>
    </dxf>
  </rfmt>
  <rfmt sheetId="1" sqref="I156" start="0" length="0">
    <dxf>
      <alignment horizontal="general" vertical="bottom" readingOrder="0"/>
      <border outline="0">
        <left/>
        <right/>
        <top/>
        <bottom/>
      </border>
    </dxf>
  </rfmt>
  <rfmt sheetId="1" sqref="I157" start="0" length="0">
    <dxf>
      <alignment horizontal="general" vertical="bottom" readingOrder="0"/>
      <border outline="0">
        <left/>
        <right/>
        <top/>
        <bottom/>
      </border>
    </dxf>
  </rfmt>
  <rfmt sheetId="1" xfDxf="1" sqref="I155" start="0" length="0">
    <dxf>
      <font>
        <sz val="10"/>
        <name val="Arial"/>
        <scheme val="none"/>
      </font>
      <fill>
        <patternFill patternType="solid">
          <bgColor rgb="FFFFFFFF"/>
        </patternFill>
      </fill>
      <alignment vertical="center" readingOrder="0"/>
      <border outline="0">
        <right style="medium">
          <color indexed="64"/>
        </right>
        <bottom style="medium">
          <color indexed="64"/>
        </bottom>
      </border>
    </dxf>
  </rfmt>
  <rfmt sheetId="1" xfDxf="1" sqref="I156" start="0" length="0">
    <dxf>
      <font>
        <sz val="10"/>
        <name val="Arial"/>
        <scheme val="none"/>
      </font>
      <fill>
        <patternFill patternType="solid">
          <bgColor rgb="FFFFFFFF"/>
        </patternFill>
      </fill>
      <alignment vertical="center" readingOrder="0"/>
      <border outline="0">
        <right style="medium">
          <color indexed="64"/>
        </right>
        <bottom style="medium">
          <color indexed="64"/>
        </bottom>
      </border>
    </dxf>
  </rfmt>
  <rfmt sheetId="1" xfDxf="1" sqref="I157" start="0" length="0">
    <dxf>
      <font>
        <sz val="10"/>
        <name val="Arial"/>
        <scheme val="none"/>
      </font>
      <fill>
        <patternFill patternType="solid">
          <bgColor rgb="FFFFFFFF"/>
        </patternFill>
      </fill>
      <alignment vertical="center" readingOrder="0"/>
      <border outline="0">
        <right style="medium">
          <color indexed="64"/>
        </right>
        <bottom style="medium">
          <color indexed="64"/>
        </bottom>
      </border>
    </dxf>
  </rfmt>
  <rfmt sheetId="1" sqref="F155" start="0" length="0">
    <dxf>
      <alignment horizontal="general" vertical="bottom" readingOrder="0"/>
      <border outline="0">
        <left/>
        <right/>
        <top/>
        <bottom/>
      </border>
    </dxf>
  </rfmt>
  <rfmt sheetId="1" sqref="F156" start="0" length="0">
    <dxf>
      <alignment horizontal="general" vertical="bottom" readingOrder="0"/>
      <border outline="0">
        <left/>
        <right/>
        <top/>
        <bottom/>
      </border>
    </dxf>
  </rfmt>
  <rfmt sheetId="1" sqref="F157" start="0" length="0">
    <dxf>
      <alignment horizontal="general" vertical="bottom" readingOrder="0"/>
      <border outline="0">
        <left/>
        <right/>
        <top/>
        <bottom/>
      </border>
    </dxf>
  </rfmt>
  <rfmt sheetId="1" xfDxf="1" sqref="F155" start="0" length="0">
    <dxf>
      <font>
        <sz val="10"/>
        <name val="Arial"/>
        <scheme val="none"/>
      </font>
      <fill>
        <patternFill patternType="solid">
          <bgColor rgb="FFFFFFFF"/>
        </patternFill>
      </fill>
      <alignment vertical="center" readingOrder="0"/>
      <border outline="0">
        <right style="medium">
          <color indexed="64"/>
        </right>
        <bottom style="medium">
          <color indexed="64"/>
        </bottom>
      </border>
    </dxf>
  </rfmt>
  <rfmt sheetId="1" xfDxf="1" sqref="F156" start="0" length="0">
    <dxf>
      <font>
        <sz val="10"/>
        <name val="Arial"/>
        <scheme val="none"/>
      </font>
      <fill>
        <patternFill patternType="solid">
          <bgColor rgb="FFFFFFFF"/>
        </patternFill>
      </fill>
      <alignment vertical="center" readingOrder="0"/>
      <border outline="0">
        <right style="medium">
          <color indexed="64"/>
        </right>
        <bottom style="medium">
          <color indexed="64"/>
        </bottom>
      </border>
    </dxf>
  </rfmt>
  <rfmt sheetId="1" xfDxf="1" sqref="F157" start="0" length="0">
    <dxf>
      <font>
        <sz val="10"/>
        <name val="Arial"/>
        <scheme val="none"/>
      </font>
      <fill>
        <patternFill patternType="solid">
          <bgColor rgb="FFFFFFFF"/>
        </patternFill>
      </fill>
      <alignment vertical="center" readingOrder="0"/>
      <border outline="0">
        <right style="medium">
          <color indexed="64"/>
        </right>
        <bottom style="medium">
          <color indexed="64"/>
        </bottom>
      </border>
    </dxf>
  </rfmt>
  <rfmt sheetId="1" sqref="E155" start="0" length="0">
    <dxf>
      <alignment horizontal="general" vertical="bottom" readingOrder="0"/>
      <border outline="0">
        <left/>
        <right/>
        <top/>
        <bottom/>
      </border>
    </dxf>
  </rfmt>
  <rfmt sheetId="1" xfDxf="1" sqref="E155" start="0" length="0">
    <dxf>
      <font>
        <sz val="10"/>
        <color rgb="FF000000"/>
        <name val="Arial"/>
        <scheme val="none"/>
      </font>
    </dxf>
  </rfmt>
  <rfmt sheetId="1" sqref="E156" start="0" length="0">
    <dxf>
      <font>
        <sz val="10"/>
        <color rgb="FF000000"/>
        <name val="Arial"/>
        <scheme val="none"/>
      </font>
      <alignment horizontal="general" vertical="bottom" readingOrder="0"/>
      <border outline="0">
        <left/>
        <right/>
        <top/>
        <bottom/>
      </border>
    </dxf>
  </rfmt>
  <rfmt sheetId="1" sqref="E157" start="0" length="0">
    <dxf>
      <font>
        <sz val="10"/>
        <color rgb="FF000000"/>
        <name val="Arial"/>
        <scheme val="none"/>
      </font>
      <alignment horizontal="general" vertical="bottom" readingOrder="0"/>
      <border outline="0">
        <left/>
        <right/>
        <top/>
        <bottom/>
      </border>
    </dxf>
  </rfmt>
  <rcc rId="314" sId="1">
    <nc r="C155">
      <v>20200416</v>
    </nc>
  </rcc>
  <rcc rId="315" sId="1">
    <nc r="D155" t="inlineStr">
      <is>
        <t>PSW</t>
      </is>
    </nc>
  </rcc>
  <rcc rId="316" sId="1">
    <nc r="C156">
      <v>20200416</v>
    </nc>
  </rcc>
  <rcc rId="317" sId="1">
    <nc r="D156" t="inlineStr">
      <is>
        <t>PSW</t>
      </is>
    </nc>
  </rcc>
  <rcc rId="318" sId="1">
    <nc r="C157">
      <v>20200416</v>
    </nc>
  </rcc>
  <rcc rId="319" sId="1">
    <nc r="D157" t="inlineStr">
      <is>
        <t>PSW</t>
      </is>
    </nc>
  </rcc>
  <rcc rId="320" sId="1">
    <nc r="B155">
      <v>108</v>
    </nc>
  </rcc>
  <rcc rId="321" sId="1">
    <nc r="B156">
      <v>109</v>
    </nc>
  </rcc>
  <rcc rId="322" sId="1">
    <nc r="B157">
      <v>110</v>
    </nc>
  </rcc>
  <rrc rId="323" sId="1" ref="A158:XFD158" action="deleteRow">
    <undo index="0" exp="area" ref3D="1" dr="$K$1:$R$1048576" dn="Z_A2C66332_A809_458E_971B_FDB6D62C74C3_.wvu.Cols" sId="1"/>
    <rfmt sheetId="1" xfDxf="1" sqref="A158:XFD158" start="0" length="0"/>
    <rfmt sheetId="1" sqref="B158" start="0" length="0">
      <dxf>
        <font>
          <sz val="11"/>
          <color auto="1"/>
          <name val="Calibri"/>
          <scheme val="minor"/>
        </font>
        <fill>
          <patternFill patternType="solid">
            <bgColor theme="2"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C158" start="0" length="0">
      <dxf>
        <alignment horizontal="left" vertical="top" readingOrder="0"/>
        <border outline="0">
          <left style="thin">
            <color indexed="64"/>
          </left>
          <right style="thin">
            <color indexed="64"/>
          </right>
          <top style="thin">
            <color indexed="64"/>
          </top>
          <bottom style="thin">
            <color indexed="64"/>
          </bottom>
        </border>
      </dxf>
    </rfmt>
    <rfmt sheetId="1" sqref="D158" start="0" length="0">
      <dxf>
        <alignment horizontal="left" vertical="top" readingOrder="0"/>
        <border outline="0">
          <left style="thin">
            <color indexed="64"/>
          </left>
          <right style="thin">
            <color indexed="64"/>
          </right>
          <top style="thin">
            <color indexed="64"/>
          </top>
          <bottom style="thin">
            <color indexed="64"/>
          </bottom>
        </border>
      </dxf>
    </rfmt>
    <rfmt sheetId="1" sqref="E158" start="0" length="0">
      <dxf>
        <alignment horizontal="left" vertical="top" readingOrder="0"/>
        <border outline="0">
          <left style="thin">
            <color indexed="64"/>
          </left>
          <right style="thin">
            <color indexed="64"/>
          </right>
          <top style="thin">
            <color indexed="64"/>
          </top>
          <bottom style="thin">
            <color indexed="64"/>
          </bottom>
        </border>
      </dxf>
    </rfmt>
    <rfmt sheetId="1" sqref="F158" start="0" length="0">
      <dxf>
        <alignment horizontal="left" vertical="top" readingOrder="0"/>
        <border outline="0">
          <left style="thin">
            <color indexed="64"/>
          </left>
          <right style="thin">
            <color indexed="64"/>
          </right>
          <top style="thin">
            <color indexed="64"/>
          </top>
          <bottom style="thin">
            <color indexed="64"/>
          </bottom>
        </border>
      </dxf>
    </rfmt>
    <rfmt sheetId="1" sqref="G158" start="0" length="0">
      <dxf>
        <alignment horizontal="left" vertical="top" readingOrder="0"/>
        <border outline="0">
          <left style="thin">
            <color indexed="64"/>
          </left>
          <right style="thin">
            <color indexed="64"/>
          </right>
          <top style="thin">
            <color indexed="64"/>
          </top>
          <bottom style="thin">
            <color indexed="64"/>
          </bottom>
        </border>
      </dxf>
    </rfmt>
    <rfmt sheetId="1" sqref="H158"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I158" start="0" length="0">
      <dxf>
        <alignment horizontal="left" vertical="top" readingOrder="0"/>
        <border outline="0">
          <left style="thin">
            <color indexed="64"/>
          </left>
          <right style="thin">
            <color indexed="64"/>
          </right>
          <top style="thin">
            <color indexed="64"/>
          </top>
          <bottom style="thin">
            <color indexed="64"/>
          </bottom>
        </border>
      </dxf>
    </rfmt>
    <rfmt sheetId="1" sqref="J158"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K158" start="0" length="0">
      <dxf>
        <alignment horizontal="left" vertical="top" readingOrder="0"/>
        <border outline="0">
          <left style="thin">
            <color indexed="64"/>
          </left>
          <right style="thin">
            <color indexed="64"/>
          </right>
          <top style="thin">
            <color indexed="64"/>
          </top>
          <bottom style="thin">
            <color indexed="64"/>
          </bottom>
        </border>
      </dxf>
    </rfmt>
    <rfmt sheetId="1" sqref="L158" start="0" length="0">
      <dxf>
        <alignment horizontal="left" vertical="top" readingOrder="0"/>
        <border outline="0">
          <left style="thin">
            <color indexed="64"/>
          </left>
          <right style="thin">
            <color indexed="64"/>
          </right>
          <top style="thin">
            <color indexed="64"/>
          </top>
          <bottom style="thin">
            <color indexed="64"/>
          </bottom>
        </border>
      </dxf>
    </rfmt>
    <rfmt sheetId="1" sqref="M158" start="0" length="0">
      <dxf>
        <alignment horizontal="left" vertical="top" readingOrder="0"/>
        <border outline="0">
          <left style="thin">
            <color indexed="64"/>
          </left>
          <right style="thin">
            <color indexed="64"/>
          </right>
          <top style="thin">
            <color indexed="64"/>
          </top>
          <bottom style="thin">
            <color indexed="64"/>
          </bottom>
        </border>
      </dxf>
    </rfmt>
    <rfmt sheetId="1" sqref="N158" start="0" length="0">
      <dxf>
        <alignment horizontal="left" vertical="top" readingOrder="0"/>
        <border outline="0">
          <left style="thin">
            <color indexed="64"/>
          </left>
          <right style="thin">
            <color indexed="64"/>
          </right>
          <top style="thin">
            <color indexed="64"/>
          </top>
          <bottom style="thin">
            <color indexed="64"/>
          </bottom>
        </border>
      </dxf>
    </rfmt>
    <rfmt sheetId="1" sqref="O158" start="0" length="0">
      <dxf>
        <alignment horizontal="left" vertical="top" readingOrder="0"/>
        <border outline="0">
          <left style="thin">
            <color indexed="64"/>
          </left>
          <right style="thin">
            <color indexed="64"/>
          </right>
          <top style="thin">
            <color indexed="64"/>
          </top>
          <bottom style="thin">
            <color indexed="64"/>
          </bottom>
        </border>
      </dxf>
    </rfmt>
    <rfmt sheetId="1" sqref="P158" start="0" length="0">
      <dxf>
        <alignment horizontal="left" vertical="top" readingOrder="0"/>
        <border outline="0">
          <left style="thin">
            <color indexed="64"/>
          </left>
          <right style="thin">
            <color indexed="64"/>
          </right>
          <top style="thin">
            <color indexed="64"/>
          </top>
          <bottom style="thin">
            <color indexed="64"/>
          </bottom>
        </border>
      </dxf>
    </rfmt>
    <rfmt sheetId="1" sqref="Q158"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fmt sheetId="1" sqref="R158"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S158" start="0" length="0">
      <dxf>
        <alignment horizontal="left" vertical="top" readingOrder="0"/>
        <border outline="0">
          <left style="thin">
            <color indexed="64"/>
          </left>
          <right style="thin">
            <color indexed="64"/>
          </right>
          <top style="thin">
            <color indexed="64"/>
          </top>
          <bottom style="thin">
            <color indexed="64"/>
          </bottom>
        </border>
      </dxf>
    </rfmt>
    <rfmt sheetId="1" sqref="T158" start="0" length="0">
      <dxf>
        <alignment horizontal="left" vertical="top" readingOrder="0"/>
        <border outline="0">
          <left style="thin">
            <color indexed="64"/>
          </left>
          <right style="thin">
            <color indexed="64"/>
          </right>
          <top style="thin">
            <color indexed="64"/>
          </top>
          <bottom style="thin">
            <color indexed="64"/>
          </bottom>
        </border>
      </dxf>
    </rfmt>
    <rfmt sheetId="1" sqref="U158" start="0" length="0">
      <dxf>
        <alignment horizontal="left" vertical="top" readingOrder="0"/>
        <border outline="0">
          <left style="thin">
            <color indexed="64"/>
          </left>
          <right style="thin">
            <color indexed="64"/>
          </right>
          <top style="thin">
            <color indexed="64"/>
          </top>
          <bottom style="thin">
            <color indexed="64"/>
          </bottom>
        </border>
      </dxf>
    </rfmt>
    <rfmt sheetId="1" sqref="V158" start="0" length="0">
      <dxf>
        <alignment horizontal="left" vertical="top" readingOrder="0"/>
        <border outline="0">
          <left style="thin">
            <color indexed="64"/>
          </left>
          <right style="thin">
            <color indexed="64"/>
          </right>
          <top style="thin">
            <color indexed="64"/>
          </top>
          <bottom style="thin">
            <color indexed="64"/>
          </bottom>
        </border>
      </dxf>
    </rfmt>
    <rfmt sheetId="1" sqref="W158" start="0" length="0">
      <dxf>
        <alignment horizontal="left" vertical="top" readingOrder="0"/>
        <border outline="0">
          <left style="thin">
            <color indexed="64"/>
          </left>
          <right style="thin">
            <color indexed="64"/>
          </right>
          <top style="thin">
            <color indexed="64"/>
          </top>
          <bottom style="thin">
            <color indexed="64"/>
          </bottom>
        </border>
      </dxf>
    </rfmt>
    <rfmt sheetId="1" sqref="X158" start="0" length="0">
      <dxf>
        <alignment horizontal="left" vertical="top" readingOrder="0"/>
        <border outline="0">
          <left style="thin">
            <color indexed="64"/>
          </left>
          <right style="thin">
            <color indexed="64"/>
          </right>
          <top style="thin">
            <color indexed="64"/>
          </top>
          <bottom style="thin">
            <color indexed="64"/>
          </bottom>
        </border>
      </dxf>
    </rfmt>
    <rfmt sheetId="1" sqref="Y158" start="0" length="0">
      <dxf>
        <alignment horizontal="left" vertical="top" readingOrder="0"/>
        <border outline="0">
          <left style="thin">
            <color indexed="64"/>
          </left>
          <right style="thin">
            <color indexed="64"/>
          </right>
          <top style="thin">
            <color indexed="64"/>
          </top>
          <bottom style="thin">
            <color indexed="64"/>
          </bottom>
        </border>
      </dxf>
    </rfmt>
    <rfmt sheetId="1" sqref="Z158" start="0" length="0">
      <dxf>
        <alignment horizontal="left" vertical="top" readingOrder="0"/>
        <border outline="0">
          <left style="thin">
            <color indexed="64"/>
          </left>
          <right style="thin">
            <color indexed="64"/>
          </right>
          <top style="thin">
            <color indexed="64"/>
          </top>
          <bottom style="thin">
            <color indexed="64"/>
          </bottom>
        </border>
      </dxf>
    </rfmt>
    <rfmt sheetId="1" sqref="AA158" start="0" length="0">
      <dxf>
        <alignment horizontal="left" vertical="top" readingOrder="0"/>
        <border outline="0">
          <left style="thin">
            <color indexed="64"/>
          </left>
          <right style="thin">
            <color indexed="64"/>
          </right>
          <top style="thin">
            <color indexed="64"/>
          </top>
          <bottom style="thin">
            <color indexed="64"/>
          </bottom>
        </border>
      </dxf>
    </rfmt>
    <rfmt sheetId="1" sqref="AB158" start="0" length="0">
      <dxf>
        <alignment horizontal="left" vertical="top" readingOrder="0"/>
        <border outline="0">
          <left style="thin">
            <color indexed="64"/>
          </left>
          <right style="thin">
            <color indexed="64"/>
          </right>
          <top style="thin">
            <color indexed="64"/>
          </top>
          <bottom style="thin">
            <color indexed="64"/>
          </bottom>
        </border>
      </dxf>
    </rfmt>
    <rfmt sheetId="1" sqref="AC15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15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15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15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158"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AH15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15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15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158"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AL158" start="0" length="0">
      <dxf>
        <alignment horizontal="left" vertical="top" readingOrder="0"/>
        <border outline="0">
          <left style="thin">
            <color indexed="64"/>
          </left>
          <right style="thin">
            <color indexed="64"/>
          </right>
          <top style="thin">
            <color indexed="64"/>
          </top>
          <bottom style="thin">
            <color indexed="64"/>
          </bottom>
        </border>
      </dxf>
    </rfmt>
    <rfmt sheetId="1" sqref="AM158" start="0" length="0">
      <dxf>
        <alignment horizontal="left" vertical="top" readingOrder="0"/>
        <border outline="0">
          <left style="thin">
            <color indexed="64"/>
          </left>
          <right style="thin">
            <color indexed="64"/>
          </right>
          <top style="thin">
            <color indexed="64"/>
          </top>
          <bottom style="thin">
            <color indexed="64"/>
          </bottom>
        </border>
      </dxf>
    </rfmt>
    <rfmt sheetId="1" sqref="AN158" start="0" length="0">
      <dxf>
        <alignment horizontal="left" vertical="top" readingOrder="0"/>
        <border outline="0">
          <left style="thin">
            <color indexed="64"/>
          </left>
          <right style="thin">
            <color indexed="64"/>
          </right>
          <top style="thin">
            <color indexed="64"/>
          </top>
          <bottom style="thin">
            <color indexed="64"/>
          </bottom>
        </border>
      </dxf>
    </rfmt>
  </rrc>
  <rrc rId="324" sId="1" ref="A158:XFD158" action="deleteRow">
    <undo index="0" exp="area" ref3D="1" dr="$K$1:$R$1048576" dn="Z_A2C66332_A809_458E_971B_FDB6D62C74C3_.wvu.Cols" sId="1"/>
    <rfmt sheetId="1" xfDxf="1" sqref="A158:XFD158" start="0" length="0"/>
    <rfmt sheetId="1" sqref="B158" start="0" length="0">
      <dxf>
        <font>
          <sz val="11"/>
          <color auto="1"/>
          <name val="Calibri"/>
          <scheme val="minor"/>
        </font>
        <fill>
          <patternFill patternType="solid">
            <bgColor theme="2"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C158" start="0" length="0">
      <dxf>
        <alignment horizontal="left" vertical="top" readingOrder="0"/>
        <border outline="0">
          <left style="thin">
            <color indexed="64"/>
          </left>
          <right style="thin">
            <color indexed="64"/>
          </right>
          <top style="thin">
            <color indexed="64"/>
          </top>
          <bottom style="thin">
            <color indexed="64"/>
          </bottom>
        </border>
      </dxf>
    </rfmt>
    <rfmt sheetId="1" sqref="D158" start="0" length="0">
      <dxf>
        <alignment horizontal="left" vertical="top" readingOrder="0"/>
        <border outline="0">
          <left style="thin">
            <color indexed="64"/>
          </left>
          <right style="thin">
            <color indexed="64"/>
          </right>
          <top style="thin">
            <color indexed="64"/>
          </top>
          <bottom style="thin">
            <color indexed="64"/>
          </bottom>
        </border>
      </dxf>
    </rfmt>
    <rfmt sheetId="1" sqref="E158" start="0" length="0">
      <dxf>
        <alignment horizontal="left" vertical="top" readingOrder="0"/>
        <border outline="0">
          <left style="thin">
            <color indexed="64"/>
          </left>
          <right style="thin">
            <color indexed="64"/>
          </right>
          <top style="thin">
            <color indexed="64"/>
          </top>
          <bottom style="thin">
            <color indexed="64"/>
          </bottom>
        </border>
      </dxf>
    </rfmt>
    <rfmt sheetId="1" sqref="F158" start="0" length="0">
      <dxf>
        <alignment horizontal="left" vertical="top" readingOrder="0"/>
        <border outline="0">
          <left style="thin">
            <color indexed="64"/>
          </left>
          <right style="thin">
            <color indexed="64"/>
          </right>
          <top style="thin">
            <color indexed="64"/>
          </top>
          <bottom style="thin">
            <color indexed="64"/>
          </bottom>
        </border>
      </dxf>
    </rfmt>
    <rfmt sheetId="1" sqref="G158" start="0" length="0">
      <dxf>
        <alignment horizontal="left" vertical="top" readingOrder="0"/>
        <border outline="0">
          <left style="thin">
            <color indexed="64"/>
          </left>
          <right style="thin">
            <color indexed="64"/>
          </right>
          <top style="thin">
            <color indexed="64"/>
          </top>
          <bottom style="thin">
            <color indexed="64"/>
          </bottom>
        </border>
      </dxf>
    </rfmt>
    <rfmt sheetId="1" sqref="H158"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I158" start="0" length="0">
      <dxf>
        <alignment horizontal="left" vertical="top" readingOrder="0"/>
        <border outline="0">
          <left style="thin">
            <color indexed="64"/>
          </left>
          <right style="thin">
            <color indexed="64"/>
          </right>
          <top style="thin">
            <color indexed="64"/>
          </top>
          <bottom style="thin">
            <color indexed="64"/>
          </bottom>
        </border>
      </dxf>
    </rfmt>
    <rfmt sheetId="1" sqref="J158"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K158" start="0" length="0">
      <dxf>
        <alignment horizontal="left" vertical="top" readingOrder="0"/>
        <border outline="0">
          <left style="thin">
            <color indexed="64"/>
          </left>
          <right style="thin">
            <color indexed="64"/>
          </right>
          <top style="thin">
            <color indexed="64"/>
          </top>
          <bottom style="thin">
            <color indexed="64"/>
          </bottom>
        </border>
      </dxf>
    </rfmt>
    <rfmt sheetId="1" sqref="L158" start="0" length="0">
      <dxf>
        <alignment horizontal="left" vertical="top" readingOrder="0"/>
        <border outline="0">
          <left style="thin">
            <color indexed="64"/>
          </left>
          <right style="thin">
            <color indexed="64"/>
          </right>
          <top style="thin">
            <color indexed="64"/>
          </top>
          <bottom style="thin">
            <color indexed="64"/>
          </bottom>
        </border>
      </dxf>
    </rfmt>
    <rfmt sheetId="1" sqref="M158" start="0" length="0">
      <dxf>
        <alignment horizontal="left" vertical="top" readingOrder="0"/>
        <border outline="0">
          <left style="thin">
            <color indexed="64"/>
          </left>
          <right style="thin">
            <color indexed="64"/>
          </right>
          <top style="thin">
            <color indexed="64"/>
          </top>
          <bottom style="thin">
            <color indexed="64"/>
          </bottom>
        </border>
      </dxf>
    </rfmt>
    <rfmt sheetId="1" sqref="N158" start="0" length="0">
      <dxf>
        <alignment horizontal="left" vertical="top" readingOrder="0"/>
        <border outline="0">
          <left style="thin">
            <color indexed="64"/>
          </left>
          <right style="thin">
            <color indexed="64"/>
          </right>
          <top style="thin">
            <color indexed="64"/>
          </top>
          <bottom style="thin">
            <color indexed="64"/>
          </bottom>
        </border>
      </dxf>
    </rfmt>
    <rfmt sheetId="1" sqref="O158" start="0" length="0">
      <dxf>
        <alignment horizontal="left" vertical="top" readingOrder="0"/>
        <border outline="0">
          <left style="thin">
            <color indexed="64"/>
          </left>
          <right style="thin">
            <color indexed="64"/>
          </right>
          <top style="thin">
            <color indexed="64"/>
          </top>
          <bottom style="thin">
            <color indexed="64"/>
          </bottom>
        </border>
      </dxf>
    </rfmt>
    <rfmt sheetId="1" sqref="P158" start="0" length="0">
      <dxf>
        <alignment horizontal="left" vertical="top" readingOrder="0"/>
        <border outline="0">
          <left style="thin">
            <color indexed="64"/>
          </left>
          <right style="thin">
            <color indexed="64"/>
          </right>
          <top style="thin">
            <color indexed="64"/>
          </top>
          <bottom style="thin">
            <color indexed="64"/>
          </bottom>
        </border>
      </dxf>
    </rfmt>
    <rfmt sheetId="1" sqref="Q158"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fmt sheetId="1" sqref="R158"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S158" start="0" length="0">
      <dxf>
        <alignment horizontal="left" vertical="top" readingOrder="0"/>
        <border outline="0">
          <left style="thin">
            <color indexed="64"/>
          </left>
          <right style="thin">
            <color indexed="64"/>
          </right>
          <top style="thin">
            <color indexed="64"/>
          </top>
          <bottom style="thin">
            <color indexed="64"/>
          </bottom>
        </border>
      </dxf>
    </rfmt>
    <rfmt sheetId="1" sqref="T158" start="0" length="0">
      <dxf>
        <alignment horizontal="left" vertical="top" readingOrder="0"/>
        <border outline="0">
          <left style="thin">
            <color indexed="64"/>
          </left>
          <right style="thin">
            <color indexed="64"/>
          </right>
          <top style="thin">
            <color indexed="64"/>
          </top>
          <bottom style="thin">
            <color indexed="64"/>
          </bottom>
        </border>
      </dxf>
    </rfmt>
    <rfmt sheetId="1" sqref="U158" start="0" length="0">
      <dxf>
        <alignment horizontal="left" vertical="top" readingOrder="0"/>
        <border outline="0">
          <left style="thin">
            <color indexed="64"/>
          </left>
          <right style="thin">
            <color indexed="64"/>
          </right>
          <top style="thin">
            <color indexed="64"/>
          </top>
          <bottom style="thin">
            <color indexed="64"/>
          </bottom>
        </border>
      </dxf>
    </rfmt>
    <rfmt sheetId="1" sqref="V158" start="0" length="0">
      <dxf>
        <alignment horizontal="left" vertical="top" readingOrder="0"/>
        <border outline="0">
          <left style="thin">
            <color indexed="64"/>
          </left>
          <right style="thin">
            <color indexed="64"/>
          </right>
          <top style="thin">
            <color indexed="64"/>
          </top>
          <bottom style="thin">
            <color indexed="64"/>
          </bottom>
        </border>
      </dxf>
    </rfmt>
    <rfmt sheetId="1" sqref="W158" start="0" length="0">
      <dxf>
        <alignment horizontal="left" vertical="top" readingOrder="0"/>
        <border outline="0">
          <left style="thin">
            <color indexed="64"/>
          </left>
          <right style="thin">
            <color indexed="64"/>
          </right>
          <top style="thin">
            <color indexed="64"/>
          </top>
          <bottom style="thin">
            <color indexed="64"/>
          </bottom>
        </border>
      </dxf>
    </rfmt>
    <rfmt sheetId="1" sqref="X158" start="0" length="0">
      <dxf>
        <alignment horizontal="left" vertical="top" readingOrder="0"/>
        <border outline="0">
          <left style="thin">
            <color indexed="64"/>
          </left>
          <right style="thin">
            <color indexed="64"/>
          </right>
          <top style="thin">
            <color indexed="64"/>
          </top>
          <bottom style="thin">
            <color indexed="64"/>
          </bottom>
        </border>
      </dxf>
    </rfmt>
    <rfmt sheetId="1" sqref="Y158" start="0" length="0">
      <dxf>
        <alignment horizontal="left" vertical="top" readingOrder="0"/>
        <border outline="0">
          <left style="thin">
            <color indexed="64"/>
          </left>
          <right style="thin">
            <color indexed="64"/>
          </right>
          <top style="thin">
            <color indexed="64"/>
          </top>
          <bottom style="thin">
            <color indexed="64"/>
          </bottom>
        </border>
      </dxf>
    </rfmt>
    <rfmt sheetId="1" sqref="Z158" start="0" length="0">
      <dxf>
        <alignment horizontal="left" vertical="top" readingOrder="0"/>
        <border outline="0">
          <left style="thin">
            <color indexed="64"/>
          </left>
          <right style="thin">
            <color indexed="64"/>
          </right>
          <top style="thin">
            <color indexed="64"/>
          </top>
          <bottom style="thin">
            <color indexed="64"/>
          </bottom>
        </border>
      </dxf>
    </rfmt>
    <rfmt sheetId="1" sqref="AA158" start="0" length="0">
      <dxf>
        <alignment horizontal="left" vertical="top" readingOrder="0"/>
        <border outline="0">
          <left style="thin">
            <color indexed="64"/>
          </left>
          <right style="thin">
            <color indexed="64"/>
          </right>
          <top style="thin">
            <color indexed="64"/>
          </top>
          <bottom style="thin">
            <color indexed="64"/>
          </bottom>
        </border>
      </dxf>
    </rfmt>
    <rfmt sheetId="1" sqref="AB158" start="0" length="0">
      <dxf>
        <alignment horizontal="left" vertical="top" readingOrder="0"/>
        <border outline="0">
          <left style="thin">
            <color indexed="64"/>
          </left>
          <right style="thin">
            <color indexed="64"/>
          </right>
          <top style="thin">
            <color indexed="64"/>
          </top>
          <bottom style="thin">
            <color indexed="64"/>
          </bottom>
        </border>
      </dxf>
    </rfmt>
    <rfmt sheetId="1" sqref="AC15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15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15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15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158"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AH15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15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15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158"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AL158" start="0" length="0">
      <dxf>
        <alignment horizontal="left" vertical="top" readingOrder="0"/>
        <border outline="0">
          <left style="thin">
            <color indexed="64"/>
          </left>
          <right style="thin">
            <color indexed="64"/>
          </right>
          <top style="thin">
            <color indexed="64"/>
          </top>
          <bottom style="thin">
            <color indexed="64"/>
          </bottom>
        </border>
      </dxf>
    </rfmt>
    <rfmt sheetId="1" sqref="AM158" start="0" length="0">
      <dxf>
        <alignment horizontal="left" vertical="top" readingOrder="0"/>
        <border outline="0">
          <left style="thin">
            <color indexed="64"/>
          </left>
          <right style="thin">
            <color indexed="64"/>
          </right>
          <top style="thin">
            <color indexed="64"/>
          </top>
          <bottom style="thin">
            <color indexed="64"/>
          </bottom>
        </border>
      </dxf>
    </rfmt>
    <rfmt sheetId="1" sqref="AN158" start="0" length="0">
      <dxf>
        <alignment horizontal="left" vertical="top" readingOrder="0"/>
        <border outline="0">
          <left style="thin">
            <color indexed="64"/>
          </left>
          <right style="thin">
            <color indexed="64"/>
          </right>
          <top style="thin">
            <color indexed="64"/>
          </top>
          <bottom style="thin">
            <color indexed="64"/>
          </bottom>
        </border>
      </dxf>
    </rfmt>
  </rrc>
  <rrc rId="325" sId="1" ref="A158:XFD158" action="deleteRow">
    <undo index="0" exp="area" ref3D="1" dr="$K$1:$R$1048576" dn="Z_A2C66332_A809_458E_971B_FDB6D62C74C3_.wvu.Cols" sId="1"/>
    <rfmt sheetId="1" xfDxf="1" sqref="A158:XFD158" start="0" length="0"/>
    <rfmt sheetId="1" sqref="B158" start="0" length="0">
      <dxf>
        <font>
          <sz val="11"/>
          <color auto="1"/>
          <name val="Calibri"/>
          <scheme val="minor"/>
        </font>
        <fill>
          <patternFill patternType="solid">
            <bgColor theme="2"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C158" start="0" length="0">
      <dxf>
        <alignment horizontal="left" vertical="top" readingOrder="0"/>
        <border outline="0">
          <left style="thin">
            <color indexed="64"/>
          </left>
          <right style="thin">
            <color indexed="64"/>
          </right>
          <top style="thin">
            <color indexed="64"/>
          </top>
          <bottom style="thin">
            <color indexed="64"/>
          </bottom>
        </border>
      </dxf>
    </rfmt>
    <rfmt sheetId="1" sqref="D158" start="0" length="0">
      <dxf>
        <alignment horizontal="left" vertical="top" readingOrder="0"/>
        <border outline="0">
          <left style="thin">
            <color indexed="64"/>
          </left>
          <right style="thin">
            <color indexed="64"/>
          </right>
          <top style="thin">
            <color indexed="64"/>
          </top>
          <bottom style="thin">
            <color indexed="64"/>
          </bottom>
        </border>
      </dxf>
    </rfmt>
    <rfmt sheetId="1" sqref="E158" start="0" length="0">
      <dxf>
        <alignment horizontal="left" vertical="top" readingOrder="0"/>
        <border outline="0">
          <left style="thin">
            <color indexed="64"/>
          </left>
          <right style="thin">
            <color indexed="64"/>
          </right>
          <top style="thin">
            <color indexed="64"/>
          </top>
          <bottom style="thin">
            <color indexed="64"/>
          </bottom>
        </border>
      </dxf>
    </rfmt>
    <rfmt sheetId="1" sqref="F158" start="0" length="0">
      <dxf>
        <alignment horizontal="left" vertical="top" readingOrder="0"/>
        <border outline="0">
          <left style="thin">
            <color indexed="64"/>
          </left>
          <right style="thin">
            <color indexed="64"/>
          </right>
          <top style="thin">
            <color indexed="64"/>
          </top>
          <bottom style="thin">
            <color indexed="64"/>
          </bottom>
        </border>
      </dxf>
    </rfmt>
    <rfmt sheetId="1" sqref="G158" start="0" length="0">
      <dxf>
        <alignment horizontal="left" vertical="top" readingOrder="0"/>
        <border outline="0">
          <left style="thin">
            <color indexed="64"/>
          </left>
          <right style="thin">
            <color indexed="64"/>
          </right>
          <top style="thin">
            <color indexed="64"/>
          </top>
          <bottom style="thin">
            <color indexed="64"/>
          </bottom>
        </border>
      </dxf>
    </rfmt>
    <rfmt sheetId="1" sqref="H158"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I158" start="0" length="0">
      <dxf>
        <alignment horizontal="left" vertical="top" readingOrder="0"/>
        <border outline="0">
          <left style="thin">
            <color indexed="64"/>
          </left>
          <right style="thin">
            <color indexed="64"/>
          </right>
          <top style="thin">
            <color indexed="64"/>
          </top>
          <bottom style="thin">
            <color indexed="64"/>
          </bottom>
        </border>
      </dxf>
    </rfmt>
    <rfmt sheetId="1" sqref="J158"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K158" start="0" length="0">
      <dxf>
        <alignment horizontal="left" vertical="top" readingOrder="0"/>
        <border outline="0">
          <left style="thin">
            <color indexed="64"/>
          </left>
          <right style="thin">
            <color indexed="64"/>
          </right>
          <top style="thin">
            <color indexed="64"/>
          </top>
          <bottom style="thin">
            <color indexed="64"/>
          </bottom>
        </border>
      </dxf>
    </rfmt>
    <rfmt sheetId="1" sqref="L158" start="0" length="0">
      <dxf>
        <alignment horizontal="left" vertical="top" readingOrder="0"/>
        <border outline="0">
          <left style="thin">
            <color indexed="64"/>
          </left>
          <right style="thin">
            <color indexed="64"/>
          </right>
          <top style="thin">
            <color indexed="64"/>
          </top>
          <bottom style="thin">
            <color indexed="64"/>
          </bottom>
        </border>
      </dxf>
    </rfmt>
    <rfmt sheetId="1" sqref="M158" start="0" length="0">
      <dxf>
        <alignment horizontal="left" vertical="top" readingOrder="0"/>
        <border outline="0">
          <left style="thin">
            <color indexed="64"/>
          </left>
          <right style="thin">
            <color indexed="64"/>
          </right>
          <top style="thin">
            <color indexed="64"/>
          </top>
          <bottom style="thin">
            <color indexed="64"/>
          </bottom>
        </border>
      </dxf>
    </rfmt>
    <rfmt sheetId="1" sqref="N158" start="0" length="0">
      <dxf>
        <alignment horizontal="left" vertical="top" readingOrder="0"/>
        <border outline="0">
          <left style="thin">
            <color indexed="64"/>
          </left>
          <right style="thin">
            <color indexed="64"/>
          </right>
          <top style="thin">
            <color indexed="64"/>
          </top>
          <bottom style="thin">
            <color indexed="64"/>
          </bottom>
        </border>
      </dxf>
    </rfmt>
    <rfmt sheetId="1" sqref="O158" start="0" length="0">
      <dxf>
        <alignment horizontal="left" vertical="top" readingOrder="0"/>
        <border outline="0">
          <left style="thin">
            <color indexed="64"/>
          </left>
          <right style="thin">
            <color indexed="64"/>
          </right>
          <top style="thin">
            <color indexed="64"/>
          </top>
          <bottom style="thin">
            <color indexed="64"/>
          </bottom>
        </border>
      </dxf>
    </rfmt>
    <rfmt sheetId="1" sqref="P158" start="0" length="0">
      <dxf>
        <alignment horizontal="left" vertical="top" readingOrder="0"/>
        <border outline="0">
          <left style="thin">
            <color indexed="64"/>
          </left>
          <right style="thin">
            <color indexed="64"/>
          </right>
          <top style="thin">
            <color indexed="64"/>
          </top>
          <bottom style="thin">
            <color indexed="64"/>
          </bottom>
        </border>
      </dxf>
    </rfmt>
    <rfmt sheetId="1" sqref="Q158"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fmt sheetId="1" sqref="R158"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S158" start="0" length="0">
      <dxf>
        <alignment horizontal="left" vertical="top" readingOrder="0"/>
        <border outline="0">
          <left style="thin">
            <color indexed="64"/>
          </left>
          <right style="thin">
            <color indexed="64"/>
          </right>
          <top style="thin">
            <color indexed="64"/>
          </top>
          <bottom style="thin">
            <color indexed="64"/>
          </bottom>
        </border>
      </dxf>
    </rfmt>
    <rfmt sheetId="1" sqref="T158" start="0" length="0">
      <dxf>
        <alignment horizontal="left" vertical="top" readingOrder="0"/>
        <border outline="0">
          <left style="thin">
            <color indexed="64"/>
          </left>
          <right style="thin">
            <color indexed="64"/>
          </right>
          <top style="thin">
            <color indexed="64"/>
          </top>
          <bottom style="thin">
            <color indexed="64"/>
          </bottom>
        </border>
      </dxf>
    </rfmt>
    <rfmt sheetId="1" sqref="U158" start="0" length="0">
      <dxf>
        <alignment horizontal="left" vertical="top" readingOrder="0"/>
        <border outline="0">
          <left style="thin">
            <color indexed="64"/>
          </left>
          <right style="thin">
            <color indexed="64"/>
          </right>
          <top style="thin">
            <color indexed="64"/>
          </top>
          <bottom style="thin">
            <color indexed="64"/>
          </bottom>
        </border>
      </dxf>
    </rfmt>
    <rfmt sheetId="1" sqref="V158" start="0" length="0">
      <dxf>
        <alignment horizontal="left" vertical="top" readingOrder="0"/>
        <border outline="0">
          <left style="thin">
            <color indexed="64"/>
          </left>
          <right style="thin">
            <color indexed="64"/>
          </right>
          <top style="thin">
            <color indexed="64"/>
          </top>
          <bottom style="thin">
            <color indexed="64"/>
          </bottom>
        </border>
      </dxf>
    </rfmt>
    <rfmt sheetId="1" sqref="W158" start="0" length="0">
      <dxf>
        <alignment horizontal="left" vertical="top" readingOrder="0"/>
        <border outline="0">
          <left style="thin">
            <color indexed="64"/>
          </left>
          <right style="thin">
            <color indexed="64"/>
          </right>
          <top style="thin">
            <color indexed="64"/>
          </top>
          <bottom style="thin">
            <color indexed="64"/>
          </bottom>
        </border>
      </dxf>
    </rfmt>
    <rfmt sheetId="1" sqref="X158" start="0" length="0">
      <dxf>
        <alignment horizontal="left" vertical="top" readingOrder="0"/>
        <border outline="0">
          <left style="thin">
            <color indexed="64"/>
          </left>
          <right style="thin">
            <color indexed="64"/>
          </right>
          <top style="thin">
            <color indexed="64"/>
          </top>
          <bottom style="thin">
            <color indexed="64"/>
          </bottom>
        </border>
      </dxf>
    </rfmt>
    <rfmt sheetId="1" sqref="Y158" start="0" length="0">
      <dxf>
        <alignment horizontal="left" vertical="top" readingOrder="0"/>
        <border outline="0">
          <left style="thin">
            <color indexed="64"/>
          </left>
          <right style="thin">
            <color indexed="64"/>
          </right>
          <top style="thin">
            <color indexed="64"/>
          </top>
          <bottom style="thin">
            <color indexed="64"/>
          </bottom>
        </border>
      </dxf>
    </rfmt>
    <rfmt sheetId="1" sqref="Z158" start="0" length="0">
      <dxf>
        <alignment horizontal="left" vertical="top" readingOrder="0"/>
        <border outline="0">
          <left style="thin">
            <color indexed="64"/>
          </left>
          <right style="thin">
            <color indexed="64"/>
          </right>
          <top style="thin">
            <color indexed="64"/>
          </top>
          <bottom style="thin">
            <color indexed="64"/>
          </bottom>
        </border>
      </dxf>
    </rfmt>
    <rfmt sheetId="1" sqref="AA158" start="0" length="0">
      <dxf>
        <alignment horizontal="left" vertical="top" readingOrder="0"/>
        <border outline="0">
          <left style="thin">
            <color indexed="64"/>
          </left>
          <right style="thin">
            <color indexed="64"/>
          </right>
          <top style="thin">
            <color indexed="64"/>
          </top>
          <bottom style="thin">
            <color indexed="64"/>
          </bottom>
        </border>
      </dxf>
    </rfmt>
    <rfmt sheetId="1" sqref="AB158" start="0" length="0">
      <dxf>
        <alignment horizontal="left" vertical="top" readingOrder="0"/>
        <border outline="0">
          <left style="thin">
            <color indexed="64"/>
          </left>
          <right style="thin">
            <color indexed="64"/>
          </right>
          <top style="thin">
            <color indexed="64"/>
          </top>
          <bottom style="thin">
            <color indexed="64"/>
          </bottom>
        </border>
      </dxf>
    </rfmt>
    <rfmt sheetId="1" sqref="AC15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15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15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15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158"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AH15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15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158"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158" start="0" length="0">
      <dxf>
        <font>
          <sz val="11"/>
          <color auto="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AL158" start="0" length="0">
      <dxf>
        <alignment horizontal="left" vertical="top" readingOrder="0"/>
        <border outline="0">
          <left style="thin">
            <color indexed="64"/>
          </left>
          <right style="thin">
            <color indexed="64"/>
          </right>
          <top style="thin">
            <color indexed="64"/>
          </top>
          <bottom style="thin">
            <color indexed="64"/>
          </bottom>
        </border>
      </dxf>
    </rfmt>
    <rfmt sheetId="1" sqref="AM158" start="0" length="0">
      <dxf>
        <alignment horizontal="left" vertical="top" readingOrder="0"/>
        <border outline="0">
          <left style="thin">
            <color indexed="64"/>
          </left>
          <right style="thin">
            <color indexed="64"/>
          </right>
          <top style="thin">
            <color indexed="64"/>
          </top>
          <bottom style="thin">
            <color indexed="64"/>
          </bottom>
        </border>
      </dxf>
    </rfmt>
    <rfmt sheetId="1" sqref="AN158" start="0" length="0">
      <dxf>
        <alignment horizontal="left" vertical="top" readingOrder="0"/>
        <border outline="0">
          <left style="thin">
            <color indexed="64"/>
          </left>
          <right style="thin">
            <color indexed="64"/>
          </right>
          <top style="thin">
            <color indexed="64"/>
          </top>
          <bottom style="thin">
            <color indexed="64"/>
          </bottom>
        </border>
      </dxf>
    </rfmt>
  </rrc>
  <rcc rId="326" sId="1" odxf="1" dxf="1">
    <nc r="E155" t="inlineStr">
      <is>
        <t>BAIC_C62XP_IB2</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327" sId="1" odxf="1" dxf="1" quotePrefix="1">
    <nc r="F155" t="inlineStr">
      <is>
        <t>rb\as\ib2_baic\core\app\dcom</t>
      </is>
    </nc>
    <ndxf>
      <font>
        <sz val="11"/>
        <color theme="1"/>
        <name val="Calibri"/>
        <scheme val="minor"/>
      </font>
      <fill>
        <patternFill patternType="none">
          <bgColor indexed="65"/>
        </patternFill>
      </fill>
      <alignment horizontal="left" vertical="top" readingOrder="0"/>
      <border outline="0">
        <left style="thin">
          <color indexed="64"/>
        </left>
        <right style="thin">
          <color indexed="64"/>
        </right>
        <top style="thin">
          <color indexed="64"/>
        </top>
        <bottom style="thin">
          <color indexed="64"/>
        </bottom>
      </border>
    </ndxf>
  </rcc>
  <rcc rId="328" sId="1" odxf="1" dxf="1">
    <nc r="E156" t="inlineStr">
      <is>
        <t>BAIC_C62XP_IB2</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329" sId="1" odxf="1" dxf="1" quotePrefix="1">
    <nc r="F156" t="inlineStr">
      <is>
        <t>rb\as\ib2_baic\core\app\dcom</t>
      </is>
    </nc>
    <ndxf>
      <font>
        <sz val="11"/>
        <color theme="1"/>
        <name val="Calibri"/>
        <scheme val="minor"/>
      </font>
      <fill>
        <patternFill patternType="none">
          <bgColor indexed="65"/>
        </patternFill>
      </fill>
      <alignment horizontal="left" vertical="top" readingOrder="0"/>
      <border outline="0">
        <left style="thin">
          <color indexed="64"/>
        </left>
        <right style="thin">
          <color indexed="64"/>
        </right>
        <top style="thin">
          <color indexed="64"/>
        </top>
        <bottom style="thin">
          <color indexed="64"/>
        </bottom>
      </border>
    </ndxf>
  </rcc>
  <rcc rId="330" sId="1" odxf="1" dxf="1">
    <nc r="E157" t="inlineStr">
      <is>
        <t>BAIC_C62XP_IB2</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331" sId="1" odxf="1" dxf="1" quotePrefix="1">
    <nc r="F157" t="inlineStr">
      <is>
        <t>rb\as\ib2_baic\core\app\dcom</t>
      </is>
    </nc>
    <ndxf>
      <font>
        <sz val="11"/>
        <color theme="1"/>
        <name val="Calibri"/>
        <scheme val="minor"/>
      </font>
      <fill>
        <patternFill patternType="none">
          <bgColor indexed="65"/>
        </patternFill>
      </fill>
      <alignment horizontal="left" vertical="top" readingOrder="0"/>
      <border outline="0">
        <left style="thin">
          <color indexed="64"/>
        </left>
        <right style="thin">
          <color indexed="64"/>
        </right>
        <top style="thin">
          <color indexed="64"/>
        </top>
        <bottom style="thin">
          <color indexed="64"/>
        </bottom>
      </border>
    </ndxf>
  </rcc>
  <rcc rId="332" sId="1">
    <nc r="G155">
      <v>1413225</v>
    </nc>
  </rcc>
  <rcc rId="333" sId="1">
    <nc r="G156">
      <v>1413225</v>
    </nc>
  </rcc>
  <rcc rId="334" sId="1">
    <nc r="G157">
      <v>1413225</v>
    </nc>
  </rcc>
  <rfmt sheetId="1" sqref="C155:G157">
    <dxf>
      <fill>
        <patternFill patternType="solid">
          <bgColor rgb="FFFFFF00"/>
        </patternFill>
      </fill>
    </dxf>
  </rfmt>
  <rcc rId="335" sId="1" odxf="1" dxf="1">
    <nc r="I155" t="inlineStr">
      <is>
        <t>RBAPLOBD_Data.c</t>
      </is>
    </nc>
    <ndxf>
      <font>
        <sz val="11"/>
        <color theme="1"/>
        <name val="Calibri"/>
        <scheme val="minor"/>
      </font>
      <fill>
        <patternFill patternType="none">
          <bgColor indexed="65"/>
        </patternFill>
      </fill>
      <alignment horizontal="left" vertical="top" readingOrder="0"/>
      <border outline="0">
        <left style="thin">
          <color indexed="64"/>
        </left>
        <right style="thin">
          <color indexed="64"/>
        </right>
        <top style="thin">
          <color indexed="64"/>
        </top>
        <bottom style="thin">
          <color indexed="64"/>
        </bottom>
      </border>
    </ndxf>
  </rcc>
  <rcc rId="336" sId="1" odxf="1" dxf="1">
    <nc r="I156" t="inlineStr">
      <is>
        <t>RBAPLOBD_Global.c</t>
      </is>
    </nc>
    <ndxf>
      <font>
        <sz val="11"/>
        <color theme="1"/>
        <name val="Calibri"/>
        <scheme val="minor"/>
      </font>
      <fill>
        <patternFill patternType="none">
          <bgColor indexed="65"/>
        </patternFill>
      </fill>
      <alignment horizontal="left" vertical="top" readingOrder="0"/>
      <border outline="0">
        <left style="thin">
          <color indexed="64"/>
        </left>
        <right style="thin">
          <color indexed="64"/>
        </right>
        <top style="thin">
          <color indexed="64"/>
        </top>
        <bottom style="thin">
          <color indexed="64"/>
        </bottom>
      </border>
    </ndxf>
  </rcc>
  <rcc rId="337" sId="1" odxf="1" dxf="1">
    <nc r="I157" t="inlineStr">
      <is>
        <t>RBAPLCUST_RDBI_AnalogData.c</t>
      </is>
    </nc>
    <ndxf>
      <font>
        <sz val="11"/>
        <color theme="1"/>
        <name val="Calibri"/>
        <scheme val="minor"/>
      </font>
      <fill>
        <patternFill patternType="none">
          <bgColor indexed="65"/>
        </patternFill>
      </fill>
      <alignment horizontal="left" vertical="top" readingOrder="0"/>
      <border outline="0">
        <left style="thin">
          <color indexed="64"/>
        </left>
        <right style="thin">
          <color indexed="64"/>
        </right>
        <top style="thin">
          <color indexed="64"/>
        </top>
        <bottom style="thin">
          <color indexed="64"/>
        </bottom>
      </border>
    </ndxf>
  </rcc>
  <rcc rId="338" sId="1" quotePrefix="1">
    <nc r="H155" t="inlineStr">
      <is>
        <t>-</t>
      </is>
    </nc>
  </rcc>
  <rcc rId="339" sId="1" quotePrefix="1">
    <nc r="H156" t="inlineStr">
      <is>
        <t>-</t>
      </is>
    </nc>
  </rcc>
  <rcc rId="340" sId="1" quotePrefix="1">
    <nc r="H157" t="inlineStr">
      <is>
        <t>-</t>
      </is>
    </nc>
  </rcc>
  <rcc rId="341" sId="1" quotePrefix="1">
    <nc r="J155" t="inlineStr">
      <is>
        <t>-</t>
      </is>
    </nc>
  </rcc>
  <rcc rId="342" sId="1" quotePrefix="1">
    <nc r="J156" t="inlineStr">
      <is>
        <t>-</t>
      </is>
    </nc>
  </rcc>
  <rcc rId="343" sId="1" quotePrefix="1">
    <nc r="J157" t="inlineStr">
      <is>
        <t>-</t>
      </is>
    </nc>
  </rcc>
  <rcc rId="344" sId="1">
    <nc r="L155">
      <v>80329</v>
    </nc>
  </rcc>
  <rcc rId="345" sId="1">
    <nc r="L156">
      <v>80329</v>
    </nc>
  </rcc>
  <rcc rId="346" sId="1">
    <nc r="L157">
      <v>80329</v>
    </nc>
  </rcc>
  <rcc rId="347" sId="1">
    <nc r="K155" t="inlineStr">
      <is>
        <t>Auto</t>
      </is>
    </nc>
  </rcc>
  <rcc rId="348" sId="1">
    <nc r="K156" t="inlineStr">
      <is>
        <t>Auto</t>
      </is>
    </nc>
  </rcc>
  <rcc rId="349" sId="1">
    <nc r="K157" t="inlineStr">
      <is>
        <t>Auto</t>
      </is>
    </nc>
  </rcc>
  <rcc rId="350" sId="1">
    <nc r="M155" t="inlineStr">
      <is>
        <t>BL50</t>
      </is>
    </nc>
  </rcc>
  <rcc rId="351" sId="1">
    <nc r="M156" t="inlineStr">
      <is>
        <t>BL50</t>
      </is>
    </nc>
  </rcc>
  <rcc rId="352" sId="1">
    <nc r="M157" t="inlineStr">
      <is>
        <t>BL50</t>
      </is>
    </nc>
  </rcc>
  <rcc rId="353" sId="1" quotePrefix="1">
    <nc r="P155" t="inlineStr">
      <is>
        <t>LIANG Xin (CC-AS/EVA-SW33-CN)</t>
      </is>
    </nc>
  </rcc>
  <rcc rId="354" sId="1" quotePrefix="1">
    <nc r="P156" t="inlineStr">
      <is>
        <t>LIANG Xin (CC-AS/EVA-SW33-CN)</t>
      </is>
    </nc>
  </rcc>
  <rcc rId="355" sId="1" quotePrefix="1">
    <nc r="P157" t="inlineStr">
      <is>
        <t>LIANG Xin (CC-AS/EVA-SW33-CN)</t>
      </is>
    </nc>
  </rcc>
  <rfmt sheetId="1" sqref="N155" start="0" length="0">
    <dxf>
      <alignment horizontal="general" vertical="bottom" readingOrder="0"/>
      <border outline="0">
        <left/>
        <right/>
        <top/>
        <bottom/>
      </border>
    </dxf>
  </rfmt>
  <rfmt sheetId="1" xfDxf="1" sqref="N155" start="0" length="0">
    <dxf>
      <font>
        <color rgb="FF1F497D"/>
      </font>
    </dxf>
  </rfmt>
  <rfmt sheetId="1" sqref="N156" start="0" length="0">
    <dxf>
      <font>
        <sz val="11"/>
        <color rgb="FF1F497D"/>
        <name val="Calibri"/>
        <scheme val="minor"/>
      </font>
      <alignment horizontal="general" vertical="bottom" readingOrder="0"/>
      <border outline="0">
        <left/>
        <right/>
        <top/>
        <bottom/>
      </border>
    </dxf>
  </rfmt>
  <rfmt sheetId="1" sqref="N157" start="0" length="0">
    <dxf>
      <font>
        <sz val="11"/>
        <color rgb="FF1F497D"/>
        <name val="Calibri"/>
        <scheme val="minor"/>
      </font>
      <alignment horizontal="general" vertical="bottom" readingOrder="0"/>
      <border outline="0">
        <left/>
        <right/>
        <top/>
        <bottom/>
      </border>
    </dxf>
  </rfmt>
  <rcc rId="356" sId="1" odxf="1" dxf="1">
    <nc r="N155" t="inlineStr">
      <is>
        <t>BAIC_C62XP_IBooster_Int</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357" sId="1" odxf="1" dxf="1">
    <nc r="N156" t="inlineStr">
      <is>
        <t>BAIC_C62XP_IBooster_Int</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cc rId="358" sId="1" odxf="1" dxf="1">
    <nc r="N157" t="inlineStr">
      <is>
        <t>BAIC_C62XP_IBooster_Int</t>
      </is>
    </nc>
    <n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ndxf>
  </rcc>
  <rfmt sheetId="1" sqref="V155" start="0" length="0">
    <dxf>
      <alignment horizontal="general" vertical="bottom" readingOrder="0"/>
      <border outline="0">
        <left/>
        <right/>
        <top/>
        <bottom/>
      </border>
    </dxf>
  </rfmt>
  <rfmt sheetId="1" sqref="V156" start="0" length="0">
    <dxf>
      <alignment horizontal="general" vertical="bottom" readingOrder="0"/>
      <border outline="0">
        <left/>
        <right/>
        <top/>
        <bottom/>
      </border>
    </dxf>
  </rfmt>
  <rfmt sheetId="1" sqref="V157" start="0" length="0">
    <dxf>
      <alignment horizontal="general" vertical="bottom" readingOrder="0"/>
      <border outline="0">
        <left/>
        <right/>
        <top/>
        <bottom/>
      </border>
    </dxf>
  </rfmt>
  <rfmt sheetId="1" xfDxf="1" sqref="V155" start="0" length="0">
    <dxf>
      <font>
        <sz val="10"/>
        <name val="Arial"/>
        <scheme val="none"/>
      </font>
      <fill>
        <patternFill patternType="solid">
          <bgColor rgb="FFFFFFFF"/>
        </patternFill>
      </fill>
      <alignment vertical="center" readingOrder="0"/>
      <border outline="0">
        <right style="medium">
          <color indexed="64"/>
        </right>
        <bottom style="medium">
          <color indexed="64"/>
        </bottom>
      </border>
    </dxf>
  </rfmt>
  <rfmt sheetId="1" xfDxf="1" sqref="V156" start="0" length="0">
    <dxf>
      <font>
        <sz val="10"/>
        <name val="Arial"/>
        <scheme val="none"/>
      </font>
      <fill>
        <patternFill patternType="solid">
          <bgColor rgb="FFFFFFFF"/>
        </patternFill>
      </fill>
      <alignment vertical="center" readingOrder="0"/>
      <border outline="0">
        <right style="medium">
          <color indexed="64"/>
        </right>
        <bottom style="medium">
          <color indexed="64"/>
        </bottom>
      </border>
    </dxf>
  </rfmt>
  <rfmt sheetId="1" xfDxf="1" sqref="V157" start="0" length="0">
    <dxf>
      <font>
        <sz val="10"/>
        <name val="Arial"/>
        <scheme val="none"/>
      </font>
      <fill>
        <patternFill patternType="solid">
          <bgColor rgb="FFFFFFFF"/>
        </patternFill>
      </fill>
      <alignment vertical="center" readingOrder="0"/>
      <border outline="0">
        <right style="medium">
          <color indexed="64"/>
        </right>
        <bottom style="medium">
          <color indexed="64"/>
        </bottom>
      </border>
    </dxf>
  </rfmt>
  <rcc rId="359" sId="1" odxf="1" dxf="1">
    <nc r="V155">
      <v>199</v>
    </nc>
    <ndxf>
      <font>
        <sz val="11"/>
        <color theme="1"/>
        <name val="Calibri"/>
        <scheme val="minor"/>
      </font>
      <fill>
        <patternFill patternType="none">
          <bgColor indexed="65"/>
        </patternFill>
      </fill>
      <alignment horizontal="left" vertical="top" readingOrder="0"/>
      <border outline="0">
        <left style="thin">
          <color indexed="64"/>
        </left>
        <right style="thin">
          <color indexed="64"/>
        </right>
        <top style="thin">
          <color indexed="64"/>
        </top>
        <bottom style="thin">
          <color indexed="64"/>
        </bottom>
      </border>
    </ndxf>
  </rcc>
  <rcc rId="360" sId="1" odxf="1" dxf="1">
    <nc r="V156">
      <v>6</v>
    </nc>
    <ndxf>
      <font>
        <sz val="11"/>
        <color theme="1"/>
        <name val="Calibri"/>
        <scheme val="minor"/>
      </font>
      <fill>
        <patternFill patternType="none">
          <bgColor indexed="65"/>
        </patternFill>
      </fill>
      <alignment horizontal="left" vertical="top" readingOrder="0"/>
      <border outline="0">
        <left style="thin">
          <color indexed="64"/>
        </left>
        <right style="thin">
          <color indexed="64"/>
        </right>
        <top style="thin">
          <color indexed="64"/>
        </top>
        <bottom style="thin">
          <color indexed="64"/>
        </bottom>
      </border>
    </ndxf>
  </rcc>
  <rcc rId="361" sId="1" odxf="1" dxf="1">
    <nc r="V157">
      <v>72</v>
    </nc>
    <ndxf>
      <font>
        <sz val="11"/>
        <color theme="1"/>
        <name val="Calibri"/>
        <scheme val="minor"/>
      </font>
      <fill>
        <patternFill patternType="none">
          <bgColor indexed="65"/>
        </patternFill>
      </fill>
      <alignment horizontal="left" vertical="top" readingOrder="0"/>
      <border outline="0">
        <left style="thin">
          <color indexed="64"/>
        </left>
        <right style="thin">
          <color indexed="64"/>
        </right>
        <top style="thin">
          <color indexed="64"/>
        </top>
        <bottom style="thin">
          <color indexed="64"/>
        </bottom>
      </border>
    </ndxf>
  </rcc>
  <rcc rId="362" sId="1">
    <nc r="W155">
      <f>V155</f>
    </nc>
  </rcc>
  <rcc rId="363" sId="1">
    <nc r="W156">
      <f>V156</f>
    </nc>
  </rcc>
  <rcc rId="364" sId="1">
    <nc r="W157">
      <f>V157</f>
    </nc>
  </rcc>
  <rcc rId="365" sId="1">
    <nc r="Y155">
      <f>ROUNDDOWN(W155/HLOOKUP(D155,Table!$C$3:$D$4,2,0)*8,2)</f>
    </nc>
  </rcc>
  <rcc rId="366" sId="1">
    <nc r="Y156">
      <f>ROUNDDOWN(W156/HLOOKUP(D156,Table!$C$3:$D$4,2,0)*8,2)</f>
    </nc>
  </rcc>
  <rcc rId="367" sId="1">
    <nc r="Y157">
      <f>ROUNDDOWN(W157/HLOOKUP(D157,Table!$C$3:$D$4,2,0)*8,2)</f>
    </nc>
  </rcc>
  <rcv guid="{250915DF-0B97-45D7-B29D-7EED4C89C1C1}" action="delete"/>
  <rdn rId="0" localSheetId="1" customView="1" name="Z_250915DF_0B97_45D7_B29D_7EED4C89C1C1_.wvu.FilterData" hidden="1" oldHidden="1">
    <formula>COEM_Data_20200414!$B$47:$AN$312</formula>
    <oldFormula>COEM_Data_20200414!$B$47:$AN$312</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72" sId="1">
    <oc r="B158">
      <v>108</v>
    </oc>
    <nc r="B158">
      <v>111</v>
    </nc>
  </rcc>
  <rcc rId="373" sId="1">
    <oc r="B159">
      <v>109</v>
    </oc>
    <nc r="B159">
      <v>112</v>
    </nc>
  </rcc>
  <rcc rId="374" sId="1">
    <oc r="B160">
      <v>110</v>
    </oc>
    <nc r="B160">
      <v>113</v>
    </nc>
  </rcc>
  <rcc rId="375" sId="1">
    <oc r="B161">
      <v>111</v>
    </oc>
    <nc r="B161">
      <v>114</v>
    </nc>
  </rcc>
  <rcc rId="376" sId="1">
    <oc r="B162">
      <v>112</v>
    </oc>
    <nc r="B162">
      <v>115</v>
    </nc>
  </rcc>
  <rcc rId="377" sId="1">
    <oc r="B163">
      <v>113</v>
    </oc>
    <nc r="B163">
      <v>116</v>
    </nc>
  </rcc>
  <rcc rId="378" sId="1">
    <oc r="B164">
      <v>114</v>
    </oc>
    <nc r="B164">
      <v>117</v>
    </nc>
  </rcc>
  <rcc rId="379" sId="1">
    <oc r="B165">
      <v>115</v>
    </oc>
    <nc r="B165">
      <v>118</v>
    </nc>
  </rcc>
  <rcc rId="380" sId="1">
    <oc r="B166">
      <v>116</v>
    </oc>
    <nc r="B166">
      <v>119</v>
    </nc>
  </rcc>
  <rcc rId="381" sId="1">
    <oc r="B167">
      <v>117</v>
    </oc>
    <nc r="B167">
      <v>120</v>
    </nc>
  </rcc>
  <rcc rId="382" sId="1">
    <oc r="B168">
      <v>118</v>
    </oc>
    <nc r="B168">
      <v>121</v>
    </nc>
  </rcc>
  <rcc rId="383" sId="1">
    <oc r="B169">
      <v>119</v>
    </oc>
    <nc r="B169">
      <v>122</v>
    </nc>
  </rcc>
  <rcc rId="384" sId="1">
    <oc r="B170">
      <v>120</v>
    </oc>
    <nc r="B170">
      <v>123</v>
    </nc>
  </rcc>
  <rcc rId="385" sId="1">
    <oc r="B171">
      <v>121</v>
    </oc>
    <nc r="B171">
      <v>124</v>
    </nc>
  </rcc>
  <rcc rId="386" sId="1">
    <oc r="B172">
      <v>122</v>
    </oc>
    <nc r="B172">
      <v>125</v>
    </nc>
  </rcc>
  <rcc rId="387" sId="1">
    <oc r="B173">
      <v>123</v>
    </oc>
    <nc r="B173">
      <v>126</v>
    </nc>
  </rcc>
  <rcc rId="388" sId="1">
    <oc r="B174">
      <v>124</v>
    </oc>
    <nc r="B174">
      <v>127</v>
    </nc>
  </rcc>
  <rcc rId="389" sId="1">
    <oc r="B175">
      <v>125</v>
    </oc>
    <nc r="B175">
      <v>128</v>
    </nc>
  </rcc>
  <rcc rId="390" sId="1">
    <oc r="B176">
      <v>126</v>
    </oc>
    <nc r="B176">
      <v>129</v>
    </nc>
  </rcc>
  <rcc rId="391" sId="1">
    <oc r="B177">
      <v>127</v>
    </oc>
    <nc r="B177">
      <v>130</v>
    </nc>
  </rcc>
  <rcc rId="392" sId="1">
    <oc r="B178">
      <v>128</v>
    </oc>
    <nc r="B178">
      <v>131</v>
    </nc>
  </rcc>
  <rcc rId="393" sId="1">
    <oc r="B179">
      <v>129</v>
    </oc>
    <nc r="B179">
      <v>132</v>
    </nc>
  </rcc>
  <rcc rId="394" sId="1">
    <oc r="B180">
      <v>130</v>
    </oc>
    <nc r="B180">
      <v>133</v>
    </nc>
  </rcc>
  <rcc rId="395" sId="1">
    <oc r="B181">
      <v>131</v>
    </oc>
    <nc r="B181">
      <v>134</v>
    </nc>
  </rcc>
  <rcc rId="396" sId="1">
    <oc r="B182">
      <v>132</v>
    </oc>
    <nc r="B182">
      <v>135</v>
    </nc>
  </rcc>
  <rcc rId="397" sId="1">
    <oc r="B183">
      <v>133</v>
    </oc>
    <nc r="B183">
      <v>136</v>
    </nc>
  </rcc>
  <rcc rId="398" sId="1">
    <oc r="B184">
      <v>134</v>
    </oc>
    <nc r="B184">
      <v>137</v>
    </nc>
  </rcc>
  <rcc rId="399" sId="1">
    <oc r="B185">
      <v>135</v>
    </oc>
    <nc r="B185">
      <v>138</v>
    </nc>
  </rcc>
  <rcc rId="400" sId="1">
    <oc r="B186">
      <v>136</v>
    </oc>
    <nc r="B186">
      <v>139</v>
    </nc>
  </rcc>
  <rcc rId="401" sId="1">
    <oc r="B187">
      <v>137</v>
    </oc>
    <nc r="B187">
      <v>140</v>
    </nc>
  </rcc>
  <rcc rId="402" sId="1">
    <oc r="B188">
      <v>138</v>
    </oc>
    <nc r="B188">
      <v>141</v>
    </nc>
  </rcc>
  <rcc rId="403" sId="1">
    <oc r="B189">
      <v>139</v>
    </oc>
    <nc r="B189">
      <v>142</v>
    </nc>
  </rcc>
  <rcc rId="404" sId="1">
    <oc r="B190">
      <v>140</v>
    </oc>
    <nc r="B190">
      <v>143</v>
    </nc>
  </rcc>
  <rcc rId="405" sId="1">
    <oc r="B191">
      <v>141</v>
    </oc>
    <nc r="B191">
      <v>144</v>
    </nc>
  </rcc>
  <rcc rId="406" sId="1">
    <oc r="B192">
      <v>142</v>
    </oc>
    <nc r="B192">
      <v>145</v>
    </nc>
  </rcc>
  <rcc rId="407" sId="1">
    <oc r="B193">
      <v>143</v>
    </oc>
    <nc r="B193">
      <v>146</v>
    </nc>
  </rcc>
  <rcc rId="408" sId="1">
    <oc r="B194">
      <v>144</v>
    </oc>
    <nc r="B194">
      <v>147</v>
    </nc>
  </rcc>
  <rcc rId="409" sId="1">
    <oc r="B195">
      <v>145</v>
    </oc>
    <nc r="B195">
      <v>148</v>
    </nc>
  </rcc>
  <rcc rId="410" sId="1">
    <oc r="B196">
      <v>146</v>
    </oc>
    <nc r="B196">
      <v>149</v>
    </nc>
  </rcc>
  <rcc rId="411" sId="1">
    <oc r="B197">
      <v>147</v>
    </oc>
    <nc r="B197">
      <v>150</v>
    </nc>
  </rcc>
  <rcc rId="412" sId="1">
    <oc r="B198">
      <v>148</v>
    </oc>
    <nc r="B198">
      <v>151</v>
    </nc>
  </rcc>
  <rcc rId="413" sId="1">
    <oc r="B199">
      <v>149</v>
    </oc>
    <nc r="B199">
      <v>152</v>
    </nc>
  </rcc>
  <rcc rId="414" sId="1">
    <oc r="B200">
      <v>150</v>
    </oc>
    <nc r="B200">
      <v>153</v>
    </nc>
  </rcc>
  <rcc rId="415" sId="1">
    <oc r="B201">
      <v>151</v>
    </oc>
    <nc r="B201">
      <v>154</v>
    </nc>
  </rcc>
  <rcc rId="416" sId="1">
    <oc r="B202">
      <v>152</v>
    </oc>
    <nc r="B202">
      <v>155</v>
    </nc>
  </rcc>
  <rcc rId="417" sId="1">
    <oc r="B203">
      <v>153</v>
    </oc>
    <nc r="B203">
      <v>156</v>
    </nc>
  </rcc>
  <rcc rId="418" sId="1">
    <oc r="B204">
      <v>154</v>
    </oc>
    <nc r="B204">
      <v>157</v>
    </nc>
  </rcc>
  <rcc rId="419" sId="1">
    <oc r="B205">
      <v>155</v>
    </oc>
    <nc r="B205">
      <v>158</v>
    </nc>
  </rcc>
  <rcc rId="420" sId="1">
    <oc r="B206">
      <v>156</v>
    </oc>
    <nc r="B206">
      <v>159</v>
    </nc>
  </rcc>
  <rcc rId="421" sId="1">
    <oc r="B207">
      <v>157</v>
    </oc>
    <nc r="B207">
      <v>160</v>
    </nc>
  </rcc>
  <rcc rId="422" sId="1">
    <oc r="B208">
      <v>158</v>
    </oc>
    <nc r="B208">
      <v>161</v>
    </nc>
  </rcc>
  <rcc rId="423" sId="1">
    <oc r="B209">
      <v>159</v>
    </oc>
    <nc r="B209">
      <v>162</v>
    </nc>
  </rcc>
  <rcc rId="424" sId="1">
    <oc r="B210">
      <v>160</v>
    </oc>
    <nc r="B210">
      <v>163</v>
    </nc>
  </rcc>
  <rcc rId="425" sId="1">
    <oc r="B211">
      <v>161</v>
    </oc>
    <nc r="B211">
      <v>164</v>
    </nc>
  </rcc>
  <rcc rId="426" sId="1">
    <oc r="B212">
      <v>162</v>
    </oc>
    <nc r="B212">
      <v>165</v>
    </nc>
  </rcc>
  <rcc rId="427" sId="1">
    <oc r="B213">
      <v>163</v>
    </oc>
    <nc r="B213">
      <v>166</v>
    </nc>
  </rcc>
  <rcc rId="428" sId="1">
    <oc r="B214">
      <v>164</v>
    </oc>
    <nc r="B214">
      <v>167</v>
    </nc>
  </rcc>
  <rcc rId="429" sId="1">
    <oc r="B215">
      <v>165</v>
    </oc>
    <nc r="B215">
      <v>168</v>
    </nc>
  </rcc>
  <rcc rId="430" sId="1">
    <oc r="B216">
      <v>166</v>
    </oc>
    <nc r="B216">
      <v>169</v>
    </nc>
  </rcc>
  <rcc rId="431" sId="1">
    <oc r="B217">
      <v>167</v>
    </oc>
    <nc r="B217">
      <v>170</v>
    </nc>
  </rcc>
  <rcc rId="432" sId="1">
    <oc r="B218">
      <v>168</v>
    </oc>
    <nc r="B218">
      <v>171</v>
    </nc>
  </rcc>
  <rcc rId="433" sId="1">
    <oc r="B219">
      <v>169</v>
    </oc>
    <nc r="B219">
      <v>172</v>
    </nc>
  </rcc>
  <rcc rId="434" sId="1">
    <oc r="B220">
      <v>170</v>
    </oc>
    <nc r="B220">
      <v>173</v>
    </nc>
  </rcc>
  <rcc rId="435" sId="1">
    <oc r="B221">
      <v>171</v>
    </oc>
    <nc r="B221">
      <v>174</v>
    </nc>
  </rcc>
  <rcc rId="436" sId="1">
    <oc r="B222">
      <v>172</v>
    </oc>
    <nc r="B222">
      <v>175</v>
    </nc>
  </rcc>
  <rcc rId="437" sId="1">
    <oc r="B223">
      <v>173</v>
    </oc>
    <nc r="B223">
      <v>176</v>
    </nc>
  </rcc>
  <rcc rId="438" sId="1">
    <oc r="B224">
      <v>174</v>
    </oc>
    <nc r="B224">
      <v>177</v>
    </nc>
  </rcc>
  <rcc rId="439" sId="1">
    <oc r="B225">
      <v>175</v>
    </oc>
    <nc r="B225">
      <v>178</v>
    </nc>
  </rcc>
  <rcc rId="440" sId="1">
    <oc r="B226">
      <v>176</v>
    </oc>
    <nc r="B226">
      <v>179</v>
    </nc>
  </rcc>
  <rcc rId="441" sId="1">
    <oc r="B227">
      <v>177</v>
    </oc>
    <nc r="B227">
      <v>180</v>
    </nc>
  </rcc>
  <rcc rId="442" sId="1">
    <oc r="B228">
      <v>178</v>
    </oc>
    <nc r="B228">
      <v>181</v>
    </nc>
  </rcc>
  <rcc rId="443" sId="1">
    <oc r="B229">
      <v>179</v>
    </oc>
    <nc r="B229">
      <v>182</v>
    </nc>
  </rcc>
  <rcc rId="444" sId="1">
    <oc r="B230">
      <v>180</v>
    </oc>
    <nc r="B230">
      <v>183</v>
    </nc>
  </rcc>
</revisions>
</file>

<file path=xl/revisions/revisionLog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45" sId="1" numFmtId="19">
    <nc r="AD155">
      <v>43938</v>
    </nc>
  </rcc>
  <rcc rId="446" sId="1" numFmtId="19">
    <nc r="AD156">
      <v>43938</v>
    </nc>
  </rcc>
  <rcc rId="447" sId="1" numFmtId="19">
    <nc r="AD157">
      <v>43938</v>
    </nc>
  </rcc>
  <rcc rId="448" sId="1" numFmtId="19">
    <nc r="AC155">
      <v>43937</v>
    </nc>
  </rcc>
  <rcc rId="449" sId="1" numFmtId="19">
    <nc r="AC156">
      <v>43937</v>
    </nc>
  </rcc>
  <rcc rId="450" sId="1" numFmtId="19">
    <nc r="AC157">
      <v>43937</v>
    </nc>
  </rcc>
</revisions>
</file>

<file path=xl/revisions/revisionLog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51" sId="1">
    <nc r="AN153" t="inlineStr">
      <is>
        <t>542 Line code</t>
      </is>
    </nc>
  </rcc>
  <rcc rId="452" sId="1" numFmtId="19">
    <nc r="AE153">
      <v>43938</v>
    </nc>
  </rcc>
  <rcc rId="453" sId="1" numFmtId="19">
    <nc r="AF153">
      <v>43938</v>
    </nc>
  </rcc>
  <rcc rId="454" sId="1" numFmtId="19">
    <nc r="AE154">
      <v>43938</v>
    </nc>
  </rcc>
  <rcc rId="455" sId="1" numFmtId="19">
    <nc r="AF154">
      <v>43938</v>
    </nc>
  </rcc>
  <rcc rId="456" sId="1">
    <nc r="AG153" t="inlineStr">
      <is>
        <t>OK</t>
      </is>
    </nc>
  </rcc>
  <rcc rId="457" sId="1">
    <nc r="AG154" t="inlineStr">
      <is>
        <t>OK</t>
      </is>
    </nc>
  </rcc>
  <rcc rId="458" sId="1" numFmtId="14">
    <nc r="AH153">
      <v>1</v>
    </nc>
  </rcc>
  <rcc rId="459" sId="1" numFmtId="14">
    <nc r="AH154">
      <v>1</v>
    </nc>
  </rcc>
  <rcc rId="460" sId="1" numFmtId="14">
    <nc r="AI153">
      <v>1</v>
    </nc>
  </rcc>
  <rcc rId="461" sId="1" numFmtId="14">
    <nc r="AJ153">
      <v>1</v>
    </nc>
  </rcc>
  <rcc rId="462" sId="1" numFmtId="14">
    <nc r="AI154">
      <v>1</v>
    </nc>
  </rcc>
  <rcc rId="463" sId="1" numFmtId="14">
    <nc r="AJ154">
      <v>1</v>
    </nc>
  </rcc>
  <rcv guid="{7ECC2B8E-6A82-42F5-8AB0-4A51C54EA5EC}" action="delete"/>
  <rdn rId="0" localSheetId="1" customView="1" name="Z_7ECC2B8E_6A82_42F5_8AB0_4A51C54EA5EC_.wvu.FilterData" hidden="1" oldHidden="1">
    <formula>COEM_Data_20200414!$B$47:$AN$312</formula>
    <oldFormula>COEM_Data_20200414!$B$47:$AN$312</oldFormula>
  </rdn>
  <rdn rId="0" localSheetId="2" customView="1" name="Z_7ECC2B8E_6A82_42F5_8AB0_4A51C54EA5EC_.wvu.FilterData" hidden="1" oldHidden="1">
    <formula>Merged!$B$62:$AK$313</formula>
    <oldFormula>Merged!$B$62:$AK$313</oldFormula>
  </rdn>
  <rdn rId="0" localSheetId="10" customView="1" name="Z_7ECC2B8E_6A82_42F5_8AB0_4A51C54EA5EC_.wvu.FilterData" hidden="1" oldHidden="1">
    <formula>Not_Fill_Data_20200321_20200420!$P$49:$P$219</formula>
    <oldFormula>Not_Fill_Data_20200321_20200420!$P$49:$P$219</oldFormula>
  </rdn>
  <rdn rId="0" localSheetId="11" customView="1" name="Z_7ECC2B8E_6A82_42F5_8AB0_4A51C54EA5EC_.wvu.FilterData" hidden="1" oldHidden="1">
    <formula>Not_Fill_Data_20200305_20200320!$B$37:$AK$106</formula>
    <oldFormula>Not_Fill_Data_20200305_20200320!$B$37:$AK$106</oldFormula>
  </rdn>
  <rcv guid="{7ECC2B8E-6A82-42F5-8AB0-4A51C54EA5EC}" action="add"/>
</revisions>
</file>

<file path=xl/revisions/revisionLog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68" sId="1">
    <nc r="AA153" t="inlineStr">
      <is>
        <t>Ready for review</t>
      </is>
    </nc>
  </rcc>
  <rcc rId="469" sId="1">
    <nc r="AA154" t="inlineStr">
      <is>
        <t>Ready for review</t>
      </is>
    </nc>
  </rcc>
  <rcv guid="{7ECC2B8E-6A82-42F5-8AB0-4A51C54EA5EC}" action="delete"/>
  <rdn rId="0" localSheetId="1" customView="1" name="Z_7ECC2B8E_6A82_42F5_8AB0_4A51C54EA5EC_.wvu.FilterData" hidden="1" oldHidden="1">
    <formula>COEM_Data_20200414!$B$47:$AN$312</formula>
    <oldFormula>COEM_Data_20200414!$B$47:$AN$312</oldFormula>
  </rdn>
  <rdn rId="0" localSheetId="2" customView="1" name="Z_7ECC2B8E_6A82_42F5_8AB0_4A51C54EA5EC_.wvu.FilterData" hidden="1" oldHidden="1">
    <formula>Merged!$B$62:$AK$313</formula>
    <oldFormula>Merged!$B$62:$AK$313</oldFormula>
  </rdn>
  <rdn rId="0" localSheetId="10" customView="1" name="Z_7ECC2B8E_6A82_42F5_8AB0_4A51C54EA5EC_.wvu.FilterData" hidden="1" oldHidden="1">
    <formula>Not_Fill_Data_20200321_20200420!$P$49:$P$219</formula>
    <oldFormula>Not_Fill_Data_20200321_20200420!$P$49:$P$219</oldFormula>
  </rdn>
  <rdn rId="0" localSheetId="11" customView="1" name="Z_7ECC2B8E_6A82_42F5_8AB0_4A51C54EA5EC_.wvu.FilterData" hidden="1" oldHidden="1">
    <formula>Not_Fill_Data_20200305_20200320!$B$37:$AK$106</formula>
    <oldFormula>Not_Fill_Data_20200305_20200320!$B$37:$AK$106</oldFormula>
  </rdn>
  <rcv guid="{7ECC2B8E-6A82-42F5-8AB0-4A51C54EA5EC}" action="add"/>
</revisions>
</file>

<file path=xl/revisions/revisionLog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74" sId="1">
    <nc r="Z151">
      <v>2</v>
    </nc>
  </rcc>
  <rcc rId="475" sId="1">
    <nc r="Z152">
      <v>2</v>
    </nc>
  </rcc>
  <rcc rId="476" sId="1">
    <nc r="Z153">
      <v>2</v>
    </nc>
  </rcc>
  <rcc rId="477" sId="1">
    <nc r="Z154">
      <v>2</v>
    </nc>
  </rcc>
  <rcv guid="{7ECC2B8E-6A82-42F5-8AB0-4A51C54EA5EC}" action="delete"/>
  <rdn rId="0" localSheetId="1" customView="1" name="Z_7ECC2B8E_6A82_42F5_8AB0_4A51C54EA5EC_.wvu.FilterData" hidden="1" oldHidden="1">
    <formula>COEM_Data_20200414!$B$47:$AN$312</formula>
    <oldFormula>COEM_Data_20200414!$B$47:$AN$312</oldFormula>
  </rdn>
  <rdn rId="0" localSheetId="2" customView="1" name="Z_7ECC2B8E_6A82_42F5_8AB0_4A51C54EA5EC_.wvu.FilterData" hidden="1" oldHidden="1">
    <formula>Merged!$B$62:$AK$313</formula>
    <oldFormula>Merged!$B$62:$AK$313</oldFormula>
  </rdn>
  <rdn rId="0" localSheetId="10" customView="1" name="Z_7ECC2B8E_6A82_42F5_8AB0_4A51C54EA5EC_.wvu.FilterData" hidden="1" oldHidden="1">
    <formula>Not_Fill_Data_20200321_20200420!$P$49:$P$219</formula>
    <oldFormula>Not_Fill_Data_20200321_20200420!$P$49:$P$219</oldFormula>
  </rdn>
  <rdn rId="0" localSheetId="11" customView="1" name="Z_7ECC2B8E_6A82_42F5_8AB0_4A51C54EA5EC_.wvu.FilterData" hidden="1" oldHidden="1">
    <formula>Not_Fill_Data_20200305_20200320!$B$37:$AK$106</formula>
    <oldFormula>Not_Fill_Data_20200305_20200320!$B$37:$AK$106</oldFormula>
  </rdn>
  <rcv guid="{7ECC2B8E-6A82-42F5-8AB0-4A51C54EA5EC}" action="add"/>
</revisions>
</file>

<file path=xl/revisions/revisionLog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82" sId="1">
    <nc r="X151">
      <f>W151</f>
    </nc>
  </rcc>
  <rcc rId="483" sId="1">
    <nc r="X152">
      <f>W152</f>
    </nc>
  </rcc>
  <rcc rId="484" sId="1">
    <nc r="X153">
      <f>W153</f>
    </nc>
  </rcc>
  <rcc rId="485" sId="1">
    <nc r="X154">
      <f>W154</f>
    </nc>
  </rcc>
</revisions>
</file>

<file path=xl/revisions/revisionLog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86" sId="1">
    <oc r="V153">
      <v>34</v>
    </oc>
    <nc r="V153">
      <v>394</v>
    </nc>
  </rcc>
  <rcv guid="{7ECC2B8E-6A82-42F5-8AB0-4A51C54EA5EC}" action="delete"/>
  <rdn rId="0" localSheetId="1" customView="1" name="Z_7ECC2B8E_6A82_42F5_8AB0_4A51C54EA5EC_.wvu.FilterData" hidden="1" oldHidden="1">
    <formula>COEM_Data_20200414!$B$47:$AN$312</formula>
    <oldFormula>COEM_Data_20200414!$B$47:$AN$312</oldFormula>
  </rdn>
  <rdn rId="0" localSheetId="2" customView="1" name="Z_7ECC2B8E_6A82_42F5_8AB0_4A51C54EA5EC_.wvu.FilterData" hidden="1" oldHidden="1">
    <formula>Merged!$B$62:$AK$313</formula>
    <oldFormula>Merged!$B$62:$AK$313</oldFormula>
  </rdn>
  <rdn rId="0" localSheetId="10" customView="1" name="Z_7ECC2B8E_6A82_42F5_8AB0_4A51C54EA5EC_.wvu.FilterData" hidden="1" oldHidden="1">
    <formula>Not_Fill_Data_20200321_20200420!$P$49:$P$219</formula>
    <oldFormula>Not_Fill_Data_20200321_20200420!$P$49:$P$219</oldFormula>
  </rdn>
  <rdn rId="0" localSheetId="11" customView="1" name="Z_7ECC2B8E_6A82_42F5_8AB0_4A51C54EA5EC_.wvu.FilterData" hidden="1" oldHidden="1">
    <formula>Not_Fill_Data_20200305_20200320!$B$37:$AK$106</formula>
    <oldFormula>Not_Fill_Data_20200305_20200320!$B$37:$AK$106</oldFormula>
  </rdn>
  <rcv guid="{7ECC2B8E-6A82-42F5-8AB0-4A51C54EA5EC}" action="add"/>
</revisions>
</file>

<file path=xl/revisions/revisionLog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1" sId="1">
    <oc r="AN153" t="inlineStr">
      <is>
        <t>542 Line code</t>
      </is>
    </oc>
    <nc r="AN153"/>
  </rcc>
  <rcv guid="{7ECC2B8E-6A82-42F5-8AB0-4A51C54EA5EC}" action="delete"/>
  <rdn rId="0" localSheetId="1" customView="1" name="Z_7ECC2B8E_6A82_42F5_8AB0_4A51C54EA5EC_.wvu.FilterData" hidden="1" oldHidden="1">
    <formula>COEM_Data_20200414!$B$47:$AN$312</formula>
    <oldFormula>COEM_Data_20200414!$B$47:$AN$312</oldFormula>
  </rdn>
  <rdn rId="0" localSheetId="2" customView="1" name="Z_7ECC2B8E_6A82_42F5_8AB0_4A51C54EA5EC_.wvu.FilterData" hidden="1" oldHidden="1">
    <formula>Merged!$B$62:$AK$313</formula>
    <oldFormula>Merged!$B$62:$AK$313</oldFormula>
  </rdn>
  <rdn rId="0" localSheetId="10" customView="1" name="Z_7ECC2B8E_6A82_42F5_8AB0_4A51C54EA5EC_.wvu.FilterData" hidden="1" oldHidden="1">
    <formula>Not_Fill_Data_20200321_20200420!$P$49:$P$219</formula>
    <oldFormula>Not_Fill_Data_20200321_20200420!$P$49:$P$219</oldFormula>
  </rdn>
  <rdn rId="0" localSheetId="11" customView="1" name="Z_7ECC2B8E_6A82_42F5_8AB0_4A51C54EA5EC_.wvu.FilterData" hidden="1" oldHidden="1">
    <formula>Not_Fill_Data_20200305_20200320!$B$37:$AK$106</formula>
    <oldFormula>Not_Fill_Data_20200305_20200320!$B$37:$AK$106</oldFormula>
  </rdn>
  <rcv guid="{7ECC2B8E-6A82-42F5-8AB0-4A51C54EA5EC}" action="add"/>
</revisions>
</file>

<file path=xl/revisions/revisionLog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6" sId="1">
    <oc r="AN90" t="inlineStr">
      <is>
        <t>Line 374: RBA_BLDRSRVSTHDL_SERVICE_DCM_END(): Missing ";" at the end of line
Line 84: RBA_BLDRSRVSTHDL_SERVICE_DCM_BEGIN(pMsgContext,&amp;rba_BldrCmp_ReadDataByIdentifier,NULL_PTR): Missing ";" at the end of line</t>
      </is>
    </oc>
    <nc r="AN90" t="inlineStr">
      <is>
        <t xml:space="preserve">Line 374: RBA_BLDRSRVSTHDL_SERVICE_DCM_END(): Missing ";" at the end of line
Line 84: RBA_BLDRSRVSTHDL_SERVICE_DCM_BEGIN(pMsgContext,&amp;rba_BldrCmp_ReadDataByIdentifier,NULL_PTR): Missing ";" at the end of line
</t>
      </is>
    </nc>
  </rcc>
</revisions>
</file>

<file path=xl/revisions/revisionLog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7" sId="1" numFmtId="14">
    <nc r="AH92">
      <v>0.98</v>
    </nc>
  </rcc>
  <rcc rId="498" sId="1" numFmtId="14">
    <nc r="AI92">
      <v>0.92</v>
    </nc>
  </rcc>
  <rcc rId="499" sId="1" numFmtId="14">
    <nc r="AJ92">
      <v>0.33</v>
    </nc>
  </rcc>
  <rcc rId="500" sId="1">
    <nc r="AG92" t="inlineStr">
      <is>
        <t>NG</t>
      </is>
    </nc>
  </rcc>
  <rcc rId="501" sId="1">
    <nc r="AK92" t="inlineStr">
      <is>
        <t>OPL</t>
      </is>
    </nc>
  </rcc>
  <rcc rId="502" sId="1">
    <oc r="AA92" t="inlineStr">
      <is>
        <t>Ongoing</t>
      </is>
    </oc>
    <nc r="AA92" t="inlineStr">
      <is>
        <t>Ready for review</t>
      </is>
    </nc>
  </rcc>
  <rcc rId="503" sId="1">
    <oc r="Z92">
      <v>1</v>
    </oc>
    <nc r="Z92">
      <v>9</v>
    </nc>
  </rcc>
  <rcv guid="{336B6883-2145-4B58-921E-CEC7185A847E}" action="delete"/>
  <rdn rId="0" localSheetId="1" customView="1" name="Z_336B6883_2145_4B58_921E_CEC7185A847E_.wvu.FilterData" hidden="1" oldHidden="1">
    <formula>COEM_Data_20200414!$S$47:$S$312</formula>
    <oldFormula>COEM_Data_20200414!$S$47:$S$312</oldFormula>
  </rdn>
  <rdn rId="0" localSheetId="2" customView="1" name="Z_336B6883_2145_4B58_921E_CEC7185A847E_.wvu.FilterData" hidden="1" oldHidden="1">
    <formula>Merged!$P$62:$P$328</formula>
    <oldFormula>Merged!$P$62:$P$328</oldFormula>
  </rdn>
  <rdn rId="0" localSheetId="10" customView="1" name="Z_336B6883_2145_4B58_921E_CEC7185A847E_.wvu.FilterData" hidden="1" oldHidden="1">
    <formula>Not_Fill_Data_20200321_20200420!$P$49:$P$219</formula>
    <oldFormula>Not_Fill_Data_20200321_20200420!$P$49:$P$219</oldFormula>
  </rdn>
  <rdn rId="0" localSheetId="11" customView="1" name="Z_336B6883_2145_4B58_921E_CEC7185A847E_.wvu.Cols" hidden="1" oldHidden="1">
    <formula>Not_Fill_Data_20200305_20200320!$M:$N</formula>
    <oldFormula>Not_Fill_Data_20200305_20200320!$M:$N</oldFormula>
  </rdn>
  <rdn rId="0" localSheetId="11" customView="1" name="Z_336B6883_2145_4B58_921E_CEC7185A847E_.wvu.FilterData" hidden="1" oldHidden="1">
    <formula>Not_Fill_Data_20200305_20200320!$B$37:$AK$106</formula>
    <oldFormula>Not_Fill_Data_20200305_20200320!$B$37:$AK$106</oldFormula>
  </rdn>
  <rcv guid="{336B6883-2145-4B58-921E-CEC7185A847E}" action="add"/>
</revisions>
</file>

<file path=xl/revisions/revisionLog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09" sId="1">
    <nc r="Z90">
      <v>6</v>
    </nc>
  </rcc>
  <rcc rId="510" sId="1">
    <nc r="AA90" t="inlineStr">
      <is>
        <t>Ready for review</t>
      </is>
    </nc>
  </rcc>
  <rcc rId="511" sId="1" numFmtId="19">
    <nc r="AE90">
      <v>43938</v>
    </nc>
  </rcc>
  <rcc rId="512" sId="1" numFmtId="19">
    <nc r="AF90">
      <v>43938</v>
    </nc>
  </rcc>
  <rcc rId="513" sId="1">
    <nc r="AK90" t="inlineStr">
      <is>
        <t>OPL</t>
      </is>
    </nc>
  </rcc>
  <rcv guid="{250915DF-0B97-45D7-B29D-7EED4C89C1C1}" action="delete"/>
  <rdn rId="0" localSheetId="1" customView="1" name="Z_250915DF_0B97_45D7_B29D_7EED4C89C1C1_.wvu.FilterData" hidden="1" oldHidden="1">
    <formula>COEM_Data_20200414!$B$47:$AN$312</formula>
    <oldFormula>COEM_Data_20200414!$B$47:$AN$312</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COEM_Data_20200414!$B$47:$AN$312</formula>
    <oldFormula>COEM_Data_20200414!$B$47:$AN$312</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22" sId="1">
    <oc r="AN90" t="inlineStr">
      <is>
        <t xml:space="preserve">Line 374: RBA_BLDRSRVSTHDL_SERVICE_DCM_END(): Missing ";" at the end of line
Line 84: RBA_BLDRSRVSTHDL_SERVICE_DCM_BEGIN(pMsgContext,&amp;rba_BldrCmp_ReadDataByIdentifier,NULL_PTR): Missing ";" at the end of line
</t>
      </is>
    </oc>
    <nc r="AN90" t="inlineStr">
      <is>
        <t xml:space="preserve">Line 374: RBA_BLDRSRVSTHDL_SERVICE_DCM_END(): Missing ";" at the end of line
Line 84: RBA_BLDRSRVSTHDL_SERVICE_DCM_BEGIN(pMsgContext,&amp;rba_BldrCmp_ReadDataByIdentifier,NULL_PTR): Missing ";" at the end of line
Line 349: Can’t cover case default because the value of rba_BldrCmp_RDBI_StateMachine_tst has only 3 elements 
Line 273, 274: Cannot false for line 273 and line 274 because rba_BldrCmp_RDBI_ListIdx_u8 is always set with value “0xFF” at line 208 
Line 290: Can not cover line 290 because rba_BldrCmp_RDBI_DidByFuncList_pst is constant variable and is set to define “RBA_BLDRCMP_RDBI_Read_DidByFuncList”;
+ static const rba_BldrCmp_RDBI_DidByFuncList_tst rba_BldrCmp_RDBI_DidByFuncList_pst[RBA_BLDRCMP_RDBI_NoReadDidByFuncList_Arraylen] = RBA_BLDRCMP_RDBI_Read_DidByFuncList;
</t>
      </is>
    </nc>
  </rcc>
  <rfmt sheetId="1" sqref="AN90">
    <dxf>
      <alignment wrapText="0" readingOrder="0"/>
    </dxf>
  </rfmt>
  <rcv guid="{250915DF-0B97-45D7-B29D-7EED4C89C1C1}" action="delete"/>
  <rdn rId="0" localSheetId="1" customView="1" name="Z_250915DF_0B97_45D7_B29D_7EED4C89C1C1_.wvu.FilterData" hidden="1" oldHidden="1">
    <formula>COEM_Data_20200414!$B$47:$AN$312</formula>
    <oldFormula>COEM_Data_20200414!$B$47:$AN$312</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27" sId="1" numFmtId="14">
    <nc r="AH90">
      <v>0.97</v>
    </nc>
  </rcc>
  <rcc rId="528" sId="1" numFmtId="14">
    <nc r="AI90">
      <v>0.97</v>
    </nc>
  </rcc>
  <rcc rId="529" sId="1" numFmtId="14">
    <nc r="AJ90">
      <v>0.81</v>
    </nc>
  </rcc>
  <rcv guid="{250915DF-0B97-45D7-B29D-7EED4C89C1C1}" action="delete"/>
  <rdn rId="0" localSheetId="1" customView="1" name="Z_250915DF_0B97_45D7_B29D_7EED4C89C1C1_.wvu.FilterData" hidden="1" oldHidden="1">
    <formula>COEM_Data_20200414!$B$47:$AN$312</formula>
    <oldFormula>COEM_Data_20200414!$B$47:$AN$312</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34" sId="1">
    <nc r="AL90" t="inlineStr">
      <is>
        <t xml:space="preserve">Line 374: RBA_BLDRSRVSTHDL_SERVICE_DCM_END(): Missing ";" at the end of line
Line 84: RBA_BLDRSRVSTHDL_SERVICE_DCM_BEGIN(pMsgContext,&amp;rba_BldrCmp_ReadDataByIdentifier,NULL_PTR): Missing ";" at the end of line
Line 349: Can’t cover case default because the value of rba_BldrCmp_RDBI_StateMachine_tst has only 3 elements 
Line 273, 274: Cannot false for line 273 and line 274 because rba_BldrCmp_RDBI_ListIdx_u8 is always set with value “0xFF” at line 208 
Line 290: Can not cover line 290 because rba_BldrCmp_RDBI_DidByFuncList_pst is constant variable and is set to define “RBA_BLDRCMP_RDBI_Read_DidByFuncList”;
+ static const rba_BldrCmp_RDBI_DidByFuncList_tst rba_BldrCmp_RDBI_DidByFuncList_pst[RBA_BLDRCMP_RDBI_NoReadDidByFuncList_Arraylen] = RBA_BLDRCMP_RDBI_Read_DidByFuncList;
</t>
      </is>
    </nc>
  </rcc>
  <rcc rId="535" sId="1">
    <oc r="AN90" t="inlineStr">
      <is>
        <t xml:space="preserve">Line 374: RBA_BLDRSRVSTHDL_SERVICE_DCM_END(): Missing ";" at the end of line
Line 84: RBA_BLDRSRVSTHDL_SERVICE_DCM_BEGIN(pMsgContext,&amp;rba_BldrCmp_ReadDataByIdentifier,NULL_PTR): Missing ";" at the end of line
Line 349: Can’t cover case default because the value of rba_BldrCmp_RDBI_StateMachine_tst has only 3 elements 
Line 273, 274: Cannot false for line 273 and line 274 because rba_BldrCmp_RDBI_ListIdx_u8 is always set with value “0xFF” at line 208 
Line 290: Can not cover line 290 because rba_BldrCmp_RDBI_DidByFuncList_pst is constant variable and is set to define “RBA_BLDRCMP_RDBI_Read_DidByFuncList”;
+ static const rba_BldrCmp_RDBI_DidByFuncList_tst rba_BldrCmp_RDBI_DidByFuncList_pst[RBA_BLDRCMP_RDBI_NoReadDidByFuncList_Arraylen] = RBA_BLDRCMP_RDBI_Read_DidByFuncList;
</t>
      </is>
    </oc>
    <nc r="AN90"/>
  </rcc>
  <rcv guid="{250915DF-0B97-45D7-B29D-7EED4C89C1C1}" action="delete"/>
  <rdn rId="0" localSheetId="1" customView="1" name="Z_250915DF_0B97_45D7_B29D_7EED4C89C1C1_.wvu.FilterData" hidden="1" oldHidden="1">
    <formula>COEM_Data_20200414!$B$47:$AN$312</formula>
    <oldFormula>COEM_Data_20200414!$B$47:$AN$312</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COEM_Data_20200414!$B$47:$AN$312</formula>
    <oldFormula>COEM_Data_20200414!$B$47:$AN$312</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44" sId="1">
    <nc r="AA95" t="inlineStr">
      <is>
        <t>Ready for review</t>
      </is>
    </nc>
  </rcc>
  <rcc rId="545" sId="1">
    <nc r="AA96" t="inlineStr">
      <is>
        <t>Ready for review</t>
      </is>
    </nc>
  </rcc>
  <rcc rId="546" sId="1">
    <nc r="AA97" t="inlineStr">
      <is>
        <t>Ready for review</t>
      </is>
    </nc>
  </rcc>
  <rcc rId="547" sId="1">
    <nc r="AA98" t="inlineStr">
      <is>
        <t>Ready for review</t>
      </is>
    </nc>
  </rcc>
  <rcc rId="548" sId="1" numFmtId="19">
    <nc r="AE95">
      <v>43938</v>
    </nc>
  </rcc>
  <rcc rId="549" sId="1" numFmtId="19">
    <nc r="AF95">
      <v>43938</v>
    </nc>
  </rcc>
  <rcc rId="550" sId="1" numFmtId="19">
    <nc r="AE96">
      <v>43938</v>
    </nc>
  </rcc>
  <rcc rId="551" sId="1" numFmtId="19">
    <nc r="AF96">
      <v>43938</v>
    </nc>
  </rcc>
  <rcc rId="552" sId="1" numFmtId="19">
    <nc r="AE97">
      <v>43938</v>
    </nc>
  </rcc>
  <rcc rId="553" sId="1" numFmtId="19">
    <nc r="AF97">
      <v>43938</v>
    </nc>
  </rcc>
  <rcc rId="554" sId="1" numFmtId="19">
    <nc r="AE98">
      <v>43938</v>
    </nc>
  </rcc>
  <rcc rId="555" sId="1" numFmtId="19">
    <nc r="AF98">
      <v>43938</v>
    </nc>
  </rcc>
  <rcc rId="556" sId="1">
    <nc r="AG95" t="inlineStr">
      <is>
        <t>OK</t>
      </is>
    </nc>
  </rcc>
  <rcc rId="557" sId="1" numFmtId="14">
    <nc r="AH95">
      <v>1</v>
    </nc>
  </rcc>
  <rcc rId="558" sId="1" numFmtId="14">
    <nc r="AI95">
      <v>1</v>
    </nc>
  </rcc>
  <rcc rId="559" sId="1" numFmtId="14">
    <nc r="AJ95">
      <v>1</v>
    </nc>
  </rcc>
  <rcc rId="560" sId="1">
    <nc r="AG96" t="inlineStr">
      <is>
        <t>OK</t>
      </is>
    </nc>
  </rcc>
  <rcc rId="561" sId="1" numFmtId="14">
    <nc r="AH96">
      <v>1</v>
    </nc>
  </rcc>
  <rcc rId="562" sId="1" numFmtId="14">
    <nc r="AI96">
      <v>1</v>
    </nc>
  </rcc>
  <rcc rId="563" sId="1">
    <nc r="AG97" t="inlineStr">
      <is>
        <t>OK</t>
      </is>
    </nc>
  </rcc>
  <rcc rId="564" sId="1" numFmtId="14">
    <nc r="AH97">
      <v>1</v>
    </nc>
  </rcc>
  <rcc rId="565" sId="1" numFmtId="14">
    <nc r="AI97">
      <v>1</v>
    </nc>
  </rcc>
  <rcc rId="566" sId="1" numFmtId="14">
    <nc r="AJ97">
      <v>1</v>
    </nc>
  </rcc>
  <rcc rId="567" sId="1">
    <nc r="AG98" t="inlineStr">
      <is>
        <t>OK</t>
      </is>
    </nc>
  </rcc>
  <rcc rId="568" sId="1" numFmtId="14">
    <nc r="AH98">
      <v>1</v>
    </nc>
  </rcc>
  <rcc rId="569" sId="1" numFmtId="14">
    <nc r="AI98">
      <v>1</v>
    </nc>
  </rcc>
  <rcc rId="570" sId="1" numFmtId="14">
    <nc r="AJ98">
      <v>1</v>
    </nc>
  </rcc>
  <rcc rId="571" sId="1" numFmtId="14">
    <nc r="AJ96">
      <v>0.75</v>
    </nc>
  </rcc>
  <rcc rId="572" sId="1">
    <nc r="Z95">
      <v>1</v>
    </nc>
  </rcc>
  <rcc rId="573" sId="1">
    <nc r="X95">
      <f>W95</f>
    </nc>
  </rcc>
  <rcc rId="574" sId="1">
    <nc r="X96">
      <f>W96</f>
    </nc>
  </rcc>
  <rcc rId="575" sId="1">
    <nc r="X97">
      <f>W97</f>
    </nc>
  </rcc>
  <rcc rId="576" sId="1">
    <nc r="X98">
      <f>W98</f>
    </nc>
  </rcc>
  <rcc rId="577" sId="1">
    <nc r="Z96">
      <v>3</v>
    </nc>
  </rcc>
  <rcc rId="578" sId="1">
    <nc r="Z97">
      <v>2</v>
    </nc>
  </rcc>
  <rcc rId="579" sId="1">
    <nc r="Z98">
      <v>3</v>
    </nc>
  </rcc>
  <rcc rId="580" sId="1">
    <nc r="AL96" t="inlineStr">
      <is>
        <t>/.\</t>
      </is>
    </nc>
  </rcc>
  <rcv guid="{A2C66332-A809-458E-971B-FDB6D62C74C3}" action="delete"/>
  <rdn rId="0" localSheetId="1" customView="1" name="Z_A2C66332_A809_458E_971B_FDB6D62C74C3_.wvu.Cols" hidden="1" oldHidden="1">
    <formula>COEM_Data_20200414!$K:$R</formula>
    <oldFormula>COEM_Data_20200414!$K:$R</oldFormula>
  </rdn>
  <rdn rId="0" localSheetId="1" customView="1" name="Z_A2C66332_A809_458E_971B_FDB6D62C74C3_.wvu.FilterData" hidden="1" oldHidden="1">
    <formula>COEM_Data_20200414!$B$47:$AN$312</formula>
    <oldFormula>COEM_Data_20200414!$B$47:$AN$230</oldFormula>
  </rdn>
  <rdn rId="0" localSheetId="2" customView="1" name="Z_A2C66332_A809_458E_971B_FDB6D62C74C3_.wvu.FilterData" hidden="1" oldHidden="1">
    <formula>Merged!$B$62:$AK$313</formula>
    <oldFormula>Merged!$B$62:$AK$313</oldFormula>
  </rdn>
  <rdn rId="0" localSheetId="10" customView="1" name="Z_A2C66332_A809_458E_971B_FDB6D62C74C3_.wvu.FilterData" hidden="1" oldHidden="1">
    <formula>Not_Fill_Data_20200321_20200420!$P$49:$P$219</formula>
    <oldFormula>Not_Fill_Data_20200321_20200420!$B$49:$AK$188</oldFormula>
  </rdn>
  <rdn rId="0" localSheetId="11" customView="1" name="Z_A2C66332_A809_458E_971B_FDB6D62C74C3_.wvu.FilterData" hidden="1" oldHidden="1">
    <formula>Not_Fill_Data_20200305_20200320!$B$37:$AK$106</formula>
    <oldFormula>Not_Fill_Data_20200305_20200320!$P$37:$P$106</oldFormula>
  </rdn>
  <rcv guid="{A2C66332-A809-458E-971B-FDB6D62C74C3}" action="add"/>
</revisions>
</file>

<file path=xl/revisions/revisionLog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A2C66332-A809-458E-971B-FDB6D62C74C3}" action="delete"/>
  <rdn rId="0" localSheetId="1" customView="1" name="Z_A2C66332_A809_458E_971B_FDB6D62C74C3_.wvu.Cols" hidden="1" oldHidden="1">
    <formula>COEM_Data_20200414!$K:$R</formula>
    <oldFormula>COEM_Data_20200414!$K:$R</oldFormula>
  </rdn>
  <rdn rId="0" localSheetId="1" customView="1" name="Z_A2C66332_A809_458E_971B_FDB6D62C74C3_.wvu.FilterData" hidden="1" oldHidden="1">
    <formula>COEM_Data_20200414!$B$47:$AN$312</formula>
    <oldFormula>COEM_Data_20200414!$B$47:$AN$312</oldFormula>
  </rdn>
  <rdn rId="0" localSheetId="2" customView="1" name="Z_A2C66332_A809_458E_971B_FDB6D62C74C3_.wvu.FilterData" hidden="1" oldHidden="1">
    <formula>Merged!$B$62:$AK$313</formula>
    <oldFormula>Merged!$B$62:$AK$313</oldFormula>
  </rdn>
  <rdn rId="0" localSheetId="10" customView="1" name="Z_A2C66332_A809_458E_971B_FDB6D62C74C3_.wvu.FilterData" hidden="1" oldHidden="1">
    <formula>Not_Fill_Data_20200321_20200420!$P$49:$P$219</formula>
    <oldFormula>Not_Fill_Data_20200321_20200420!$P$49:$P$219</oldFormula>
  </rdn>
  <rdn rId="0" localSheetId="11" customView="1" name="Z_A2C66332_A809_458E_971B_FDB6D62C74C3_.wvu.FilterData" hidden="1" oldHidden="1">
    <formula>Not_Fill_Data_20200305_20200320!$B$37:$AK$106</formula>
    <oldFormula>Not_Fill_Data_20200305_20200320!$B$37:$AK$106</oldFormula>
  </rdn>
  <rcv guid="{A2C66332-A809-458E-971B-FDB6D62C74C3}" action="add"/>
</revisions>
</file>

<file path=xl/revisions/revisionLog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COEM_Data_20200414!$B$47:$AN$312</formula>
    <oldFormula>COEM_Data_20200414!$B$47:$AN$312</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COEM_Data_20200414!$B$47:$AN$312</formula>
    <oldFormula>COEM_Data_20200414!$B$47:$AN$312</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5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99" sId="1">
    <nc r="AB114" t="inlineStr">
      <is>
        <t>NO</t>
      </is>
    </nc>
  </rcc>
  <rcc rId="600" sId="1">
    <nc r="AB115" t="inlineStr">
      <is>
        <t>NO</t>
      </is>
    </nc>
  </rcc>
  <rcc rId="601" sId="1">
    <nc r="AB116" t="inlineStr">
      <is>
        <t>NO</t>
      </is>
    </nc>
  </rcc>
  <rcc rId="602" sId="1">
    <nc r="AB117" t="inlineStr">
      <is>
        <t>NO</t>
      </is>
    </nc>
  </rcc>
  <rcc rId="603" sId="1">
    <nc r="AB118" t="inlineStr">
      <is>
        <t>NO</t>
      </is>
    </nc>
  </rcc>
  <rcc rId="604" sId="1">
    <nc r="AB119" t="inlineStr">
      <is>
        <t>NO</t>
      </is>
    </nc>
  </rcc>
  <rcc rId="605" sId="1">
    <nc r="AB120" t="inlineStr">
      <is>
        <t>NO</t>
      </is>
    </nc>
  </rcc>
  <rcc rId="606" sId="1">
    <nc r="AB121" t="inlineStr">
      <is>
        <t>NO</t>
      </is>
    </nc>
  </rcc>
  <rcc rId="607" sId="1">
    <nc r="AB122" t="inlineStr">
      <is>
        <t>NO</t>
      </is>
    </nc>
  </rcc>
  <rcc rId="608" sId="1">
    <nc r="AB123" t="inlineStr">
      <is>
        <t>NO</t>
      </is>
    </nc>
  </rcc>
  <rcc rId="609" sId="1">
    <nc r="AB124" t="inlineStr">
      <is>
        <t>NO</t>
      </is>
    </nc>
  </rcc>
  <rcc rId="610" sId="1">
    <nc r="AB125" t="inlineStr">
      <is>
        <t>NO</t>
      </is>
    </nc>
  </rcc>
  <rcc rId="611" sId="1">
    <nc r="AB126" t="inlineStr">
      <is>
        <t>NO</t>
      </is>
    </nc>
  </rcc>
  <rcc rId="612" sId="1">
    <nc r="AB127" t="inlineStr">
      <is>
        <t>NO</t>
      </is>
    </nc>
  </rcc>
  <rcc rId="613" sId="1">
    <nc r="AB128" t="inlineStr">
      <is>
        <t>NO</t>
      </is>
    </nc>
  </rcc>
  <rcc rId="614" sId="1">
    <nc r="AB129" t="inlineStr">
      <is>
        <t>NO</t>
      </is>
    </nc>
  </rcc>
  <rcc rId="615" sId="1">
    <nc r="AB130" t="inlineStr">
      <is>
        <t>NO</t>
      </is>
    </nc>
  </rcc>
  <rcc rId="616" sId="1">
    <nc r="AB131" t="inlineStr">
      <is>
        <t>NO</t>
      </is>
    </nc>
  </rcc>
  <rcc rId="617" sId="1">
    <nc r="AB132" t="inlineStr">
      <is>
        <t>NO</t>
      </is>
    </nc>
  </rcc>
  <rcc rId="618" sId="1">
    <nc r="AB133" t="inlineStr">
      <is>
        <t>NO</t>
      </is>
    </nc>
  </rcc>
  <rcc rId="619" sId="1">
    <nc r="AB134" t="inlineStr">
      <is>
        <t>NO</t>
      </is>
    </nc>
  </rcc>
  <rcc rId="620" sId="1">
    <nc r="AB135" t="inlineStr">
      <is>
        <t>NO</t>
      </is>
    </nc>
  </rcc>
  <rcc rId="621" sId="1">
    <nc r="AB136" t="inlineStr">
      <is>
        <t>NO</t>
      </is>
    </nc>
  </rcc>
  <rcc rId="622" sId="1">
    <nc r="AB137" t="inlineStr">
      <is>
        <t>NO</t>
      </is>
    </nc>
  </rcc>
  <rcc rId="623" sId="1">
    <nc r="AB138" t="inlineStr">
      <is>
        <t>NO</t>
      </is>
    </nc>
  </rcc>
  <rcc rId="624" sId="1">
    <nc r="AB139" t="inlineStr">
      <is>
        <t>NO</t>
      </is>
    </nc>
  </rcc>
  <rcc rId="625" sId="1">
    <nc r="AB140" t="inlineStr">
      <is>
        <t>NO</t>
      </is>
    </nc>
  </rcc>
  <rcc rId="626" sId="1">
    <nc r="AB141" t="inlineStr">
      <is>
        <t>NO</t>
      </is>
    </nc>
  </rcc>
  <rcc rId="627" sId="1">
    <nc r="AB142" t="inlineStr">
      <is>
        <t>NO</t>
      </is>
    </nc>
  </rcc>
  <rcc rId="628" sId="1">
    <nc r="AB143" t="inlineStr">
      <is>
        <t>NO</t>
      </is>
    </nc>
  </rcc>
  <rcc rId="629" sId="1">
    <nc r="AB77" t="inlineStr">
      <is>
        <t>NO</t>
      </is>
    </nc>
  </rcc>
  <rcc rId="630" sId="1">
    <nc r="AB78" t="inlineStr">
      <is>
        <t>NO</t>
      </is>
    </nc>
  </rcc>
  <rcc rId="631" sId="1">
    <nc r="AB79" t="inlineStr">
      <is>
        <t>NO</t>
      </is>
    </nc>
  </rcc>
  <rcc rId="632" sId="1">
    <nc r="AB80" t="inlineStr">
      <is>
        <t>NO</t>
      </is>
    </nc>
  </rcc>
  <rcc rId="633" sId="1">
    <nc r="AB81" t="inlineStr">
      <is>
        <t>NO</t>
      </is>
    </nc>
  </rcc>
  <rcc rId="634" sId="1">
    <nc r="AB82" t="inlineStr">
      <is>
        <t>NO</t>
      </is>
    </nc>
  </rcc>
  <rcc rId="635" sId="1">
    <nc r="AB83" t="inlineStr">
      <is>
        <t>NO</t>
      </is>
    </nc>
  </rcc>
  <rcv guid="{250915DF-0B97-45D7-B29D-7EED4C89C1C1}" action="delete"/>
  <rdn rId="0" localSheetId="1" customView="1" name="Z_250915DF_0B97_45D7_B29D_7EED4C89C1C1_.wvu.FilterData" hidden="1" oldHidden="1">
    <formula>COEM_Data_20200414!$B$47:$AN$312</formula>
    <oldFormula>COEM_Data_20200414!$B$47:$AN$312</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40" sId="1">
    <nc r="X90">
      <f>W90</f>
    </nc>
  </rcc>
  <rcc rId="641" sId="1">
    <nc r="AB88" t="inlineStr">
      <is>
        <t>NO</t>
      </is>
    </nc>
  </rcc>
  <rcc rId="642" sId="1">
    <nc r="AB89" t="inlineStr">
      <is>
        <t>NO</t>
      </is>
    </nc>
  </rcc>
  <rcc rId="643" sId="1">
    <nc r="AB90" t="inlineStr">
      <is>
        <t>NO</t>
      </is>
    </nc>
  </rcc>
  <rcc rId="644" sId="1">
    <nc r="AB91" t="inlineStr">
      <is>
        <t>NO</t>
      </is>
    </nc>
  </rcc>
  <rcc rId="645" sId="1">
    <nc r="AB92" t="inlineStr">
      <is>
        <t>NO</t>
      </is>
    </nc>
  </rcc>
  <rcc rId="646" sId="1">
    <nc r="AB93" t="inlineStr">
      <is>
        <t>NO</t>
      </is>
    </nc>
  </rcc>
  <rcc rId="647" sId="1">
    <nc r="AB94" t="inlineStr">
      <is>
        <t>NO</t>
      </is>
    </nc>
  </rcc>
  <rcc rId="648" sId="1">
    <nc r="AB95" t="inlineStr">
      <is>
        <t>NO</t>
      </is>
    </nc>
  </rcc>
  <rcc rId="649" sId="1">
    <nc r="AB96" t="inlineStr">
      <is>
        <t>NO</t>
      </is>
    </nc>
  </rcc>
  <rcc rId="650" sId="1">
    <nc r="AB97" t="inlineStr">
      <is>
        <t>NO</t>
      </is>
    </nc>
  </rcc>
  <rcc rId="651" sId="1">
    <nc r="AB98" t="inlineStr">
      <is>
        <t>NO</t>
      </is>
    </nc>
  </rcc>
  <rcc rId="652" sId="1">
    <nc r="AB99" t="inlineStr">
      <is>
        <t>NO</t>
      </is>
    </nc>
  </rcc>
  <rcc rId="653" sId="1">
    <nc r="AB100" t="inlineStr">
      <is>
        <t>NO</t>
      </is>
    </nc>
  </rcc>
  <rcv guid="{250915DF-0B97-45D7-B29D-7EED4C89C1C1}" action="delete"/>
  <rdn rId="0" localSheetId="1" customView="1" name="Z_250915DF_0B97_45D7_B29D_7EED4C89C1C1_.wvu.FilterData" hidden="1" oldHidden="1">
    <formula>COEM_Data_20200414!$B$47:$AN$312</formula>
    <oldFormula>COEM_Data_20200414!$B$47:$AN$312</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58" sId="1">
    <nc r="AB69" t="inlineStr">
      <is>
        <t>YES</t>
      </is>
    </nc>
  </rcc>
  <rcc rId="659" sId="1">
    <nc r="AB70" t="inlineStr">
      <is>
        <t>YES</t>
      </is>
    </nc>
  </rcc>
  <rcc rId="660" sId="1">
    <nc r="AB71" t="inlineStr">
      <is>
        <t>YES</t>
      </is>
    </nc>
  </rcc>
  <rcc rId="661" sId="1">
    <nc r="AB72" t="inlineStr">
      <is>
        <t>YES</t>
      </is>
    </nc>
  </rcc>
  <rcc rId="662" sId="1">
    <nc r="AB73" t="inlineStr">
      <is>
        <t>YES</t>
      </is>
    </nc>
  </rcc>
  <rcc rId="663" sId="1">
    <nc r="AB74" t="inlineStr">
      <is>
        <t>YES</t>
      </is>
    </nc>
  </rcc>
  <rcc rId="664" sId="1">
    <nc r="AB75" t="inlineStr">
      <is>
        <t>YES</t>
      </is>
    </nc>
  </rcc>
  <rcc rId="665" sId="1">
    <nc r="AB76" t="inlineStr">
      <is>
        <t>YES</t>
      </is>
    </nc>
  </rcc>
  <rcc rId="666" sId="1">
    <nc r="AB144" t="inlineStr">
      <is>
        <t>YES</t>
      </is>
    </nc>
  </rcc>
  <rcc rId="667" sId="1">
    <nc r="AB151" t="inlineStr">
      <is>
        <t>YES</t>
      </is>
    </nc>
  </rcc>
  <rcc rId="668" sId="1">
    <nc r="AB152" t="inlineStr">
      <is>
        <t>YES</t>
      </is>
    </nc>
  </rcc>
  <rcc rId="669" sId="1">
    <nc r="AB153" t="inlineStr">
      <is>
        <t>YES</t>
      </is>
    </nc>
  </rcc>
  <rcc rId="670" sId="1">
    <nc r="AB154" t="inlineStr">
      <is>
        <t>YES</t>
      </is>
    </nc>
  </rcc>
  <rcc rId="671" sId="1">
    <oc r="AG66" t="inlineStr">
      <is>
        <t>NG</t>
      </is>
    </oc>
    <nc r="AG66" t="inlineStr">
      <is>
        <t>OK</t>
      </is>
    </nc>
  </rcc>
  <rcc rId="672" sId="1">
    <oc r="AG68" t="inlineStr">
      <is>
        <t>NG</t>
      </is>
    </oc>
    <nc r="AG68" t="inlineStr">
      <is>
        <t>OK</t>
      </is>
    </nc>
  </rcc>
  <rcc rId="673" sId="1">
    <oc r="AG76" t="inlineStr">
      <is>
        <t>NG</t>
      </is>
    </oc>
    <nc r="AG76" t="inlineStr">
      <is>
        <t>OK</t>
      </is>
    </nc>
  </rcc>
  <rcv guid="{250915DF-0B97-45D7-B29D-7EED4C89C1C1}" action="delete"/>
  <rdn rId="0" localSheetId="1" customView="1" name="Z_250915DF_0B97_45D7_B29D_7EED4C89C1C1_.wvu.FilterData" hidden="1" oldHidden="1">
    <formula>COEM_Data_20200414!$B$47:$AN$312</formula>
    <oldFormula>COEM_Data_20200414!$B$47:$AN$312</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5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COEM_Data_20200414!$B$47:$AN$312</formula>
    <oldFormula>COEM_Data_20200414!$B$47:$AN$312</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5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82" sId="1" odxf="1" dxf="1" quotePrefix="1">
    <nc r="AH76" t="inlineStr">
      <is>
        <t>-</t>
      </is>
    </nc>
    <odxf/>
    <ndxf/>
  </rcc>
  <rcc rId="683" sId="1" odxf="1" dxf="1" quotePrefix="1">
    <nc r="AI76" t="inlineStr">
      <is>
        <t>-</t>
      </is>
    </nc>
    <odxf/>
    <ndxf/>
  </rcc>
  <rcc rId="684" sId="1" odxf="1" dxf="1" quotePrefix="1">
    <nc r="AJ76" t="inlineStr">
      <is>
        <t>-</t>
      </is>
    </nc>
    <odxf/>
    <ndxf/>
  </rcc>
  <rcc rId="685" sId="1">
    <nc r="AK76" t="inlineStr">
      <is>
        <t>None</t>
      </is>
    </nc>
  </rcc>
  <rcc rId="686" sId="1">
    <nc r="AK58" t="inlineStr">
      <is>
        <t>None</t>
      </is>
    </nc>
  </rcc>
  <rcc rId="687" sId="1">
    <nc r="AK59" t="inlineStr">
      <is>
        <t>None</t>
      </is>
    </nc>
  </rcc>
  <rcc rId="688" sId="1">
    <nc r="AK61" t="inlineStr">
      <is>
        <t>None</t>
      </is>
    </nc>
  </rcc>
  <rcc rId="689" sId="1">
    <nc r="AK62" t="inlineStr">
      <is>
        <t>None</t>
      </is>
    </nc>
  </rcc>
  <rcc rId="690" sId="1">
    <nc r="AK63" t="inlineStr">
      <is>
        <t>None</t>
      </is>
    </nc>
  </rcc>
  <rcc rId="691" sId="1">
    <nc r="AK64" t="inlineStr">
      <is>
        <t>None</t>
      </is>
    </nc>
  </rcc>
  <rcc rId="692" sId="1">
    <nc r="AK66" t="inlineStr">
      <is>
        <t>None</t>
      </is>
    </nc>
  </rcc>
  <rcc rId="693" sId="1">
    <nc r="AK67" t="inlineStr">
      <is>
        <t>None</t>
      </is>
    </nc>
  </rcc>
  <rcc rId="694" sId="1">
    <nc r="AK68" t="inlineStr">
      <is>
        <t>None</t>
      </is>
    </nc>
  </rcc>
  <rcc rId="695" sId="1">
    <nc r="AK69" t="inlineStr">
      <is>
        <t>None</t>
      </is>
    </nc>
  </rcc>
  <rcc rId="696" sId="1">
    <nc r="AK70" t="inlineStr">
      <is>
        <t>None</t>
      </is>
    </nc>
  </rcc>
  <rcc rId="697" sId="1">
    <nc r="AK71" t="inlineStr">
      <is>
        <t>None</t>
      </is>
    </nc>
  </rcc>
  <rcc rId="698" sId="1">
    <nc r="AK72" t="inlineStr">
      <is>
        <t>None</t>
      </is>
    </nc>
  </rcc>
  <rcc rId="699" sId="1">
    <nc r="AK73" t="inlineStr">
      <is>
        <t>None</t>
      </is>
    </nc>
  </rcc>
  <rcc rId="700" sId="1">
    <nc r="AK74" t="inlineStr">
      <is>
        <t>None</t>
      </is>
    </nc>
  </rcc>
  <rcc rId="701" sId="1">
    <nc r="AK75" t="inlineStr">
      <is>
        <t>None</t>
      </is>
    </nc>
  </rcc>
  <rcv guid="{250915DF-0B97-45D7-B29D-7EED4C89C1C1}" action="delete"/>
  <rdn rId="0" localSheetId="1" customView="1" name="Z_250915DF_0B97_45D7_B29D_7EED4C89C1C1_.wvu.FilterData" hidden="1" oldHidden="1">
    <formula>COEM_Data_20200414!$B$47:$AN$312</formula>
    <oldFormula>COEM_Data_20200414!$B$47:$AN$312</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5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COEM_Data_20200414!$B$47:$AN$312</formula>
    <oldFormula>COEM_Data_20200414!$B$47:$AN$312</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6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U77" start="0" length="0">
    <dxf>
      <alignment horizontal="left" vertical="top" readingOrder="0"/>
      <border outline="0">
        <left style="thin">
          <color indexed="64"/>
        </left>
        <right style="thin">
          <color indexed="64"/>
        </right>
        <top style="thin">
          <color indexed="64"/>
        </top>
        <bottom style="thin">
          <color indexed="64"/>
        </bottom>
      </border>
    </dxf>
  </rfmt>
  <rfmt sheetId="1" xfDxf="1" sqref="V77" start="0" length="0">
    <dxf>
      <alignment horizontal="left" vertical="top" readingOrder="0"/>
      <border outline="0">
        <left style="thin">
          <color indexed="64"/>
        </left>
        <right style="thin">
          <color indexed="64"/>
        </right>
        <top style="thin">
          <color indexed="64"/>
        </top>
        <bottom style="thin">
          <color indexed="64"/>
        </bottom>
      </border>
    </dxf>
  </rfmt>
  <rcc rId="710" sId="1" xfDxf="1" dxf="1">
    <oc r="W77">
      <f>V77</f>
    </oc>
    <nc r="W77">
      <v>25</v>
    </nc>
    <ndxf>
      <alignment horizontal="left" vertical="top" readingOrder="0"/>
      <border outline="0">
        <left style="thin">
          <color indexed="64"/>
        </left>
        <right style="thin">
          <color indexed="64"/>
        </right>
        <top style="thin">
          <color indexed="64"/>
        </top>
        <bottom style="thin">
          <color indexed="64"/>
        </bottom>
      </border>
    </ndxf>
  </rcc>
  <rcc rId="711" sId="1" xfDxf="1" dxf="1">
    <nc r="X77">
      <v>25</v>
    </nc>
    <ndxf>
      <alignment horizontal="left" vertical="top" readingOrder="0"/>
      <border outline="0">
        <left style="thin">
          <color indexed="64"/>
        </left>
        <right style="thin">
          <color indexed="64"/>
        </right>
        <top style="thin">
          <color indexed="64"/>
        </top>
        <bottom style="thin">
          <color indexed="64"/>
        </bottom>
      </border>
    </ndxf>
  </rcc>
  <rcc rId="712" sId="1" xfDxf="1" dxf="1">
    <oc r="Y77">
      <f>ROUNDDOWN(W77/HLOOKUP(D77,Table!$C$3:$D$4,2,0)*8,2)</f>
    </oc>
    <nc r="Y77">
      <v>0.44</v>
    </nc>
    <ndxf>
      <alignment horizontal="left" vertical="top" readingOrder="0"/>
      <border outline="0">
        <left style="thin">
          <color indexed="64"/>
        </left>
        <right style="thin">
          <color indexed="64"/>
        </right>
        <top style="thin">
          <color indexed="64"/>
        </top>
        <bottom style="thin">
          <color indexed="64"/>
        </bottom>
      </border>
    </ndxf>
  </rcc>
  <rcc rId="713" sId="1" xfDxf="1" dxf="1">
    <nc r="Z77">
      <v>0.25</v>
    </nc>
    <ndxf>
      <alignment horizontal="left" vertical="top" readingOrder="0"/>
      <border outline="0">
        <left style="thin">
          <color indexed="64"/>
        </left>
        <right style="thin">
          <color indexed="64"/>
        </right>
        <top style="thin">
          <color indexed="64"/>
        </top>
        <bottom style="thin">
          <color indexed="64"/>
        </bottom>
      </border>
    </ndxf>
  </rcc>
  <rcc rId="714" sId="1" xfDxf="1" dxf="1">
    <nc r="AA77" t="inlineStr">
      <is>
        <t>Ready for review</t>
      </is>
    </nc>
    <ndxf>
      <alignment horizontal="left" vertical="top" readingOrder="0"/>
      <border outline="0">
        <left style="thin">
          <color indexed="64"/>
        </left>
        <right style="thin">
          <color indexed="64"/>
        </right>
        <top style="thin">
          <color indexed="64"/>
        </top>
        <bottom style="thin">
          <color indexed="64"/>
        </bottom>
      </border>
    </ndxf>
  </rcc>
  <rcc rId="715" sId="1" xfDxf="1" dxf="1">
    <oc r="AB77" t="inlineStr">
      <is>
        <t>NO</t>
      </is>
    </oc>
    <nc r="AB77"/>
    <ndxf>
      <alignment horizontal="left" vertical="top" readingOrder="0"/>
      <border outline="0">
        <left style="thin">
          <color indexed="64"/>
        </left>
        <right style="thin">
          <color indexed="64"/>
        </right>
        <top style="thin">
          <color indexed="64"/>
        </top>
        <bottom style="thin">
          <color indexed="64"/>
        </bottom>
      </border>
    </ndxf>
  </rcc>
  <rfmt sheetId="1" xfDxf="1" sqref="AC77"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xfDxf="1" sqref="AD77"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716" sId="1" xfDxf="1" dxf="1" numFmtId="19">
    <nc r="AE77">
      <v>43938</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717" sId="1" xfDxf="1" dxf="1" numFmtId="19">
    <nc r="AF77">
      <v>43938</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718" sId="1" xfDxf="1" dxf="1">
    <nc r="AG77" t="inlineStr">
      <is>
        <t>OK</t>
      </is>
    </nc>
    <ndxf>
      <font>
        <color auto="1"/>
      </font>
      <alignment horizontal="left" vertical="top" readingOrder="0"/>
      <border outline="0">
        <left style="thin">
          <color indexed="64"/>
        </left>
        <right style="thin">
          <color indexed="64"/>
        </right>
        <top style="thin">
          <color indexed="64"/>
        </top>
        <bottom style="thin">
          <color indexed="64"/>
        </bottom>
      </border>
    </ndxf>
  </rcc>
  <rcc rId="719" sId="1" xfDxf="1" dxf="1" numFmtId="14">
    <nc r="AH7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720" sId="1" xfDxf="1" dxf="1" numFmtId="14">
    <nc r="AI77">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721" sId="1" xfDxf="1" dxf="1" numFmtId="14">
    <nc r="AJ77">
      <v>1</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1" xfDxf="1" sqref="U78" start="0" length="0">
    <dxf>
      <alignment horizontal="left" vertical="top" readingOrder="0"/>
      <border outline="0">
        <left style="thin">
          <color indexed="64"/>
        </left>
        <right style="thin">
          <color indexed="64"/>
        </right>
        <top style="thin">
          <color indexed="64"/>
        </top>
        <bottom style="thin">
          <color indexed="64"/>
        </bottom>
      </border>
    </dxf>
  </rfmt>
  <rfmt sheetId="1" xfDxf="1" sqref="V78" start="0" length="0">
    <dxf>
      <alignment horizontal="left" vertical="top" readingOrder="0"/>
      <border outline="0">
        <left style="thin">
          <color indexed="64"/>
        </left>
        <right style="thin">
          <color indexed="64"/>
        </right>
        <top style="thin">
          <color indexed="64"/>
        </top>
        <bottom style="thin">
          <color indexed="64"/>
        </bottom>
      </border>
    </dxf>
  </rfmt>
  <rcc rId="722" sId="1" xfDxf="1" dxf="1">
    <oc r="W78">
      <f>V78</f>
    </oc>
    <nc r="W78">
      <v>28</v>
    </nc>
    <ndxf>
      <alignment horizontal="left" vertical="top" readingOrder="0"/>
      <border outline="0">
        <left style="thin">
          <color indexed="64"/>
        </left>
        <right style="thin">
          <color indexed="64"/>
        </right>
        <top style="thin">
          <color indexed="64"/>
        </top>
        <bottom style="thin">
          <color indexed="64"/>
        </bottom>
      </border>
    </ndxf>
  </rcc>
  <rcc rId="723" sId="1" xfDxf="1" dxf="1">
    <nc r="X78">
      <v>28</v>
    </nc>
    <ndxf>
      <alignment horizontal="left" vertical="top" readingOrder="0"/>
      <border outline="0">
        <left style="thin">
          <color indexed="64"/>
        </left>
        <right style="thin">
          <color indexed="64"/>
        </right>
        <top style="thin">
          <color indexed="64"/>
        </top>
        <bottom style="thin">
          <color indexed="64"/>
        </bottom>
      </border>
    </ndxf>
  </rcc>
  <rcc rId="724" sId="1" xfDxf="1" dxf="1">
    <oc r="Y78">
      <f>ROUNDDOWN(W78/HLOOKUP(D78,Table!$C$3:$D$4,2,0)*8,2)</f>
    </oc>
    <nc r="Y78">
      <v>0.49</v>
    </nc>
    <ndxf>
      <alignment horizontal="left" vertical="top" readingOrder="0"/>
      <border outline="0">
        <left style="thin">
          <color indexed="64"/>
        </left>
        <right style="thin">
          <color indexed="64"/>
        </right>
        <top style="thin">
          <color indexed="64"/>
        </top>
        <bottom style="thin">
          <color indexed="64"/>
        </bottom>
      </border>
    </ndxf>
  </rcc>
  <rcc rId="725" sId="1" xfDxf="1" dxf="1">
    <nc r="Z78">
      <v>0.12</v>
    </nc>
    <ndxf>
      <alignment horizontal="left" vertical="top" readingOrder="0"/>
      <border outline="0">
        <left style="thin">
          <color indexed="64"/>
        </left>
        <right style="thin">
          <color indexed="64"/>
        </right>
        <top style="thin">
          <color indexed="64"/>
        </top>
        <bottom style="thin">
          <color indexed="64"/>
        </bottom>
      </border>
    </ndxf>
  </rcc>
  <rcc rId="726" sId="1" xfDxf="1" dxf="1">
    <nc r="AA78" t="inlineStr">
      <is>
        <t>Ready for review</t>
      </is>
    </nc>
    <ndxf>
      <alignment horizontal="left" vertical="top" readingOrder="0"/>
      <border outline="0">
        <left style="thin">
          <color indexed="64"/>
        </left>
        <right style="thin">
          <color indexed="64"/>
        </right>
        <top style="thin">
          <color indexed="64"/>
        </top>
        <bottom style="thin">
          <color indexed="64"/>
        </bottom>
      </border>
    </ndxf>
  </rcc>
  <rcc rId="727" sId="1" xfDxf="1" dxf="1">
    <oc r="AB78" t="inlineStr">
      <is>
        <t>NO</t>
      </is>
    </oc>
    <nc r="AB78"/>
    <ndxf>
      <alignment horizontal="left" vertical="top" readingOrder="0"/>
      <border outline="0">
        <left style="thin">
          <color indexed="64"/>
        </left>
        <right style="thin">
          <color indexed="64"/>
        </right>
        <top style="thin">
          <color indexed="64"/>
        </top>
        <bottom style="thin">
          <color indexed="64"/>
        </bottom>
      </border>
    </ndxf>
  </rcc>
  <rfmt sheetId="1" xfDxf="1" sqref="AC7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xfDxf="1" sqref="AD78"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728" sId="1" xfDxf="1" dxf="1" numFmtId="19">
    <nc r="AE78">
      <v>43938</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729" sId="1" xfDxf="1" dxf="1" numFmtId="19">
    <nc r="AF78">
      <v>43938</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730" sId="1" xfDxf="1" dxf="1">
    <nc r="AG78" t="inlineStr">
      <is>
        <t>OK</t>
      </is>
    </nc>
    <ndxf>
      <font>
        <color auto="1"/>
      </font>
      <alignment horizontal="left" vertical="top" readingOrder="0"/>
      <border outline="0">
        <left style="thin">
          <color indexed="64"/>
        </left>
        <right style="thin">
          <color indexed="64"/>
        </right>
        <top style="thin">
          <color indexed="64"/>
        </top>
        <bottom style="thin">
          <color indexed="64"/>
        </bottom>
      </border>
    </ndxf>
  </rcc>
  <rcc rId="731" sId="1" xfDxf="1" dxf="1" numFmtId="14">
    <nc r="AH78">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732" sId="1" xfDxf="1" dxf="1" numFmtId="14">
    <nc r="AI78">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733" sId="1" xfDxf="1" dxf="1" numFmtId="14">
    <nc r="AJ78">
      <v>1</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1" xfDxf="1" sqref="U79" start="0" length="0">
    <dxf>
      <alignment horizontal="left" vertical="top" readingOrder="0"/>
      <border outline="0">
        <left style="thin">
          <color indexed="64"/>
        </left>
        <right style="thin">
          <color indexed="64"/>
        </right>
        <top style="thin">
          <color indexed="64"/>
        </top>
        <bottom style="thin">
          <color indexed="64"/>
        </bottom>
      </border>
    </dxf>
  </rfmt>
  <rfmt sheetId="1" xfDxf="1" sqref="V79" start="0" length="0">
    <dxf>
      <alignment horizontal="left" vertical="top" readingOrder="0"/>
      <border outline="0">
        <left style="thin">
          <color indexed="64"/>
        </left>
        <right style="thin">
          <color indexed="64"/>
        </right>
        <top style="thin">
          <color indexed="64"/>
        </top>
        <bottom style="thin">
          <color indexed="64"/>
        </bottom>
      </border>
    </dxf>
  </rfmt>
  <rcc rId="734" sId="1" xfDxf="1" dxf="1">
    <oc r="W79">
      <f>V79</f>
    </oc>
    <nc r="W79">
      <v>46</v>
    </nc>
    <ndxf>
      <alignment horizontal="left" vertical="top" readingOrder="0"/>
      <border outline="0">
        <left style="thin">
          <color indexed="64"/>
        </left>
        <right style="thin">
          <color indexed="64"/>
        </right>
        <top style="thin">
          <color indexed="64"/>
        </top>
        <bottom style="thin">
          <color indexed="64"/>
        </bottom>
      </border>
    </ndxf>
  </rcc>
  <rcc rId="735" sId="1" xfDxf="1" dxf="1">
    <nc r="X79">
      <v>46</v>
    </nc>
    <ndxf>
      <alignment horizontal="left" vertical="top" readingOrder="0"/>
      <border outline="0">
        <left style="thin">
          <color indexed="64"/>
        </left>
        <right style="thin">
          <color indexed="64"/>
        </right>
        <top style="thin">
          <color indexed="64"/>
        </top>
        <bottom style="thin">
          <color indexed="64"/>
        </bottom>
      </border>
    </ndxf>
  </rcc>
  <rcc rId="736" sId="1" xfDxf="1" dxf="1">
    <oc r="Y79">
      <f>ROUNDDOWN(W79/HLOOKUP(D79,Table!$C$3:$D$4,2,0)*8,2)</f>
    </oc>
    <nc r="Y79">
      <v>0.81</v>
    </nc>
    <ndxf>
      <alignment horizontal="left" vertical="top" readingOrder="0"/>
      <border outline="0">
        <left style="thin">
          <color indexed="64"/>
        </left>
        <right style="thin">
          <color indexed="64"/>
        </right>
        <top style="thin">
          <color indexed="64"/>
        </top>
        <bottom style="thin">
          <color indexed="64"/>
        </bottom>
      </border>
    </ndxf>
  </rcc>
  <rcc rId="737" sId="1" xfDxf="1" dxf="1">
    <nc r="Z79">
      <v>0.12</v>
    </nc>
    <ndxf>
      <alignment horizontal="left" vertical="top" readingOrder="0"/>
      <border outline="0">
        <left style="thin">
          <color indexed="64"/>
        </left>
        <right style="thin">
          <color indexed="64"/>
        </right>
        <top style="thin">
          <color indexed="64"/>
        </top>
        <bottom style="thin">
          <color indexed="64"/>
        </bottom>
      </border>
    </ndxf>
  </rcc>
  <rcc rId="738" sId="1" xfDxf="1" dxf="1">
    <nc r="AA79" t="inlineStr">
      <is>
        <t>Ready for review</t>
      </is>
    </nc>
    <ndxf>
      <alignment horizontal="left" vertical="top" readingOrder="0"/>
      <border outline="0">
        <left style="thin">
          <color indexed="64"/>
        </left>
        <right style="thin">
          <color indexed="64"/>
        </right>
        <top style="thin">
          <color indexed="64"/>
        </top>
        <bottom style="thin">
          <color indexed="64"/>
        </bottom>
      </border>
    </ndxf>
  </rcc>
  <rcc rId="739" sId="1" xfDxf="1" dxf="1">
    <oc r="AB79" t="inlineStr">
      <is>
        <t>NO</t>
      </is>
    </oc>
    <nc r="AB79"/>
    <ndxf>
      <alignment horizontal="left" vertical="top" readingOrder="0"/>
      <border outline="0">
        <left style="thin">
          <color indexed="64"/>
        </left>
        <right style="thin">
          <color indexed="64"/>
        </right>
        <top style="thin">
          <color indexed="64"/>
        </top>
        <bottom style="thin">
          <color indexed="64"/>
        </bottom>
      </border>
    </ndxf>
  </rcc>
  <rfmt sheetId="1" xfDxf="1" sqref="AC79"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xfDxf="1" sqref="AD79"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740" sId="1" xfDxf="1" dxf="1" numFmtId="19">
    <nc r="AE79">
      <v>43938</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741" sId="1" xfDxf="1" dxf="1" numFmtId="19">
    <nc r="AF79">
      <v>43938</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742" sId="1" xfDxf="1" dxf="1">
    <nc r="AG79" t="inlineStr">
      <is>
        <t>OK</t>
      </is>
    </nc>
    <ndxf>
      <font>
        <color auto="1"/>
      </font>
      <alignment horizontal="left" vertical="top" readingOrder="0"/>
      <border outline="0">
        <left style="thin">
          <color indexed="64"/>
        </left>
        <right style="thin">
          <color indexed="64"/>
        </right>
        <top style="thin">
          <color indexed="64"/>
        </top>
        <bottom style="thin">
          <color indexed="64"/>
        </bottom>
      </border>
    </ndxf>
  </rcc>
  <rcc rId="743" sId="1" xfDxf="1" dxf="1" numFmtId="14">
    <nc r="AH7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744" sId="1" xfDxf="1" dxf="1" numFmtId="14">
    <nc r="AI79">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745" sId="1" xfDxf="1" dxf="1" numFmtId="14">
    <nc r="AJ79">
      <v>1</v>
    </nc>
    <ndxf>
      <numFmt numFmtId="14" formatCode="0.00%"/>
      <alignment horizontal="left" vertical="top" readingOrder="0"/>
      <border outline="0">
        <left style="thin">
          <color indexed="64"/>
        </left>
        <right style="thin">
          <color indexed="64"/>
        </right>
        <top style="thin">
          <color indexed="64"/>
        </top>
        <bottom style="thin">
          <color indexed="64"/>
        </bottom>
      </border>
    </ndxf>
  </rcc>
  <rfmt sheetId="1" xfDxf="1" sqref="U80" start="0" length="0">
    <dxf>
      <alignment horizontal="left" vertical="top" readingOrder="0"/>
      <border outline="0">
        <left style="thin">
          <color indexed="64"/>
        </left>
        <right style="thin">
          <color indexed="64"/>
        </right>
        <top style="thin">
          <color indexed="64"/>
        </top>
        <bottom style="thin">
          <color indexed="64"/>
        </bottom>
      </border>
    </dxf>
  </rfmt>
  <rfmt sheetId="1" xfDxf="1" sqref="V80" start="0" length="0">
    <dxf>
      <alignment horizontal="left" vertical="top" readingOrder="0"/>
      <border outline="0">
        <left style="thin">
          <color indexed="64"/>
        </left>
        <right style="thin">
          <color indexed="64"/>
        </right>
        <top style="thin">
          <color indexed="64"/>
        </top>
        <bottom style="thin">
          <color indexed="64"/>
        </bottom>
      </border>
    </dxf>
  </rfmt>
  <rcc rId="746" sId="1" xfDxf="1" dxf="1">
    <oc r="W80">
      <f>V80</f>
    </oc>
    <nc r="W80">
      <v>31</v>
    </nc>
    <ndxf>
      <alignment horizontal="left" vertical="top" readingOrder="0"/>
      <border outline="0">
        <left style="thin">
          <color indexed="64"/>
        </left>
        <right style="thin">
          <color indexed="64"/>
        </right>
        <top style="thin">
          <color indexed="64"/>
        </top>
        <bottom style="thin">
          <color indexed="64"/>
        </bottom>
      </border>
    </ndxf>
  </rcc>
  <rcc rId="747" sId="1" xfDxf="1" dxf="1">
    <nc r="X80">
      <v>31</v>
    </nc>
    <ndxf>
      <alignment horizontal="left" vertical="top" readingOrder="0"/>
      <border outline="0">
        <left style="thin">
          <color indexed="64"/>
        </left>
        <right style="thin">
          <color indexed="64"/>
        </right>
        <top style="thin">
          <color indexed="64"/>
        </top>
        <bottom style="thin">
          <color indexed="64"/>
        </bottom>
      </border>
    </ndxf>
  </rcc>
  <rcc rId="748" sId="1" xfDxf="1" dxf="1">
    <oc r="Y80">
      <f>ROUNDDOWN(W80/HLOOKUP(D80,Table!$C$3:$D$4,2,0)*8,2)</f>
    </oc>
    <nc r="Y80">
      <v>0.55000000000000004</v>
    </nc>
    <ndxf>
      <alignment horizontal="left" vertical="top" readingOrder="0"/>
      <border outline="0">
        <left style="thin">
          <color indexed="64"/>
        </left>
        <right style="thin">
          <color indexed="64"/>
        </right>
        <top style="thin">
          <color indexed="64"/>
        </top>
        <bottom style="thin">
          <color indexed="64"/>
        </bottom>
      </border>
    </ndxf>
  </rcc>
  <rcc rId="749" sId="1" xfDxf="1" dxf="1">
    <nc r="Z80">
      <v>0.25</v>
    </nc>
    <ndxf>
      <alignment horizontal="left" vertical="top" readingOrder="0"/>
      <border outline="0">
        <left style="thin">
          <color indexed="64"/>
        </left>
        <right style="thin">
          <color indexed="64"/>
        </right>
        <top style="thin">
          <color indexed="64"/>
        </top>
        <bottom style="thin">
          <color indexed="64"/>
        </bottom>
      </border>
    </ndxf>
  </rcc>
  <rcc rId="750" sId="1" xfDxf="1" dxf="1">
    <nc r="AA80" t="inlineStr">
      <is>
        <t>Ready for review</t>
      </is>
    </nc>
    <ndxf>
      <alignment horizontal="left" vertical="top" readingOrder="0"/>
      <border outline="0">
        <left style="thin">
          <color indexed="64"/>
        </left>
        <right style="thin">
          <color indexed="64"/>
        </right>
        <top style="thin">
          <color indexed="64"/>
        </top>
        <bottom style="thin">
          <color indexed="64"/>
        </bottom>
      </border>
    </ndxf>
  </rcc>
  <rcc rId="751" sId="1" xfDxf="1" dxf="1">
    <oc r="AB80" t="inlineStr">
      <is>
        <t>NO</t>
      </is>
    </oc>
    <nc r="AB80"/>
    <ndxf>
      <alignment horizontal="left" vertical="top" readingOrder="0"/>
      <border outline="0">
        <left style="thin">
          <color indexed="64"/>
        </left>
        <right style="thin">
          <color indexed="64"/>
        </right>
        <top style="thin">
          <color indexed="64"/>
        </top>
        <bottom style="thin">
          <color indexed="64"/>
        </bottom>
      </border>
    </ndxf>
  </rcc>
  <rfmt sheetId="1" xfDxf="1" sqref="AC80"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xfDxf="1" sqref="AD80"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cc rId="752" sId="1" xfDxf="1" dxf="1" numFmtId="19">
    <nc r="AE80">
      <v>43938</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753" sId="1" xfDxf="1" dxf="1" numFmtId="19">
    <nc r="AF80">
      <v>43938</v>
    </nc>
    <ndxf>
      <numFmt numFmtId="164" formatCode="[$-409]d\-mmm\-yyyy;@"/>
      <alignment horizontal="left" vertical="top" readingOrder="0"/>
      <border outline="0">
        <left style="thin">
          <color indexed="64"/>
        </left>
        <right style="thin">
          <color indexed="64"/>
        </right>
        <top style="thin">
          <color indexed="64"/>
        </top>
        <bottom style="thin">
          <color indexed="64"/>
        </bottom>
      </border>
    </ndxf>
  </rcc>
  <rcc rId="754" sId="1" xfDxf="1" dxf="1">
    <nc r="AG80" t="inlineStr">
      <is>
        <t>OK</t>
      </is>
    </nc>
    <ndxf>
      <font>
        <color auto="1"/>
      </font>
      <alignment horizontal="left" vertical="top" readingOrder="0"/>
      <border outline="0">
        <left style="thin">
          <color indexed="64"/>
        </left>
        <right style="thin">
          <color indexed="64"/>
        </right>
        <top style="thin">
          <color indexed="64"/>
        </top>
        <bottom style="thin">
          <color indexed="64"/>
        </bottom>
      </border>
    </ndxf>
  </rcc>
  <rcc rId="755" sId="1" xfDxf="1" dxf="1" numFmtId="14">
    <nc r="AH80">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756" sId="1" xfDxf="1" dxf="1" numFmtId="14">
    <nc r="AI80">
      <v>1</v>
    </nc>
    <ndxf>
      <numFmt numFmtId="14" formatCode="0.00%"/>
      <alignment horizontal="left" vertical="top" readingOrder="0"/>
      <border outline="0">
        <left style="thin">
          <color indexed="64"/>
        </left>
        <right style="thin">
          <color indexed="64"/>
        </right>
        <top style="thin">
          <color indexed="64"/>
        </top>
        <bottom style="thin">
          <color indexed="64"/>
        </bottom>
      </border>
    </ndxf>
  </rcc>
  <rcc rId="757" sId="1" xfDxf="1" dxf="1" numFmtId="14">
    <nc r="AJ80">
      <v>1</v>
    </nc>
    <ndxf>
      <numFmt numFmtId="14" formatCode="0.00%"/>
      <alignment horizontal="left" vertical="top" readingOrder="0"/>
      <border outline="0">
        <left style="thin">
          <color indexed="64"/>
        </left>
        <right style="thin">
          <color indexed="64"/>
        </right>
        <top style="thin">
          <color indexed="64"/>
        </top>
        <bottom style="thin">
          <color indexed="64"/>
        </bottom>
      </border>
    </ndxf>
  </rcc>
  <rcv guid="{3B3E6719-EACB-4D2C-89C1-05FFAB6020FD}" action="delete"/>
  <rdn rId="0" localSheetId="1" customView="1" name="Z_3B3E6719_EACB_4D2C_89C1_05FFAB6020FD_.wvu.FilterData" hidden="1" oldHidden="1">
    <formula>COEM_Data_20200414!$B$47:$AN$312</formula>
    <oldFormula>COEM_Data_20200414!$B$47:$AN$312</oldFormula>
  </rdn>
  <rdn rId="0" localSheetId="2" customView="1" name="Z_3B3E6719_EACB_4D2C_89C1_05FFAB6020FD_.wvu.FilterData" hidden="1" oldHidden="1">
    <formula>Merged!$B$62:$AK$313</formula>
    <oldFormula>Merged!$B$62:$AK$313</oldFormula>
  </rdn>
  <rdn rId="0" localSheetId="10" customView="1" name="Z_3B3E6719_EACB_4D2C_89C1_05FFAB6020FD_.wvu.FilterData" hidden="1" oldHidden="1">
    <formula>Not_Fill_Data_20200321_20200420!$P$49:$P$219</formula>
    <oldFormula>Not_Fill_Data_20200321_20200420!$P$49:$P$219</oldFormula>
  </rdn>
  <rdn rId="0" localSheetId="11" customView="1" name="Z_3B3E6719_EACB_4D2C_89C1_05FFAB6020FD_.wvu.FilterData" hidden="1" oldHidden="1">
    <formula>Not_Fill_Data_20200305_20200320!$B$37:$AK$106</formula>
    <oldFormula>Not_Fill_Data_20200305_20200320!$B$37:$AK$106</oldFormula>
  </rdn>
  <rcv guid="{3B3E6719-EACB-4D2C-89C1-05FFAB6020FD}" action="add"/>
</revisions>
</file>

<file path=xl/revisions/revisionLog6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62" sId="1">
    <nc r="AK77" t="inlineStr">
      <is>
        <t>None</t>
      </is>
    </nc>
  </rcc>
  <rcc rId="763" sId="1">
    <nc r="AK78" t="inlineStr">
      <is>
        <t>None</t>
      </is>
    </nc>
  </rcc>
  <rcc rId="764" sId="1">
    <nc r="AK79" t="inlineStr">
      <is>
        <t>None</t>
      </is>
    </nc>
  </rcc>
  <rcc rId="765" sId="1">
    <nc r="AK80" t="inlineStr">
      <is>
        <t>None</t>
      </is>
    </nc>
  </rcc>
  <rcv guid="{3B3E6719-EACB-4D2C-89C1-05FFAB6020FD}" action="delete"/>
  <rdn rId="0" localSheetId="1" customView="1" name="Z_3B3E6719_EACB_4D2C_89C1_05FFAB6020FD_.wvu.FilterData" hidden="1" oldHidden="1">
    <formula>COEM_Data_20200414!$B$47:$AN$312</formula>
    <oldFormula>COEM_Data_20200414!$B$47:$AN$312</oldFormula>
  </rdn>
  <rdn rId="0" localSheetId="2" customView="1" name="Z_3B3E6719_EACB_4D2C_89C1_05FFAB6020FD_.wvu.FilterData" hidden="1" oldHidden="1">
    <formula>Merged!$B$62:$AK$313</formula>
    <oldFormula>Merged!$B$62:$AK$313</oldFormula>
  </rdn>
  <rdn rId="0" localSheetId="10" customView="1" name="Z_3B3E6719_EACB_4D2C_89C1_05FFAB6020FD_.wvu.FilterData" hidden="1" oldHidden="1">
    <formula>Not_Fill_Data_20200321_20200420!$P$49:$P$219</formula>
    <oldFormula>Not_Fill_Data_20200321_20200420!$P$49:$P$219</oldFormula>
  </rdn>
  <rdn rId="0" localSheetId="11" customView="1" name="Z_3B3E6719_EACB_4D2C_89C1_05FFAB6020FD_.wvu.FilterData" hidden="1" oldHidden="1">
    <formula>Not_Fill_Data_20200305_20200320!$B$37:$AK$106</formula>
    <oldFormula>Not_Fill_Data_20200305_20200320!$B$37:$AK$106</oldFormula>
  </rdn>
  <rcv guid="{3B3E6719-EACB-4D2C-89C1-05FFAB6020FD}" action="add"/>
</revisions>
</file>

<file path=xl/revisions/revisionLog6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COEM_Data_20200414!$B$47:$AN$312</formula>
    <oldFormula>COEM_Data_20200414!$B$47:$AN$312</oldFormula>
  </rdn>
  <rdn rId="0" localSheetId="2" customView="1" name="Z_3B3E6719_EACB_4D2C_89C1_05FFAB6020FD_.wvu.FilterData" hidden="1" oldHidden="1">
    <formula>Merged!$B$62:$AK$313</formula>
    <oldFormula>Merged!$B$62:$AK$313</oldFormula>
  </rdn>
  <rdn rId="0" localSheetId="10" customView="1" name="Z_3B3E6719_EACB_4D2C_89C1_05FFAB6020FD_.wvu.FilterData" hidden="1" oldHidden="1">
    <formula>Not_Fill_Data_20200321_20200420!$P$49:$P$219</formula>
    <oldFormula>Not_Fill_Data_20200321_20200420!$P$49:$P$219</oldFormula>
  </rdn>
  <rdn rId="0" localSheetId="11" customView="1" name="Z_3B3E6719_EACB_4D2C_89C1_05FFAB6020FD_.wvu.FilterData" hidden="1" oldHidden="1">
    <formula>Not_Fill_Data_20200305_20200320!$B$37:$AK$106</formula>
    <oldFormula>Not_Fill_Data_20200305_20200320!$B$37:$AK$106</oldFormula>
  </rdn>
  <rcv guid="{3B3E6719-EACB-4D2C-89C1-05FFAB6020FD}" action="add"/>
</revisions>
</file>

<file path=xl/revisions/revisionLog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74" sId="1">
    <oc r="AB81" t="inlineStr">
      <is>
        <t>NO</t>
      </is>
    </oc>
    <nc r="AB81"/>
  </rcc>
  <rcc rId="775" sId="1">
    <oc r="AB82" t="inlineStr">
      <is>
        <t>NO</t>
      </is>
    </oc>
    <nc r="AB82"/>
  </rcc>
  <rcc rId="776" sId="1">
    <oc r="AB83" t="inlineStr">
      <is>
        <t>NO</t>
      </is>
    </oc>
    <nc r="AB83"/>
  </rcc>
  <rcc rId="777" sId="1">
    <oc r="AB84" t="inlineStr">
      <is>
        <t>YES</t>
      </is>
    </oc>
    <nc r="AB84"/>
  </rcc>
  <rcc rId="778" sId="1">
    <oc r="AB85" t="inlineStr">
      <is>
        <t>YES</t>
      </is>
    </oc>
    <nc r="AB85"/>
  </rcc>
  <rcc rId="779" sId="1">
    <oc r="AB86" t="inlineStr">
      <is>
        <t>YES</t>
      </is>
    </oc>
    <nc r="AB86"/>
  </rcc>
  <rcc rId="780" sId="1">
    <oc r="AB87" t="inlineStr">
      <is>
        <t>YES</t>
      </is>
    </oc>
    <nc r="AB87"/>
  </rcc>
  <rcc rId="781" sId="1">
    <oc r="AB88" t="inlineStr">
      <is>
        <t>NO</t>
      </is>
    </oc>
    <nc r="AB88"/>
  </rcc>
  <rcc rId="782" sId="1">
    <oc r="AB89" t="inlineStr">
      <is>
        <t>NO</t>
      </is>
    </oc>
    <nc r="AB89"/>
  </rcc>
  <rcc rId="783" sId="1">
    <oc r="AB90" t="inlineStr">
      <is>
        <t>NO</t>
      </is>
    </oc>
    <nc r="AB90"/>
  </rcc>
  <rcc rId="784" sId="1">
    <oc r="AB91" t="inlineStr">
      <is>
        <t>NO</t>
      </is>
    </oc>
    <nc r="AB91"/>
  </rcc>
  <rcc rId="785" sId="1">
    <oc r="AB92" t="inlineStr">
      <is>
        <t>NO</t>
      </is>
    </oc>
    <nc r="AB92"/>
  </rcc>
  <rcc rId="786" sId="1">
    <oc r="AB93" t="inlineStr">
      <is>
        <t>NO</t>
      </is>
    </oc>
    <nc r="AB93"/>
  </rcc>
  <rcc rId="787" sId="1">
    <oc r="AB94" t="inlineStr">
      <is>
        <t>NO</t>
      </is>
    </oc>
    <nc r="AB94"/>
  </rcc>
  <rcc rId="788" sId="1">
    <oc r="AB95" t="inlineStr">
      <is>
        <t>NO</t>
      </is>
    </oc>
    <nc r="AB95"/>
  </rcc>
  <rcc rId="789" sId="1">
    <oc r="AB96" t="inlineStr">
      <is>
        <t>NO</t>
      </is>
    </oc>
    <nc r="AB96"/>
  </rcc>
  <rcc rId="790" sId="1">
    <oc r="AB97" t="inlineStr">
      <is>
        <t>NO</t>
      </is>
    </oc>
    <nc r="AB97"/>
  </rcc>
  <rcc rId="791" sId="1">
    <oc r="AB98" t="inlineStr">
      <is>
        <t>NO</t>
      </is>
    </oc>
    <nc r="AB98"/>
  </rcc>
  <rcc rId="792" sId="1">
    <oc r="AB99" t="inlineStr">
      <is>
        <t>NO</t>
      </is>
    </oc>
    <nc r="AB99"/>
  </rcc>
  <rcc rId="793" sId="1">
    <oc r="AB100" t="inlineStr">
      <is>
        <t>NO</t>
      </is>
    </oc>
    <nc r="AB100"/>
  </rcc>
  <rcc rId="794" sId="1">
    <oc r="AB101" t="inlineStr">
      <is>
        <t>YES</t>
      </is>
    </oc>
    <nc r="AB101"/>
  </rcc>
  <rcc rId="795" sId="1">
    <oc r="AB102" t="inlineStr">
      <is>
        <t>YES</t>
      </is>
    </oc>
    <nc r="AB102"/>
  </rcc>
  <rcc rId="796" sId="1">
    <oc r="AB103" t="inlineStr">
      <is>
        <t>YES</t>
      </is>
    </oc>
    <nc r="AB103"/>
  </rcc>
  <rcc rId="797" sId="1">
    <oc r="AB104" t="inlineStr">
      <is>
        <t>YES</t>
      </is>
    </oc>
    <nc r="AB104"/>
  </rcc>
  <rcc rId="798" sId="1">
    <oc r="AB105" t="inlineStr">
      <is>
        <t>YES</t>
      </is>
    </oc>
    <nc r="AB105"/>
  </rcc>
  <rcc rId="799" sId="1">
    <oc r="AB106" t="inlineStr">
      <is>
        <t>YES</t>
      </is>
    </oc>
    <nc r="AB106"/>
  </rcc>
  <rcc rId="800" sId="1">
    <oc r="AB107" t="inlineStr">
      <is>
        <t>YES</t>
      </is>
    </oc>
    <nc r="AB107"/>
  </rcc>
  <rcc rId="801" sId="1">
    <oc r="AB108" t="inlineStr">
      <is>
        <t>YES</t>
      </is>
    </oc>
    <nc r="AB108"/>
  </rcc>
  <rcc rId="802" sId="1">
    <oc r="AB109" t="inlineStr">
      <is>
        <t>YES</t>
      </is>
    </oc>
    <nc r="AB109"/>
  </rcc>
  <rcc rId="803" sId="1">
    <oc r="AB110" t="inlineStr">
      <is>
        <t>YES</t>
      </is>
    </oc>
    <nc r="AB110"/>
  </rcc>
  <rcc rId="804" sId="1">
    <oc r="AB111" t="inlineStr">
      <is>
        <t>YES</t>
      </is>
    </oc>
    <nc r="AB111"/>
  </rcc>
  <rcc rId="805" sId="1">
    <oc r="AB112" t="inlineStr">
      <is>
        <t>YES</t>
      </is>
    </oc>
    <nc r="AB112"/>
  </rcc>
  <rcc rId="806" sId="1">
    <oc r="AB113" t="inlineStr">
      <is>
        <t>YES</t>
      </is>
    </oc>
    <nc r="AB113"/>
  </rcc>
  <rcc rId="807" sId="1">
    <oc r="AB114" t="inlineStr">
      <is>
        <t>NO</t>
      </is>
    </oc>
    <nc r="AB114"/>
  </rcc>
  <rcc rId="808" sId="1">
    <oc r="AB115" t="inlineStr">
      <is>
        <t>NO</t>
      </is>
    </oc>
    <nc r="AB115"/>
  </rcc>
  <rcc rId="809" sId="1">
    <oc r="AB116" t="inlineStr">
      <is>
        <t>NO</t>
      </is>
    </oc>
    <nc r="AB116"/>
  </rcc>
  <rcc rId="810" sId="1">
    <oc r="AB117" t="inlineStr">
      <is>
        <t>NO</t>
      </is>
    </oc>
    <nc r="AB117"/>
  </rcc>
  <rcc rId="811" sId="1">
    <oc r="AB118" t="inlineStr">
      <is>
        <t>NO</t>
      </is>
    </oc>
    <nc r="AB118"/>
  </rcc>
  <rcc rId="812" sId="1">
    <oc r="AB119" t="inlineStr">
      <is>
        <t>NO</t>
      </is>
    </oc>
    <nc r="AB119"/>
  </rcc>
  <rcc rId="813" sId="1">
    <oc r="AB120" t="inlineStr">
      <is>
        <t>NO</t>
      </is>
    </oc>
    <nc r="AB120"/>
  </rcc>
  <rcc rId="814" sId="1">
    <oc r="AB121" t="inlineStr">
      <is>
        <t>NO</t>
      </is>
    </oc>
    <nc r="AB121"/>
  </rcc>
  <rcc rId="815" sId="1">
    <oc r="AB122" t="inlineStr">
      <is>
        <t>NO</t>
      </is>
    </oc>
    <nc r="AB122"/>
  </rcc>
  <rcc rId="816" sId="1">
    <oc r="AB123" t="inlineStr">
      <is>
        <t>NO</t>
      </is>
    </oc>
    <nc r="AB123"/>
  </rcc>
  <rcc rId="817" sId="1">
    <oc r="AB124" t="inlineStr">
      <is>
        <t>NO</t>
      </is>
    </oc>
    <nc r="AB124"/>
  </rcc>
  <rcc rId="818" sId="1">
    <oc r="AB125" t="inlineStr">
      <is>
        <t>NO</t>
      </is>
    </oc>
    <nc r="AB125"/>
  </rcc>
  <rcc rId="819" sId="1">
    <oc r="AB126" t="inlineStr">
      <is>
        <t>NO</t>
      </is>
    </oc>
    <nc r="AB126"/>
  </rcc>
  <rcc rId="820" sId="1">
    <oc r="AB127" t="inlineStr">
      <is>
        <t>NO</t>
      </is>
    </oc>
    <nc r="AB127"/>
  </rcc>
  <rcc rId="821" sId="1">
    <oc r="AB128" t="inlineStr">
      <is>
        <t>NO</t>
      </is>
    </oc>
    <nc r="AB128"/>
  </rcc>
  <rcc rId="822" sId="1">
    <oc r="AB129" t="inlineStr">
      <is>
        <t>NO</t>
      </is>
    </oc>
    <nc r="AB129"/>
  </rcc>
  <rcc rId="823" sId="1">
    <oc r="AB130" t="inlineStr">
      <is>
        <t>NO</t>
      </is>
    </oc>
    <nc r="AB130"/>
  </rcc>
  <rcc rId="824" sId="1">
    <oc r="AB131" t="inlineStr">
      <is>
        <t>NO</t>
      </is>
    </oc>
    <nc r="AB131"/>
  </rcc>
  <rcc rId="825" sId="1">
    <oc r="AB132" t="inlineStr">
      <is>
        <t>NO</t>
      </is>
    </oc>
    <nc r="AB132"/>
  </rcc>
  <rcc rId="826" sId="1">
    <oc r="AB133" t="inlineStr">
      <is>
        <t>NO</t>
      </is>
    </oc>
    <nc r="AB133"/>
  </rcc>
  <rcc rId="827" sId="1">
    <oc r="AB134" t="inlineStr">
      <is>
        <t>NO</t>
      </is>
    </oc>
    <nc r="AB134"/>
  </rcc>
  <rcc rId="828" sId="1">
    <oc r="AB135" t="inlineStr">
      <is>
        <t>NO</t>
      </is>
    </oc>
    <nc r="AB135"/>
  </rcc>
  <rcc rId="829" sId="1">
    <oc r="AB136" t="inlineStr">
      <is>
        <t>NO</t>
      </is>
    </oc>
    <nc r="AB136"/>
  </rcc>
  <rcc rId="830" sId="1">
    <oc r="AB137" t="inlineStr">
      <is>
        <t>NO</t>
      </is>
    </oc>
    <nc r="AB137"/>
  </rcc>
  <rcc rId="831" sId="1">
    <oc r="AB138" t="inlineStr">
      <is>
        <t>NO</t>
      </is>
    </oc>
    <nc r="AB138"/>
  </rcc>
  <rcc rId="832" sId="1">
    <oc r="AB139" t="inlineStr">
      <is>
        <t>NO</t>
      </is>
    </oc>
    <nc r="AB139"/>
  </rcc>
  <rcc rId="833" sId="1">
    <oc r="AB140" t="inlineStr">
      <is>
        <t>NO</t>
      </is>
    </oc>
    <nc r="AB140"/>
  </rcc>
  <rcc rId="834" sId="1">
    <oc r="AB141" t="inlineStr">
      <is>
        <t>NO</t>
      </is>
    </oc>
    <nc r="AB141"/>
  </rcc>
  <rcc rId="835" sId="1">
    <oc r="AB142" t="inlineStr">
      <is>
        <t>NO</t>
      </is>
    </oc>
    <nc r="AB142"/>
  </rcc>
  <rcc rId="836" sId="1">
    <oc r="AB143" t="inlineStr">
      <is>
        <t>NO</t>
      </is>
    </oc>
    <nc r="AB143"/>
  </rcc>
  <rcc rId="837" sId="1">
    <oc r="AB144" t="inlineStr">
      <is>
        <t>YES</t>
      </is>
    </oc>
    <nc r="AB144"/>
  </rcc>
  <rcc rId="838" sId="1">
    <oc r="AB145" t="inlineStr">
      <is>
        <t>YES</t>
      </is>
    </oc>
    <nc r="AB145"/>
  </rcc>
  <rcc rId="839" sId="1">
    <oc r="AB146" t="inlineStr">
      <is>
        <t>YES</t>
      </is>
    </oc>
    <nc r="AB146"/>
  </rcc>
  <rcc rId="840" sId="1">
    <oc r="AB147" t="inlineStr">
      <is>
        <t>YES</t>
      </is>
    </oc>
    <nc r="AB147"/>
  </rcc>
  <rcc rId="841" sId="1">
    <oc r="AB148" t="inlineStr">
      <is>
        <t>YES</t>
      </is>
    </oc>
    <nc r="AB148"/>
  </rcc>
  <rcc rId="842" sId="1">
    <oc r="AB149" t="inlineStr">
      <is>
        <t>YES</t>
      </is>
    </oc>
    <nc r="AB149"/>
  </rcc>
  <rcc rId="843" sId="1">
    <oc r="AB150" t="inlineStr">
      <is>
        <t>YES</t>
      </is>
    </oc>
    <nc r="AB150"/>
  </rcc>
  <rcc rId="844" sId="1">
    <oc r="AB151" t="inlineStr">
      <is>
        <t>YES</t>
      </is>
    </oc>
    <nc r="AB151"/>
  </rcc>
  <rcc rId="845" sId="1">
    <oc r="AB152" t="inlineStr">
      <is>
        <t>YES</t>
      </is>
    </oc>
    <nc r="AB152"/>
  </rcc>
  <rcc rId="846" sId="1">
    <oc r="AB153" t="inlineStr">
      <is>
        <t>YES</t>
      </is>
    </oc>
    <nc r="AB153"/>
  </rcc>
  <rcc rId="847" sId="1">
    <oc r="AB154" t="inlineStr">
      <is>
        <t>YES</t>
      </is>
    </oc>
    <nc r="AB154"/>
  </rcc>
  <rcv guid="{250915DF-0B97-45D7-B29D-7EED4C89C1C1}" action="delete"/>
  <rdn rId="0" localSheetId="1" customView="1" name="Z_250915DF_0B97_45D7_B29D_7EED4C89C1C1_.wvu.FilterData" hidden="1" oldHidden="1">
    <formula>COEM_Data_20200414!$B$47:$AN$312</formula>
    <oldFormula>COEM_Data_20200414!$B$47:$AN$312</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6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52" sId="1">
    <oc r="S81" t="inlineStr">
      <is>
        <t>phuong.nguyen-thanh</t>
      </is>
    </oc>
    <nc r="S81" t="inlineStr">
      <is>
        <t>dac.luu-cong</t>
      </is>
    </nc>
  </rcc>
  <rcc rId="853" sId="1">
    <oc r="S82" t="inlineStr">
      <is>
        <t>phuong.nguyen-thanh</t>
      </is>
    </oc>
    <nc r="S82" t="inlineStr">
      <is>
        <t>dac.luu-cong</t>
      </is>
    </nc>
  </rcc>
  <rcc rId="854" sId="1">
    <oc r="S83" t="inlineStr">
      <is>
        <t>phuong.nguyen-thanh</t>
      </is>
    </oc>
    <nc r="S83" t="inlineStr">
      <is>
        <t>dac.luu-cong</t>
      </is>
    </nc>
  </rcc>
  <rcv guid="{250915DF-0B97-45D7-B29D-7EED4C89C1C1}" action="delete"/>
  <rdn rId="0" localSheetId="1" customView="1" name="Z_250915DF_0B97_45D7_B29D_7EED4C89C1C1_.wvu.FilterData" hidden="1" oldHidden="1">
    <formula>COEM_Data_20200414!$B$47:$AN$312</formula>
    <oldFormula>COEM_Data_20200414!$B$47:$AN$312</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6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COEM_Data_20200414!$B$47:$AN$312</formula>
    <oldFormula>COEM_Data_20200414!$B$47:$AN$312</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6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63" sId="1">
    <nc r="AK84" t="inlineStr">
      <is>
        <t>None</t>
      </is>
    </nc>
  </rcc>
  <rcc rId="864" sId="1">
    <nc r="AK85" t="inlineStr">
      <is>
        <t>None</t>
      </is>
    </nc>
  </rcc>
  <rcc rId="865" sId="1">
    <nc r="AK86" t="inlineStr">
      <is>
        <t>None</t>
      </is>
    </nc>
  </rcc>
  <rcc rId="866" sId="1">
    <nc r="AK87" t="inlineStr">
      <is>
        <t>None</t>
      </is>
    </nc>
  </rcc>
  <rcc rId="867" sId="1">
    <nc r="AK88" t="inlineStr">
      <is>
        <t>None</t>
      </is>
    </nc>
  </rcc>
  <rcc rId="868" sId="1">
    <nc r="AK89" t="inlineStr">
      <is>
        <t>None</t>
      </is>
    </nc>
  </rcc>
  <rcc rId="869" sId="1">
    <nc r="AK91" t="inlineStr">
      <is>
        <t>None</t>
      </is>
    </nc>
  </rcc>
  <rcc rId="870" sId="1">
    <oc r="AL96" t="inlineStr">
      <is>
        <t>/.\</t>
      </is>
    </oc>
    <nc r="AL96"/>
  </rcc>
  <rcc rId="871" sId="1">
    <nc r="AK93" t="inlineStr">
      <is>
        <t>None</t>
      </is>
    </nc>
  </rcc>
  <rcc rId="872" sId="1">
    <nc r="AK94" t="inlineStr">
      <is>
        <t>None</t>
      </is>
    </nc>
  </rcc>
  <rcc rId="873" sId="1">
    <nc r="AK95" t="inlineStr">
      <is>
        <t>None</t>
      </is>
    </nc>
  </rcc>
  <rcc rId="874" sId="1">
    <nc r="AK96" t="inlineStr">
      <is>
        <t>None</t>
      </is>
    </nc>
  </rcc>
  <rcc rId="875" sId="1">
    <nc r="AK97" t="inlineStr">
      <is>
        <t>None</t>
      </is>
    </nc>
  </rcc>
  <rcc rId="876" sId="1">
    <nc r="AK98" t="inlineStr">
      <is>
        <t>None</t>
      </is>
    </nc>
  </rcc>
  <rcc rId="877" sId="1">
    <nc r="AK99" t="inlineStr">
      <is>
        <t>None</t>
      </is>
    </nc>
  </rcc>
  <rcc rId="878" sId="1">
    <nc r="AK100" t="inlineStr">
      <is>
        <t>None</t>
      </is>
    </nc>
  </rcc>
  <rcc rId="879" sId="1">
    <nc r="AK101" t="inlineStr">
      <is>
        <t>None</t>
      </is>
    </nc>
  </rcc>
  <rcc rId="880" sId="1">
    <nc r="AK102" t="inlineStr">
      <is>
        <t>None</t>
      </is>
    </nc>
  </rcc>
  <rcc rId="881" sId="1">
    <nc r="AK103" t="inlineStr">
      <is>
        <t>OPL</t>
      </is>
    </nc>
  </rcc>
  <rcc rId="882" sId="1">
    <nc r="AK104" t="inlineStr">
      <is>
        <t>None</t>
      </is>
    </nc>
  </rcc>
  <rcc rId="883" sId="1">
    <nc r="AK105" t="inlineStr">
      <is>
        <t>None</t>
      </is>
    </nc>
  </rcc>
  <rcc rId="884" sId="1">
    <nc r="AK107" t="inlineStr">
      <is>
        <t>None</t>
      </is>
    </nc>
  </rcc>
  <rcc rId="885" sId="1">
    <nc r="AK108" t="inlineStr">
      <is>
        <t>None</t>
      </is>
    </nc>
  </rcc>
  <rcc rId="886" sId="1">
    <nc r="AK109" t="inlineStr">
      <is>
        <t>None</t>
      </is>
    </nc>
  </rcc>
  <rcc rId="887" sId="1">
    <nc r="AK110" t="inlineStr">
      <is>
        <t>None</t>
      </is>
    </nc>
  </rcc>
  <rcc rId="888" sId="1">
    <nc r="AK111" t="inlineStr">
      <is>
        <t>None</t>
      </is>
    </nc>
  </rcc>
  <rcc rId="889" sId="1">
    <nc r="AK112" t="inlineStr">
      <is>
        <t>None</t>
      </is>
    </nc>
  </rcc>
  <rcc rId="890" sId="1">
    <nc r="AK113" t="inlineStr">
      <is>
        <t>None</t>
      </is>
    </nc>
  </rcc>
  <rcc rId="891" sId="1">
    <nc r="AK114" t="inlineStr">
      <is>
        <t>None</t>
      </is>
    </nc>
  </rcc>
  <rcc rId="892" sId="1">
    <nc r="AK118" t="inlineStr">
      <is>
        <t>None</t>
      </is>
    </nc>
  </rcc>
  <rcc rId="893" sId="1">
    <nc r="AK119" t="inlineStr">
      <is>
        <t>None</t>
      </is>
    </nc>
  </rcc>
  <rcc rId="894" sId="1">
    <nc r="AK120" t="inlineStr">
      <is>
        <t>None</t>
      </is>
    </nc>
  </rcc>
  <rcc rId="895" sId="1">
    <nc r="AK121" t="inlineStr">
      <is>
        <t>None</t>
      </is>
    </nc>
  </rcc>
  <rcc rId="896" sId="1">
    <nc r="AK122" t="inlineStr">
      <is>
        <t>None</t>
      </is>
    </nc>
  </rcc>
  <rcc rId="897" sId="1">
    <nc r="AK124" t="inlineStr">
      <is>
        <t>None</t>
      </is>
    </nc>
  </rcc>
  <rcc rId="898" sId="1">
    <nc r="AK126" t="inlineStr">
      <is>
        <t>None</t>
      </is>
    </nc>
  </rcc>
  <rcc rId="899" sId="1">
    <nc r="AK127" t="inlineStr">
      <is>
        <t>None</t>
      </is>
    </nc>
  </rcc>
  <rcc rId="900" sId="1">
    <nc r="AK128" t="inlineStr">
      <is>
        <t>None</t>
      </is>
    </nc>
  </rcc>
  <rcc rId="901" sId="1">
    <nc r="AK129" t="inlineStr">
      <is>
        <t>None</t>
      </is>
    </nc>
  </rcc>
  <rcc rId="902" sId="1">
    <nc r="AK130" t="inlineStr">
      <is>
        <t>None</t>
      </is>
    </nc>
  </rcc>
  <rcc rId="903" sId="1">
    <nc r="AK131" t="inlineStr">
      <is>
        <t>None</t>
      </is>
    </nc>
  </rcc>
  <rcc rId="904" sId="1">
    <nc r="AK132" t="inlineStr">
      <is>
        <t>None</t>
      </is>
    </nc>
  </rcc>
  <rcc rId="905" sId="1">
    <nc r="AK133" t="inlineStr">
      <is>
        <t>None</t>
      </is>
    </nc>
  </rcc>
  <rcc rId="906" sId="1">
    <nc r="AK134" t="inlineStr">
      <is>
        <t>None</t>
      </is>
    </nc>
  </rcc>
  <rcc rId="907" sId="1">
    <nc r="AK135" t="inlineStr">
      <is>
        <t>None</t>
      </is>
    </nc>
  </rcc>
  <rcc rId="908" sId="1">
    <nc r="AK136" t="inlineStr">
      <is>
        <t>OPL</t>
      </is>
    </nc>
  </rcc>
  <rcc rId="909" sId="1">
    <nc r="AK138" t="inlineStr">
      <is>
        <t>OPL</t>
      </is>
    </nc>
  </rcc>
  <rcc rId="910" sId="1">
    <nc r="AK139" t="inlineStr">
      <is>
        <t>OPL</t>
      </is>
    </nc>
  </rcc>
  <rcc rId="911" sId="1">
    <nc r="AK137" t="inlineStr">
      <is>
        <t>None</t>
      </is>
    </nc>
  </rcc>
  <rcc rId="912" sId="1">
    <nc r="AK140" t="inlineStr">
      <is>
        <t>None</t>
      </is>
    </nc>
  </rcc>
  <rcc rId="913" sId="1">
    <nc r="AK141" t="inlineStr">
      <is>
        <t>None</t>
      </is>
    </nc>
  </rcc>
  <rcc rId="914" sId="1">
    <nc r="AK142" t="inlineStr">
      <is>
        <t>None</t>
      </is>
    </nc>
  </rcc>
  <rcc rId="915" sId="1">
    <nc r="AK143" t="inlineStr">
      <is>
        <t>None</t>
      </is>
    </nc>
  </rcc>
  <rcc rId="916" sId="1">
    <nc r="AK144" t="inlineStr">
      <is>
        <t>None</t>
      </is>
    </nc>
  </rcc>
  <rcc rId="917" sId="1">
    <nc r="AK145" t="inlineStr">
      <is>
        <t>None</t>
      </is>
    </nc>
  </rcc>
  <rcc rId="918" sId="1">
    <nc r="AK146" t="inlineStr">
      <is>
        <t>None</t>
      </is>
    </nc>
  </rcc>
  <rcc rId="919" sId="1">
    <nc r="AK147" t="inlineStr">
      <is>
        <t>None</t>
      </is>
    </nc>
  </rcc>
  <rcc rId="920" sId="1">
    <nc r="AK148" t="inlineStr">
      <is>
        <t>None</t>
      </is>
    </nc>
  </rcc>
  <rcc rId="921" sId="1">
    <nc r="AK149" t="inlineStr">
      <is>
        <t>None</t>
      </is>
    </nc>
  </rcc>
  <rcc rId="922" sId="1">
    <nc r="AK150" t="inlineStr">
      <is>
        <t>None</t>
      </is>
    </nc>
  </rcc>
  <rcc rId="923" sId="1">
    <nc r="AK151" t="inlineStr">
      <is>
        <t>None</t>
      </is>
    </nc>
  </rcc>
  <rcc rId="924" sId="1">
    <nc r="AK152" t="inlineStr">
      <is>
        <t>None</t>
      </is>
    </nc>
  </rcc>
  <rcc rId="925" sId="1">
    <nc r="AK153" t="inlineStr">
      <is>
        <t>None</t>
      </is>
    </nc>
  </rcc>
  <rcc rId="926" sId="1">
    <nc r="AK154" t="inlineStr">
      <is>
        <t>None</t>
      </is>
    </nc>
  </rcc>
  <rcv guid="{250915DF-0B97-45D7-B29D-7EED4C89C1C1}" action="delete"/>
  <rdn rId="0" localSheetId="1" customView="1" name="Z_250915DF_0B97_45D7_B29D_7EED4C89C1C1_.wvu.FilterData" hidden="1" oldHidden="1">
    <formula>COEM_Data_20200414!$B$47:$AN$312</formula>
    <oldFormula>COEM_Data_20200414!$B$47:$AN$312</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6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B155:B157">
    <dxf>
      <fill>
        <patternFill>
          <bgColor theme="8" tint="0.39997558519241921"/>
        </patternFill>
      </fill>
    </dxf>
  </rfmt>
  <rcv guid="{250915DF-0B97-45D7-B29D-7EED4C89C1C1}" action="delete"/>
  <rdn rId="0" localSheetId="1" customView="1" name="Z_250915DF_0B97_45D7_B29D_7EED4C89C1C1_.wvu.FilterData" hidden="1" oldHidden="1">
    <formula>COEM_Data_20200414!$B$47:$AN$312</formula>
    <oldFormula>COEM_Data_20200414!$B$47:$AN$312</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6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35" sId="1">
    <nc r="S157" t="inlineStr">
      <is>
        <t>dac.luu-cong</t>
      </is>
    </nc>
  </rcc>
  <rcc rId="936" sId="1">
    <nc r="S156" t="inlineStr">
      <is>
        <t>dac.luu-cong</t>
      </is>
    </nc>
  </rcc>
  <rcc rId="937" sId="1">
    <nc r="S155" t="inlineStr">
      <is>
        <t>dac.luu-cong</t>
      </is>
    </nc>
  </rcc>
  <rcc rId="938" sId="1">
    <nc r="X155">
      <f>W155</f>
    </nc>
  </rcc>
  <rcc rId="939" sId="1">
    <nc r="X156">
      <f>W156</f>
    </nc>
  </rcc>
  <rcc rId="940" sId="1">
    <nc r="X157">
      <f>W157</f>
    </nc>
  </rcc>
  <rcc rId="941" sId="1">
    <oc r="Z92">
      <v>9</v>
    </oc>
    <nc r="Z92">
      <v>5</v>
    </nc>
  </rcc>
  <rcc rId="942" sId="1">
    <nc r="Z156">
      <v>1</v>
    </nc>
  </rcc>
  <rcc rId="943" sId="1">
    <nc r="Z157">
      <v>1</v>
    </nc>
  </rcc>
  <rcc rId="944" sId="1">
    <nc r="Z155">
      <v>2</v>
    </nc>
  </rcc>
  <rcc rId="945" sId="1">
    <nc r="AA155" t="inlineStr">
      <is>
        <t>Ready for review</t>
      </is>
    </nc>
  </rcc>
  <rcc rId="946" sId="1">
    <nc r="AA156" t="inlineStr">
      <is>
        <t>Ready for review</t>
      </is>
    </nc>
  </rcc>
  <rcc rId="947" sId="1">
    <nc r="AA157" t="inlineStr">
      <is>
        <t>Ready for review</t>
      </is>
    </nc>
  </rcc>
  <rcc rId="948" sId="1" numFmtId="19">
    <nc r="AE155">
      <v>43938</v>
    </nc>
  </rcc>
  <rcc rId="949" sId="1" numFmtId="19">
    <nc r="AF155">
      <v>43938</v>
    </nc>
  </rcc>
  <rcc rId="950" sId="1" numFmtId="19">
    <nc r="AE156">
      <v>43938</v>
    </nc>
  </rcc>
  <rcc rId="951" sId="1" numFmtId="19">
    <nc r="AF156">
      <v>43938</v>
    </nc>
  </rcc>
  <rcc rId="952" sId="1" numFmtId="19">
    <nc r="AE157">
      <v>43938</v>
    </nc>
  </rcc>
  <rcc rId="953" sId="1" numFmtId="19">
    <nc r="AF157">
      <v>43938</v>
    </nc>
  </rcc>
  <rcc rId="954" sId="1">
    <nc r="AG155" t="inlineStr">
      <is>
        <t>OK</t>
      </is>
    </nc>
  </rcc>
  <rcc rId="955" sId="1">
    <nc r="AG156" t="inlineStr">
      <is>
        <t>OK</t>
      </is>
    </nc>
  </rcc>
  <rcc rId="956" sId="1">
    <nc r="AG157" t="inlineStr">
      <is>
        <t>OK</t>
      </is>
    </nc>
  </rcc>
  <rcc rId="957" sId="1" numFmtId="14">
    <nc r="AH155">
      <v>1</v>
    </nc>
  </rcc>
  <rcc rId="958" sId="1" numFmtId="14">
    <nc r="AI155">
      <v>1</v>
    </nc>
  </rcc>
  <rcc rId="959" sId="1" numFmtId="14">
    <nc r="AJ155">
      <v>1</v>
    </nc>
  </rcc>
  <rcc rId="960" sId="1">
    <nc r="AK155" t="inlineStr">
      <is>
        <t>None</t>
      </is>
    </nc>
  </rcc>
  <rcc rId="961" sId="1" numFmtId="14">
    <nc r="AH157">
      <v>1</v>
    </nc>
  </rcc>
  <rcc rId="962" sId="1" numFmtId="14">
    <nc r="AI157">
      <v>1</v>
    </nc>
  </rcc>
  <rcc rId="963" sId="1" numFmtId="14">
    <nc r="AJ157">
      <v>1</v>
    </nc>
  </rcc>
  <rcc rId="964" sId="1">
    <nc r="AK157" t="inlineStr">
      <is>
        <t>None</t>
      </is>
    </nc>
  </rcc>
  <rcc rId="965" sId="1">
    <nc r="AN156" t="inlineStr">
      <is>
        <t>No function to test</t>
      </is>
    </nc>
  </rcc>
  <rcv guid="{336B6883-2145-4B58-921E-CEC7185A847E}" action="delete"/>
  <rdn rId="0" localSheetId="1" customView="1" name="Z_336B6883_2145_4B58_921E_CEC7185A847E_.wvu.FilterData" hidden="1" oldHidden="1">
    <formula>COEM_Data_20200414!$S$47:$S$312</formula>
    <oldFormula>COEM_Data_20200414!$S$47:$S$312</oldFormula>
  </rdn>
  <rdn rId="0" localSheetId="2" customView="1" name="Z_336B6883_2145_4B58_921E_CEC7185A847E_.wvu.FilterData" hidden="1" oldHidden="1">
    <formula>Merged!$P$62:$P$328</formula>
    <oldFormula>Merged!$P$62:$P$328</oldFormula>
  </rdn>
  <rdn rId="0" localSheetId="10" customView="1" name="Z_336B6883_2145_4B58_921E_CEC7185A847E_.wvu.FilterData" hidden="1" oldHidden="1">
    <formula>Not_Fill_Data_20200321_20200420!$P$49:$P$219</formula>
    <oldFormula>Not_Fill_Data_20200321_20200420!$P$49:$P$219</oldFormula>
  </rdn>
  <rdn rId="0" localSheetId="11" customView="1" name="Z_336B6883_2145_4B58_921E_CEC7185A847E_.wvu.Cols" hidden="1" oldHidden="1">
    <formula>Not_Fill_Data_20200305_20200320!$M:$N</formula>
    <oldFormula>Not_Fill_Data_20200305_20200320!$M:$N</oldFormula>
  </rdn>
  <rdn rId="0" localSheetId="11" customView="1" name="Z_336B6883_2145_4B58_921E_CEC7185A847E_.wvu.FilterData" hidden="1" oldHidden="1">
    <formula>Not_Fill_Data_20200305_20200320!$B$37:$AK$106</formula>
    <oldFormula>Not_Fill_Data_20200305_20200320!$B$37:$AK$106</oldFormula>
  </rdn>
  <rcv guid="{336B6883-2145-4B58-921E-CEC7185A847E}" action="add"/>
</revisions>
</file>

<file path=xl/revisions/revisionLog6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71" sId="1">
    <nc r="AA123" t="inlineStr">
      <is>
        <t>Ready for review</t>
      </is>
    </nc>
  </rcc>
  <rcc rId="972" sId="1">
    <nc r="Z123">
      <v>26</v>
    </nc>
  </rcc>
  <rcc rId="973" sId="1" numFmtId="19">
    <nc r="AF123">
      <v>43938</v>
    </nc>
  </rcc>
  <rcc rId="974" sId="1">
    <nc r="AG123" t="inlineStr">
      <is>
        <t>NG</t>
      </is>
    </nc>
  </rcc>
  <rcc rId="975" sId="1" numFmtId="14">
    <nc r="AH123">
      <v>0.98</v>
    </nc>
  </rcc>
  <rcc rId="976" sId="1" numFmtId="14">
    <nc r="AI123">
      <v>0.99</v>
    </nc>
  </rcc>
  <rcc rId="977" sId="1" numFmtId="14">
    <nc r="AJ123">
      <v>1</v>
    </nc>
  </rcc>
  <rcc rId="978" sId="1">
    <nc r="AK123" t="inlineStr">
      <is>
        <t>OPL</t>
      </is>
    </nc>
  </rcc>
  <rcc rId="979" sId="1">
    <nc r="AL123" t="inlineStr">
      <is>
        <t>Can’t cover false case if(Dem_ErrorQueueControl.isQueueEnabled) at line #518 and the true case if (callSetEventStatus) at line #532</t>
      </is>
    </nc>
  </rcc>
  <rcv guid="{D33AC7AF-C8AB-4CE9-94C7-9237011A5FC3}" action="delete"/>
  <rdn rId="0" localSheetId="1" customView="1" name="Z_D33AC7AF_C8AB_4CE9_94C7_9237011A5FC3_.wvu.FilterData" hidden="1" oldHidden="1">
    <formula>COEM_Data_20200414!$B$47:$AN$312</formula>
    <oldFormula>COEM_Data_20200414!$B$47:$AN$312</oldFormula>
  </rdn>
  <rdn rId="0" localSheetId="2" customView="1" name="Z_D33AC7AF_C8AB_4CE9_94C7_9237011A5FC3_.wvu.FilterData" hidden="1" oldHidden="1">
    <formula>Merged!$P$62:$P$328</formula>
    <oldFormula>Merged!$B$62:$AK$313</oldFormula>
  </rdn>
  <rdn rId="0" localSheetId="10" customView="1" name="Z_D33AC7AF_C8AB_4CE9_94C7_9237011A5FC3_.wvu.FilterData" hidden="1" oldHidden="1">
    <formula>Not_Fill_Data_20200321_20200420!$P$49:$P$219</formula>
    <oldFormula>Not_Fill_Data_20200321_20200420!$P$49:$P$219</oldFormula>
  </rdn>
  <rdn rId="0" localSheetId="11" customView="1" name="Z_D33AC7AF_C8AB_4CE9_94C7_9237011A5FC3_.wvu.FilterData" hidden="1" oldHidden="1">
    <formula>Not_Fill_Data_20200305_20200320!$B$37:$AK$106</formula>
    <oldFormula>Not_Fill_Data_20200305_20200320!$B$37:$AK$106</oldFormula>
  </rdn>
  <rcv guid="{D33AC7AF-C8AB-4CE9-94C7-9237011A5FC3}" action="add"/>
</revisions>
</file>

<file path=xl/revisions/revisionLog7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84" sId="1">
    <nc r="Z81">
      <v>1</v>
    </nc>
  </rcc>
  <rcc rId="985" sId="1">
    <nc r="Z82">
      <v>1</v>
    </nc>
  </rcc>
  <rcc rId="986" sId="1">
    <nc r="Z83">
      <v>1</v>
    </nc>
  </rcc>
  <rcc rId="987" sId="1">
    <nc r="X81">
      <v>102</v>
    </nc>
  </rcc>
  <rcc rId="988" sId="1">
    <nc r="X82">
      <v>66</v>
    </nc>
  </rcc>
  <rcc rId="989" sId="1">
    <nc r="X83">
      <v>19</v>
    </nc>
  </rcc>
  <rcc rId="990" sId="1">
    <nc r="AA81" t="inlineStr">
      <is>
        <t>Ready for review</t>
      </is>
    </nc>
  </rcc>
  <rcc rId="991" sId="1">
    <nc r="AA82" t="inlineStr">
      <is>
        <t>Ready for review</t>
      </is>
    </nc>
  </rcc>
  <rcc rId="992" sId="1">
    <nc r="AA83" t="inlineStr">
      <is>
        <t>Ready for review</t>
      </is>
    </nc>
  </rcc>
  <rcc rId="993" sId="1" numFmtId="19">
    <nc r="AE81">
      <v>43936</v>
    </nc>
  </rcc>
  <rcc rId="994" sId="1" numFmtId="19">
    <nc r="AE82">
      <v>43936</v>
    </nc>
  </rcc>
  <rcc rId="995" sId="1" numFmtId="19">
    <nc r="AE83">
      <v>43936</v>
    </nc>
  </rcc>
  <rcc rId="996" sId="1" numFmtId="19">
    <nc r="AF81">
      <v>43936</v>
    </nc>
  </rcc>
  <rcc rId="997" sId="1" numFmtId="19">
    <nc r="AF82">
      <v>43936</v>
    </nc>
  </rcc>
  <rcc rId="998" sId="1" numFmtId="19">
    <nc r="AF83">
      <v>43936</v>
    </nc>
  </rcc>
  <rcc rId="999" sId="1">
    <nc r="AG81" t="inlineStr">
      <is>
        <t>OK</t>
      </is>
    </nc>
  </rcc>
  <rcc rId="1000" sId="1">
    <nc r="AG82" t="inlineStr">
      <is>
        <t>OK</t>
      </is>
    </nc>
  </rcc>
  <rcc rId="1001" sId="1">
    <nc r="AG83" t="inlineStr">
      <is>
        <t>OK</t>
      </is>
    </nc>
  </rcc>
  <rcc rId="1002" sId="1" numFmtId="14">
    <nc r="AH81">
      <v>1</v>
    </nc>
  </rcc>
  <rcc rId="1003" sId="1" numFmtId="14">
    <nc r="AI81">
      <v>1</v>
    </nc>
  </rcc>
  <rcc rId="1004" sId="1" numFmtId="14">
    <nc r="AJ81">
      <v>1</v>
    </nc>
  </rcc>
  <rcc rId="1005" sId="1">
    <nc r="AK81" t="inlineStr">
      <is>
        <t>None</t>
      </is>
    </nc>
  </rcc>
  <rcc rId="1006" sId="1" numFmtId="14">
    <nc r="AH82">
      <v>1</v>
    </nc>
  </rcc>
  <rcc rId="1007" sId="1" numFmtId="14">
    <nc r="AI82">
      <v>1</v>
    </nc>
  </rcc>
  <rcc rId="1008" sId="1" numFmtId="14">
    <nc r="AJ82">
      <v>1</v>
    </nc>
  </rcc>
  <rcc rId="1009" sId="1">
    <nc r="AK82" t="inlineStr">
      <is>
        <t>None</t>
      </is>
    </nc>
  </rcc>
  <rcc rId="1010" sId="1">
    <nc r="AN83" t="inlineStr">
      <is>
        <t>No function to test</t>
      </is>
    </nc>
  </rcc>
  <rcc rId="1011" sId="1">
    <nc r="AK83" t="inlineStr">
      <is>
        <t>None</t>
      </is>
    </nc>
  </rcc>
  <rcc rId="1012" sId="1">
    <oc r="AH76" t="inlineStr">
      <is>
        <t>-</t>
      </is>
    </oc>
    <nc r="AH76"/>
  </rcc>
  <rcc rId="1013" sId="1">
    <oc r="AI76" t="inlineStr">
      <is>
        <t>-</t>
      </is>
    </oc>
    <nc r="AI76"/>
  </rcc>
  <rcc rId="1014" sId="1">
    <oc r="AJ76" t="inlineStr">
      <is>
        <t>-</t>
      </is>
    </oc>
    <nc r="AJ76"/>
  </rcc>
  <rcc rId="1015" sId="1">
    <oc r="Z69">
      <v>2</v>
    </oc>
    <nc r="Z69">
      <v>1</v>
    </nc>
  </rcc>
  <rcc rId="1016" sId="1">
    <oc r="Z70">
      <v>2</v>
    </oc>
    <nc r="Z70">
      <v>1</v>
    </nc>
  </rcc>
  <rcv guid="{336B6883-2145-4B58-921E-CEC7185A847E}" action="delete"/>
  <rdn rId="0" localSheetId="1" customView="1" name="Z_336B6883_2145_4B58_921E_CEC7185A847E_.wvu.FilterData" hidden="1" oldHidden="1">
    <formula>COEM_Data_20200414!$S$47:$S$312</formula>
    <oldFormula>COEM_Data_20200414!$S$47:$S$312</oldFormula>
  </rdn>
  <rdn rId="0" localSheetId="2" customView="1" name="Z_336B6883_2145_4B58_921E_CEC7185A847E_.wvu.FilterData" hidden="1" oldHidden="1">
    <formula>Merged!$P$62:$P$328</formula>
    <oldFormula>Merged!$P$62:$P$328</oldFormula>
  </rdn>
  <rdn rId="0" localSheetId="10" customView="1" name="Z_336B6883_2145_4B58_921E_CEC7185A847E_.wvu.FilterData" hidden="1" oldHidden="1">
    <formula>Not_Fill_Data_20200321_20200420!$P$49:$P$219</formula>
    <oldFormula>Not_Fill_Data_20200321_20200420!$P$49:$P$219</oldFormula>
  </rdn>
  <rdn rId="0" localSheetId="11" customView="1" name="Z_336B6883_2145_4B58_921E_CEC7185A847E_.wvu.Cols" hidden="1" oldHidden="1">
    <formula>Not_Fill_Data_20200305_20200320!$M:$N</formula>
    <oldFormula>Not_Fill_Data_20200305_20200320!$M:$N</oldFormula>
  </rdn>
  <rdn rId="0" localSheetId="11" customView="1" name="Z_336B6883_2145_4B58_921E_CEC7185A847E_.wvu.FilterData" hidden="1" oldHidden="1">
    <formula>Not_Fill_Data_20200305_20200320!$B$37:$AK$106</formula>
    <oldFormula>Not_Fill_Data_20200305_20200320!$B$37:$AK$106</oldFormula>
  </rdn>
  <rcv guid="{336B6883-2145-4B58-921E-CEC7185A847E}" action="add"/>
</revisions>
</file>

<file path=xl/revisions/revisionLog7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COEM_Data_20200414!$B$47:$AN$312</formula>
    <oldFormula>COEM_Data_20200414!$B$47:$AN$312</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7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26" sId="1" odxf="1" dxf="1" quotePrefix="1">
    <nc r="AH156" t="inlineStr">
      <is>
        <t>-</t>
      </is>
    </nc>
    <odxf/>
    <ndxf/>
  </rcc>
  <rcc rId="1027" sId="1" odxf="1" dxf="1" quotePrefix="1">
    <nc r="AI156" t="inlineStr">
      <is>
        <t>-</t>
      </is>
    </nc>
    <odxf/>
    <ndxf/>
  </rcc>
  <rcc rId="1028" sId="1" odxf="1" dxf="1" quotePrefix="1">
    <nc r="AJ156" t="inlineStr">
      <is>
        <t>-</t>
      </is>
    </nc>
    <odxf/>
    <ndxf/>
  </rcc>
  <rcc rId="1029" sId="1">
    <nc r="AK156" t="inlineStr">
      <is>
        <t>None</t>
      </is>
    </nc>
  </rcc>
  <rcv guid="{250915DF-0B97-45D7-B29D-7EED4C89C1C1}" action="delete"/>
  <rdn rId="0" localSheetId="1" customView="1" name="Z_250915DF_0B97_45D7_B29D_7EED4C89C1C1_.wvu.FilterData" hidden="1" oldHidden="1">
    <formula>COEM_Data_20200414!$B$47:$AN$312</formula>
    <oldFormula>COEM_Data_20200414!$B$47:$AN$312</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7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COEM_Data_20200414!$B$47:$AN$312</formula>
    <oldFormula>COEM_Data_20200414!$B$47:$AN$312</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revisionLog7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38" sId="1">
    <oc r="AA48" t="inlineStr">
      <is>
        <t>Ready for review</t>
      </is>
    </oc>
    <nc r="AA48" t="inlineStr">
      <is>
        <t>Ready for PLC</t>
      </is>
    </nc>
  </rcc>
  <rcc rId="1039" sId="1">
    <oc r="AA49" t="inlineStr">
      <is>
        <t>Ready for review</t>
      </is>
    </oc>
    <nc r="AA49" t="inlineStr">
      <is>
        <t>Ready for PLC</t>
      </is>
    </nc>
  </rcc>
  <rcc rId="1040" sId="1">
    <oc r="AA50" t="inlineStr">
      <is>
        <t>Ready for review</t>
      </is>
    </oc>
    <nc r="AA50" t="inlineStr">
      <is>
        <t>Ready for PLC</t>
      </is>
    </nc>
  </rcc>
  <rcc rId="1041" sId="1">
    <oc r="AA51" t="inlineStr">
      <is>
        <t>Ready for review</t>
      </is>
    </oc>
    <nc r="AA51" t="inlineStr">
      <is>
        <t>Ready for PLC</t>
      </is>
    </nc>
  </rcc>
  <rcc rId="1042" sId="1">
    <oc r="AA52" t="inlineStr">
      <is>
        <t>Ready for review</t>
      </is>
    </oc>
    <nc r="AA52" t="inlineStr">
      <is>
        <t>Ready for PLC</t>
      </is>
    </nc>
  </rcc>
  <rcc rId="1043" sId="1">
    <oc r="AA53" t="inlineStr">
      <is>
        <t>Ready for review</t>
      </is>
    </oc>
    <nc r="AA53" t="inlineStr">
      <is>
        <t>Ready for PLC</t>
      </is>
    </nc>
  </rcc>
  <rcc rId="1044" sId="1">
    <oc r="AA54" t="inlineStr">
      <is>
        <t>Ready for review</t>
      </is>
    </oc>
    <nc r="AA54" t="inlineStr">
      <is>
        <t>Ready for PLC</t>
      </is>
    </nc>
  </rcc>
  <rcc rId="1045" sId="1">
    <oc r="AA55" t="inlineStr">
      <is>
        <t>Ready for review</t>
      </is>
    </oc>
    <nc r="AA55" t="inlineStr">
      <is>
        <t>Ready for PLC</t>
      </is>
    </nc>
  </rcc>
  <rcc rId="1046" sId="1">
    <oc r="AA56" t="inlineStr">
      <is>
        <t>Ready for review</t>
      </is>
    </oc>
    <nc r="AA56" t="inlineStr">
      <is>
        <t>Ready for PLC</t>
      </is>
    </nc>
  </rcc>
  <rcc rId="1047" sId="1">
    <oc r="AA57" t="inlineStr">
      <is>
        <t>Ready for review</t>
      </is>
    </oc>
    <nc r="AA57" t="inlineStr">
      <is>
        <t>Ready for PLC</t>
      </is>
    </nc>
  </rcc>
  <rcc rId="1048" sId="1">
    <oc r="AA58" t="inlineStr">
      <is>
        <t>Ready for review</t>
      </is>
    </oc>
    <nc r="AA58" t="inlineStr">
      <is>
        <t>Ready for PLC</t>
      </is>
    </nc>
  </rcc>
  <rcc rId="1049" sId="1">
    <oc r="AA59" t="inlineStr">
      <is>
        <t>Ready for review</t>
      </is>
    </oc>
    <nc r="AA59" t="inlineStr">
      <is>
        <t>Ready for PLC</t>
      </is>
    </nc>
  </rcc>
  <rcc rId="1050" sId="1">
    <oc r="AA60" t="inlineStr">
      <is>
        <t>Ready for review</t>
      </is>
    </oc>
    <nc r="AA60" t="inlineStr">
      <is>
        <t>Ready for PLC</t>
      </is>
    </nc>
  </rcc>
  <rcc rId="1051" sId="1">
    <oc r="AA61" t="inlineStr">
      <is>
        <t>Ready for review</t>
      </is>
    </oc>
    <nc r="AA61" t="inlineStr">
      <is>
        <t>Ready for PLC</t>
      </is>
    </nc>
  </rcc>
  <rcc rId="1052" sId="1">
    <oc r="AA62" t="inlineStr">
      <is>
        <t>Ready for review</t>
      </is>
    </oc>
    <nc r="AA62" t="inlineStr">
      <is>
        <t>Ready for PLC</t>
      </is>
    </nc>
  </rcc>
  <rcc rId="1053" sId="1">
    <oc r="AA63" t="inlineStr">
      <is>
        <t>Ready for review</t>
      </is>
    </oc>
    <nc r="AA63" t="inlineStr">
      <is>
        <t>Ready for PLC</t>
      </is>
    </nc>
  </rcc>
  <rcc rId="1054" sId="1">
    <oc r="AA64" t="inlineStr">
      <is>
        <t>Ready for review</t>
      </is>
    </oc>
    <nc r="AA64" t="inlineStr">
      <is>
        <t>Ready for PLC</t>
      </is>
    </nc>
  </rcc>
  <rcc rId="1055" sId="1">
    <oc r="AA65" t="inlineStr">
      <is>
        <t>Ready for review</t>
      </is>
    </oc>
    <nc r="AA65" t="inlineStr">
      <is>
        <t>Ready for PLC</t>
      </is>
    </nc>
  </rcc>
  <rcc rId="1056" sId="1">
    <oc r="AA66" t="inlineStr">
      <is>
        <t>Ready for review</t>
      </is>
    </oc>
    <nc r="AA66" t="inlineStr">
      <is>
        <t>Ready for PLC</t>
      </is>
    </nc>
  </rcc>
  <rcc rId="1057" sId="1">
    <oc r="AA67" t="inlineStr">
      <is>
        <t>Ready for review</t>
      </is>
    </oc>
    <nc r="AA67" t="inlineStr">
      <is>
        <t>Ready for PLC</t>
      </is>
    </nc>
  </rcc>
  <rcc rId="1058" sId="1">
    <oc r="AA68" t="inlineStr">
      <is>
        <t>Ready for review</t>
      </is>
    </oc>
    <nc r="AA68" t="inlineStr">
      <is>
        <t>Ready for PLC</t>
      </is>
    </nc>
  </rcc>
  <rcc rId="1059" sId="1">
    <oc r="AA69" t="inlineStr">
      <is>
        <t>Ready for review</t>
      </is>
    </oc>
    <nc r="AA69" t="inlineStr">
      <is>
        <t>Ready for PLC</t>
      </is>
    </nc>
  </rcc>
  <rcc rId="1060" sId="1">
    <oc r="AA70" t="inlineStr">
      <is>
        <t>Ready for review</t>
      </is>
    </oc>
    <nc r="AA70" t="inlineStr">
      <is>
        <t>Ready for PLC</t>
      </is>
    </nc>
  </rcc>
  <rcc rId="1061" sId="1">
    <oc r="AA71" t="inlineStr">
      <is>
        <t>Ready for review</t>
      </is>
    </oc>
    <nc r="AA71" t="inlineStr">
      <is>
        <t>Ready for PLC</t>
      </is>
    </nc>
  </rcc>
  <rcc rId="1062" sId="1">
    <oc r="AA72" t="inlineStr">
      <is>
        <t>Ready for review</t>
      </is>
    </oc>
    <nc r="AA72" t="inlineStr">
      <is>
        <t>Ready for PLC</t>
      </is>
    </nc>
  </rcc>
  <rcc rId="1063" sId="1">
    <oc r="AA73" t="inlineStr">
      <is>
        <t>Ready for review</t>
      </is>
    </oc>
    <nc r="AA73" t="inlineStr">
      <is>
        <t>Ready for PLC</t>
      </is>
    </nc>
  </rcc>
  <rcc rId="1064" sId="1">
    <oc r="AA74" t="inlineStr">
      <is>
        <t>Ready for review</t>
      </is>
    </oc>
    <nc r="AA74" t="inlineStr">
      <is>
        <t>Ready for PLC</t>
      </is>
    </nc>
  </rcc>
  <rcc rId="1065" sId="1">
    <oc r="AA75" t="inlineStr">
      <is>
        <t>Ready for review</t>
      </is>
    </oc>
    <nc r="AA75" t="inlineStr">
      <is>
        <t>Ready for PLC</t>
      </is>
    </nc>
  </rcc>
  <rcc rId="1066" sId="1">
    <oc r="AA76" t="inlineStr">
      <is>
        <t>Ready for review</t>
      </is>
    </oc>
    <nc r="AA76" t="inlineStr">
      <is>
        <t>Ready for PLC</t>
      </is>
    </nc>
  </rcc>
  <rcc rId="1067" sId="1">
    <oc r="AA77" t="inlineStr">
      <is>
        <t>Ready for review</t>
      </is>
    </oc>
    <nc r="AA77" t="inlineStr">
      <is>
        <t>Ready for PLC</t>
      </is>
    </nc>
  </rcc>
  <rcc rId="1068" sId="1">
    <oc r="AA78" t="inlineStr">
      <is>
        <t>Ready for review</t>
      </is>
    </oc>
    <nc r="AA78" t="inlineStr">
      <is>
        <t>Ready for PLC</t>
      </is>
    </nc>
  </rcc>
  <rcc rId="1069" sId="1">
    <oc r="AA79" t="inlineStr">
      <is>
        <t>Ready for review</t>
      </is>
    </oc>
    <nc r="AA79" t="inlineStr">
      <is>
        <t>Ready for PLC</t>
      </is>
    </nc>
  </rcc>
  <rcc rId="1070" sId="1">
    <oc r="AA80" t="inlineStr">
      <is>
        <t>Ready for review</t>
      </is>
    </oc>
    <nc r="AA80" t="inlineStr">
      <is>
        <t>Ready for PLC</t>
      </is>
    </nc>
  </rcc>
  <rcc rId="1071" sId="1">
    <oc r="AA81" t="inlineStr">
      <is>
        <t>Ready for review</t>
      </is>
    </oc>
    <nc r="AA81" t="inlineStr">
      <is>
        <t>Ready for PLC</t>
      </is>
    </nc>
  </rcc>
  <rcc rId="1072" sId="1">
    <oc r="AA82" t="inlineStr">
      <is>
        <t>Ready for review</t>
      </is>
    </oc>
    <nc r="AA82" t="inlineStr">
      <is>
        <t>Ready for PLC</t>
      </is>
    </nc>
  </rcc>
  <rcc rId="1073" sId="1">
    <oc r="AA83" t="inlineStr">
      <is>
        <t>Ready for review</t>
      </is>
    </oc>
    <nc r="AA83" t="inlineStr">
      <is>
        <t>Ready for PLC</t>
      </is>
    </nc>
  </rcc>
  <rcc rId="1074" sId="1">
    <oc r="AA84" t="inlineStr">
      <is>
        <t>Ready for review</t>
      </is>
    </oc>
    <nc r="AA84" t="inlineStr">
      <is>
        <t>Ready for PLC</t>
      </is>
    </nc>
  </rcc>
  <rcc rId="1075" sId="1">
    <oc r="AA85" t="inlineStr">
      <is>
        <t>Ready for review</t>
      </is>
    </oc>
    <nc r="AA85" t="inlineStr">
      <is>
        <t>Ready for PLC</t>
      </is>
    </nc>
  </rcc>
  <rcc rId="1076" sId="1">
    <oc r="AA86" t="inlineStr">
      <is>
        <t>Ready for review</t>
      </is>
    </oc>
    <nc r="AA86" t="inlineStr">
      <is>
        <t>Ready for PLC</t>
      </is>
    </nc>
  </rcc>
  <rcc rId="1077" sId="1">
    <oc r="AA87" t="inlineStr">
      <is>
        <t>Ready for review</t>
      </is>
    </oc>
    <nc r="AA87" t="inlineStr">
      <is>
        <t>Ready for PLC</t>
      </is>
    </nc>
  </rcc>
  <rcc rId="1078" sId="1">
    <oc r="AA88" t="inlineStr">
      <is>
        <t>Ready for review</t>
      </is>
    </oc>
    <nc r="AA88" t="inlineStr">
      <is>
        <t>Ready for PLC</t>
      </is>
    </nc>
  </rcc>
  <rcc rId="1079" sId="1">
    <oc r="AA89" t="inlineStr">
      <is>
        <t>Ready for review</t>
      </is>
    </oc>
    <nc r="AA89" t="inlineStr">
      <is>
        <t>Ready for PLC</t>
      </is>
    </nc>
  </rcc>
  <rcc rId="1080" sId="1">
    <oc r="AA90" t="inlineStr">
      <is>
        <t>Ready for review</t>
      </is>
    </oc>
    <nc r="AA90" t="inlineStr">
      <is>
        <t>Ready for PLC</t>
      </is>
    </nc>
  </rcc>
  <rcc rId="1081" sId="1">
    <oc r="AA91" t="inlineStr">
      <is>
        <t>Ready for review</t>
      </is>
    </oc>
    <nc r="AA91" t="inlineStr">
      <is>
        <t>Ready for PLC</t>
      </is>
    </nc>
  </rcc>
  <rcc rId="1082" sId="1">
    <oc r="AA92" t="inlineStr">
      <is>
        <t>Ready for review</t>
      </is>
    </oc>
    <nc r="AA92" t="inlineStr">
      <is>
        <t>Ready for PLC</t>
      </is>
    </nc>
  </rcc>
  <rcc rId="1083" sId="1">
    <oc r="AA93" t="inlineStr">
      <is>
        <t>Ready for review</t>
      </is>
    </oc>
    <nc r="AA93" t="inlineStr">
      <is>
        <t>Ready for PLC</t>
      </is>
    </nc>
  </rcc>
  <rcc rId="1084" sId="1">
    <oc r="AA94" t="inlineStr">
      <is>
        <t>Ready for review</t>
      </is>
    </oc>
    <nc r="AA94" t="inlineStr">
      <is>
        <t>Ready for PLC</t>
      </is>
    </nc>
  </rcc>
  <rcc rId="1085" sId="1">
    <oc r="AA95" t="inlineStr">
      <is>
        <t>Ready for review</t>
      </is>
    </oc>
    <nc r="AA95" t="inlineStr">
      <is>
        <t>Ready for PLC</t>
      </is>
    </nc>
  </rcc>
  <rcc rId="1086" sId="1">
    <oc r="AA96" t="inlineStr">
      <is>
        <t>Ready for review</t>
      </is>
    </oc>
    <nc r="AA96" t="inlineStr">
      <is>
        <t>Ready for PLC</t>
      </is>
    </nc>
  </rcc>
  <rcc rId="1087" sId="1">
    <oc r="AA97" t="inlineStr">
      <is>
        <t>Ready for review</t>
      </is>
    </oc>
    <nc r="AA97" t="inlineStr">
      <is>
        <t>Ready for PLC</t>
      </is>
    </nc>
  </rcc>
  <rcc rId="1088" sId="1">
    <oc r="AA98" t="inlineStr">
      <is>
        <t>Ready for review</t>
      </is>
    </oc>
    <nc r="AA98" t="inlineStr">
      <is>
        <t>Ready for PLC</t>
      </is>
    </nc>
  </rcc>
  <rcc rId="1089" sId="1">
    <oc r="AA99" t="inlineStr">
      <is>
        <t>Ready for review</t>
      </is>
    </oc>
    <nc r="AA99" t="inlineStr">
      <is>
        <t>Ready for PLC</t>
      </is>
    </nc>
  </rcc>
  <rcc rId="1090" sId="1">
    <oc r="AA100" t="inlineStr">
      <is>
        <t>Ready for review</t>
      </is>
    </oc>
    <nc r="AA100" t="inlineStr">
      <is>
        <t>Ready for PLC</t>
      </is>
    </nc>
  </rcc>
  <rcc rId="1091" sId="1">
    <oc r="AA101" t="inlineStr">
      <is>
        <t>Ready for review</t>
      </is>
    </oc>
    <nc r="AA101" t="inlineStr">
      <is>
        <t>Ready for PLC</t>
      </is>
    </nc>
  </rcc>
  <rcc rId="1092" sId="1">
    <oc r="AA102" t="inlineStr">
      <is>
        <t>Ready for review</t>
      </is>
    </oc>
    <nc r="AA102" t="inlineStr">
      <is>
        <t>Ready for PLC</t>
      </is>
    </nc>
  </rcc>
  <rcc rId="1093" sId="1">
    <oc r="AA103" t="inlineStr">
      <is>
        <t>Ready for review</t>
      </is>
    </oc>
    <nc r="AA103" t="inlineStr">
      <is>
        <t>Ready for PLC</t>
      </is>
    </nc>
  </rcc>
  <rcc rId="1094" sId="1">
    <oc r="AA104" t="inlineStr">
      <is>
        <t>Ready for review</t>
      </is>
    </oc>
    <nc r="AA104" t="inlineStr">
      <is>
        <t>Ready for PLC</t>
      </is>
    </nc>
  </rcc>
  <rcc rId="1095" sId="1">
    <oc r="AA105" t="inlineStr">
      <is>
        <t>Ready for review</t>
      </is>
    </oc>
    <nc r="AA105" t="inlineStr">
      <is>
        <t>Ready for PLC</t>
      </is>
    </nc>
  </rcc>
  <rcc rId="1096" sId="1">
    <oc r="AA106" t="inlineStr">
      <is>
        <t>Ready for review</t>
      </is>
    </oc>
    <nc r="AA106" t="inlineStr">
      <is>
        <t>Ready for PLC</t>
      </is>
    </nc>
  </rcc>
  <rcc rId="1097" sId="1">
    <oc r="AA107" t="inlineStr">
      <is>
        <t>Ready for review</t>
      </is>
    </oc>
    <nc r="AA107" t="inlineStr">
      <is>
        <t>Ready for PLC</t>
      </is>
    </nc>
  </rcc>
  <rcc rId="1098" sId="1">
    <oc r="AA108" t="inlineStr">
      <is>
        <t>Ready for review</t>
      </is>
    </oc>
    <nc r="AA108" t="inlineStr">
      <is>
        <t>Ready for PLC</t>
      </is>
    </nc>
  </rcc>
  <rcc rId="1099" sId="1">
    <oc r="AA109" t="inlineStr">
      <is>
        <t>Ready for review</t>
      </is>
    </oc>
    <nc r="AA109" t="inlineStr">
      <is>
        <t>Ready for PLC</t>
      </is>
    </nc>
  </rcc>
  <rcc rId="1100" sId="1">
    <oc r="AA110" t="inlineStr">
      <is>
        <t>Ready for review</t>
      </is>
    </oc>
    <nc r="AA110" t="inlineStr">
      <is>
        <t>Ready for PLC</t>
      </is>
    </nc>
  </rcc>
  <rcc rId="1101" sId="1">
    <oc r="AA111" t="inlineStr">
      <is>
        <t>Ready for review</t>
      </is>
    </oc>
    <nc r="AA111" t="inlineStr">
      <is>
        <t>Ready for PLC</t>
      </is>
    </nc>
  </rcc>
  <rcc rId="1102" sId="1">
    <oc r="AA112" t="inlineStr">
      <is>
        <t>Ready for review</t>
      </is>
    </oc>
    <nc r="AA112" t="inlineStr">
      <is>
        <t>Ready for PLC</t>
      </is>
    </nc>
  </rcc>
  <rcc rId="1103" sId="1">
    <oc r="AA113" t="inlineStr">
      <is>
        <t>Ready for review</t>
      </is>
    </oc>
    <nc r="AA113" t="inlineStr">
      <is>
        <t>Ready for PLC</t>
      </is>
    </nc>
  </rcc>
  <rcc rId="1104" sId="1">
    <oc r="AA114" t="inlineStr">
      <is>
        <t>Ready for review</t>
      </is>
    </oc>
    <nc r="AA114" t="inlineStr">
      <is>
        <t>Ready for PLC</t>
      </is>
    </nc>
  </rcc>
  <rcc rId="1105" sId="1">
    <oc r="AA118" t="inlineStr">
      <is>
        <t>Ready for review</t>
      </is>
    </oc>
    <nc r="AA118" t="inlineStr">
      <is>
        <t>Ready for PLC</t>
      </is>
    </nc>
  </rcc>
  <rcc rId="1106" sId="1">
    <oc r="AA119" t="inlineStr">
      <is>
        <t>Ready for review</t>
      </is>
    </oc>
    <nc r="AA119" t="inlineStr">
      <is>
        <t>Ready for PLC</t>
      </is>
    </nc>
  </rcc>
  <rcc rId="1107" sId="1">
    <oc r="AA120" t="inlineStr">
      <is>
        <t>Ready for review</t>
      </is>
    </oc>
    <nc r="AA120" t="inlineStr">
      <is>
        <t>Ready for PLC</t>
      </is>
    </nc>
  </rcc>
  <rcc rId="1108" sId="1">
    <oc r="AA121" t="inlineStr">
      <is>
        <t>Ready for review</t>
      </is>
    </oc>
    <nc r="AA121" t="inlineStr">
      <is>
        <t>Ready for PLC</t>
      </is>
    </nc>
  </rcc>
  <rcc rId="1109" sId="1">
    <oc r="AA122" t="inlineStr">
      <is>
        <t>Ready for review</t>
      </is>
    </oc>
    <nc r="AA122" t="inlineStr">
      <is>
        <t>Ready for PLC</t>
      </is>
    </nc>
  </rcc>
  <rcc rId="1110" sId="1">
    <oc r="AA123" t="inlineStr">
      <is>
        <t>Ready for review</t>
      </is>
    </oc>
    <nc r="AA123" t="inlineStr">
      <is>
        <t>Ready for PLC</t>
      </is>
    </nc>
  </rcc>
  <rcc rId="1111" sId="1">
    <oc r="AA124" t="inlineStr">
      <is>
        <t>Ready for review</t>
      </is>
    </oc>
    <nc r="AA124" t="inlineStr">
      <is>
        <t>Ready for PLC</t>
      </is>
    </nc>
  </rcc>
  <rcc rId="1112" sId="1">
    <oc r="AA126" t="inlineStr">
      <is>
        <t>Ready for review</t>
      </is>
    </oc>
    <nc r="AA126" t="inlineStr">
      <is>
        <t>Ready for PLC</t>
      </is>
    </nc>
  </rcc>
  <rcc rId="1113" sId="1">
    <oc r="AA127" t="inlineStr">
      <is>
        <t>Ready for review</t>
      </is>
    </oc>
    <nc r="AA127" t="inlineStr">
      <is>
        <t>Ready for PLC</t>
      </is>
    </nc>
  </rcc>
  <rcc rId="1114" sId="1">
    <oc r="AA128" t="inlineStr">
      <is>
        <t>Ready for review</t>
      </is>
    </oc>
    <nc r="AA128" t="inlineStr">
      <is>
        <t>Ready for PLC</t>
      </is>
    </nc>
  </rcc>
  <rcc rId="1115" sId="1">
    <oc r="AA129" t="inlineStr">
      <is>
        <t>Ready for review</t>
      </is>
    </oc>
    <nc r="AA129" t="inlineStr">
      <is>
        <t>Ready for PLC</t>
      </is>
    </nc>
  </rcc>
  <rcc rId="1116" sId="1">
    <oc r="AA130" t="inlineStr">
      <is>
        <t>Ready for review</t>
      </is>
    </oc>
    <nc r="AA130" t="inlineStr">
      <is>
        <t>Ready for PLC</t>
      </is>
    </nc>
  </rcc>
  <rcc rId="1117" sId="1">
    <oc r="AA131" t="inlineStr">
      <is>
        <t>Ready for review</t>
      </is>
    </oc>
    <nc r="AA131" t="inlineStr">
      <is>
        <t>Ready for PLC</t>
      </is>
    </nc>
  </rcc>
  <rcc rId="1118" sId="1">
    <oc r="AA132" t="inlineStr">
      <is>
        <t>Ready for review</t>
      </is>
    </oc>
    <nc r="AA132" t="inlineStr">
      <is>
        <t>Ready for PLC</t>
      </is>
    </nc>
  </rcc>
  <rcc rId="1119" sId="1">
    <oc r="AA133" t="inlineStr">
      <is>
        <t>Ready for review</t>
      </is>
    </oc>
    <nc r="AA133" t="inlineStr">
      <is>
        <t>Ready for PLC</t>
      </is>
    </nc>
  </rcc>
  <rcc rId="1120" sId="1">
    <oc r="AA134" t="inlineStr">
      <is>
        <t>Ready for review</t>
      </is>
    </oc>
    <nc r="AA134" t="inlineStr">
      <is>
        <t>Ready for PLC</t>
      </is>
    </nc>
  </rcc>
  <rcc rId="1121" sId="1">
    <oc r="AA135" t="inlineStr">
      <is>
        <t>Ready for review</t>
      </is>
    </oc>
    <nc r="AA135" t="inlineStr">
      <is>
        <t>Ready for PLC</t>
      </is>
    </nc>
  </rcc>
  <rcc rId="1122" sId="1">
    <oc r="AA136" t="inlineStr">
      <is>
        <t>Ready for review</t>
      </is>
    </oc>
    <nc r="AA136" t="inlineStr">
      <is>
        <t>Ready for PLC</t>
      </is>
    </nc>
  </rcc>
  <rcc rId="1123" sId="1">
    <oc r="AA137" t="inlineStr">
      <is>
        <t>Ready for review</t>
      </is>
    </oc>
    <nc r="AA137" t="inlineStr">
      <is>
        <t>Ready for PLC</t>
      </is>
    </nc>
  </rcc>
  <rcc rId="1124" sId="1">
    <oc r="AA138" t="inlineStr">
      <is>
        <t>Ready for review</t>
      </is>
    </oc>
    <nc r="AA138" t="inlineStr">
      <is>
        <t>Ready for PLC</t>
      </is>
    </nc>
  </rcc>
  <rcc rId="1125" sId="1">
    <oc r="AA139" t="inlineStr">
      <is>
        <t>Ready for review</t>
      </is>
    </oc>
    <nc r="AA139" t="inlineStr">
      <is>
        <t>Ready for PLC</t>
      </is>
    </nc>
  </rcc>
  <rcc rId="1126" sId="1">
    <oc r="AA140" t="inlineStr">
      <is>
        <t>Ready for review</t>
      </is>
    </oc>
    <nc r="AA140" t="inlineStr">
      <is>
        <t>Ready for PLC</t>
      </is>
    </nc>
  </rcc>
  <rcc rId="1127" sId="1">
    <oc r="AA141" t="inlineStr">
      <is>
        <t>Ready for review</t>
      </is>
    </oc>
    <nc r="AA141" t="inlineStr">
      <is>
        <t>Ready for PLC</t>
      </is>
    </nc>
  </rcc>
  <rcc rId="1128" sId="1">
    <oc r="AA142" t="inlineStr">
      <is>
        <t>Ready for review</t>
      </is>
    </oc>
    <nc r="AA142" t="inlineStr">
      <is>
        <t>Ready for PLC</t>
      </is>
    </nc>
  </rcc>
  <rcc rId="1129" sId="1">
    <oc r="AA143" t="inlineStr">
      <is>
        <t>Ready for review</t>
      </is>
    </oc>
    <nc r="AA143" t="inlineStr">
      <is>
        <t>Ready for PLC</t>
      </is>
    </nc>
  </rcc>
  <rcc rId="1130" sId="1">
    <oc r="AA144" t="inlineStr">
      <is>
        <t>Ready for review</t>
      </is>
    </oc>
    <nc r="AA144" t="inlineStr">
      <is>
        <t>Ready for PLC</t>
      </is>
    </nc>
  </rcc>
  <rcc rId="1131" sId="1">
    <oc r="AA145" t="inlineStr">
      <is>
        <t>Ready for review</t>
      </is>
    </oc>
    <nc r="AA145" t="inlineStr">
      <is>
        <t>Ready for PLC</t>
      </is>
    </nc>
  </rcc>
  <rcc rId="1132" sId="1">
    <oc r="AA146" t="inlineStr">
      <is>
        <t>Ready for review</t>
      </is>
    </oc>
    <nc r="AA146" t="inlineStr">
      <is>
        <t>Ready for PLC</t>
      </is>
    </nc>
  </rcc>
  <rcc rId="1133" sId="1">
    <oc r="AA147" t="inlineStr">
      <is>
        <t>Ready for review</t>
      </is>
    </oc>
    <nc r="AA147" t="inlineStr">
      <is>
        <t>Ready for PLC</t>
      </is>
    </nc>
  </rcc>
  <rcc rId="1134" sId="1">
    <oc r="AA148" t="inlineStr">
      <is>
        <t>Ready for review</t>
      </is>
    </oc>
    <nc r="AA148" t="inlineStr">
      <is>
        <t>Ready for PLC</t>
      </is>
    </nc>
  </rcc>
  <rcc rId="1135" sId="1">
    <oc r="AA149" t="inlineStr">
      <is>
        <t>Ready for review</t>
      </is>
    </oc>
    <nc r="AA149" t="inlineStr">
      <is>
        <t>Ready for PLC</t>
      </is>
    </nc>
  </rcc>
  <rcc rId="1136" sId="1">
    <oc r="AA150" t="inlineStr">
      <is>
        <t>Ready for review</t>
      </is>
    </oc>
    <nc r="AA150" t="inlineStr">
      <is>
        <t>Ready for PLC</t>
      </is>
    </nc>
  </rcc>
  <rcc rId="1137" sId="1">
    <oc r="AA151" t="inlineStr">
      <is>
        <t>Ready for review</t>
      </is>
    </oc>
    <nc r="AA151" t="inlineStr">
      <is>
        <t>Ready for PLC</t>
      </is>
    </nc>
  </rcc>
  <rcc rId="1138" sId="1">
    <oc r="AA152" t="inlineStr">
      <is>
        <t>Ready for review</t>
      </is>
    </oc>
    <nc r="AA152" t="inlineStr">
      <is>
        <t>Ready for PLC</t>
      </is>
    </nc>
  </rcc>
  <rcc rId="1139" sId="1">
    <oc r="AA153" t="inlineStr">
      <is>
        <t>Ready for review</t>
      </is>
    </oc>
    <nc r="AA153" t="inlineStr">
      <is>
        <t>Ready for PLC</t>
      </is>
    </nc>
  </rcc>
  <rcc rId="1140" sId="1">
    <oc r="AA154" t="inlineStr">
      <is>
        <t>Ready for review</t>
      </is>
    </oc>
    <nc r="AA154" t="inlineStr">
      <is>
        <t>Ready for PLC</t>
      </is>
    </nc>
  </rcc>
  <rcc rId="1141" sId="1">
    <oc r="AA155" t="inlineStr">
      <is>
        <t>Ready for review</t>
      </is>
    </oc>
    <nc r="AA155" t="inlineStr">
      <is>
        <t>Ready for PLC</t>
      </is>
    </nc>
  </rcc>
  <rcc rId="1142" sId="1">
    <oc r="AA156" t="inlineStr">
      <is>
        <t>Ready for review</t>
      </is>
    </oc>
    <nc r="AA156" t="inlineStr">
      <is>
        <t>Ready for PLC</t>
      </is>
    </nc>
  </rcc>
  <rcc rId="1143" sId="1">
    <oc r="AA157" t="inlineStr">
      <is>
        <t>Ready for review</t>
      </is>
    </oc>
    <nc r="AA157" t="inlineStr">
      <is>
        <t>Ready for PLC</t>
      </is>
    </nc>
  </rcc>
  <rcc rId="1144" sId="1">
    <nc r="AB77" t="inlineStr">
      <is>
        <t>YES</t>
      </is>
    </nc>
  </rcc>
  <rcc rId="1145" sId="1">
    <nc r="AB78" t="inlineStr">
      <is>
        <t>YES</t>
      </is>
    </nc>
  </rcc>
  <rcc rId="1146" sId="1">
    <nc r="AB79" t="inlineStr">
      <is>
        <t>YES</t>
      </is>
    </nc>
  </rcc>
  <rcc rId="1147" sId="1">
    <nc r="AB80" t="inlineStr">
      <is>
        <t>YES</t>
      </is>
    </nc>
  </rcc>
  <rcc rId="1148" sId="1">
    <nc r="AB81" t="inlineStr">
      <is>
        <t>YES</t>
      </is>
    </nc>
  </rcc>
  <rcc rId="1149" sId="1">
    <nc r="AB82" t="inlineStr">
      <is>
        <t>YES</t>
      </is>
    </nc>
  </rcc>
  <rcc rId="1150" sId="1">
    <nc r="AB83" t="inlineStr">
      <is>
        <t>YES</t>
      </is>
    </nc>
  </rcc>
  <rcc rId="1151" sId="1">
    <nc r="AB84" t="inlineStr">
      <is>
        <t>YES</t>
      </is>
    </nc>
  </rcc>
  <rcc rId="1152" sId="1">
    <nc r="AB85" t="inlineStr">
      <is>
        <t>YES</t>
      </is>
    </nc>
  </rcc>
  <rcc rId="1153" sId="1">
    <nc r="AB86" t="inlineStr">
      <is>
        <t>YES</t>
      </is>
    </nc>
  </rcc>
  <rcc rId="1154" sId="1">
    <nc r="AB87" t="inlineStr">
      <is>
        <t>YES</t>
      </is>
    </nc>
  </rcc>
  <rcc rId="1155" sId="1">
    <nc r="AB88" t="inlineStr">
      <is>
        <t>YES</t>
      </is>
    </nc>
  </rcc>
  <rcc rId="1156" sId="1">
    <nc r="AB89" t="inlineStr">
      <is>
        <t>YES</t>
      </is>
    </nc>
  </rcc>
  <rcc rId="1157" sId="1">
    <nc r="AB90" t="inlineStr">
      <is>
        <t>YES</t>
      </is>
    </nc>
  </rcc>
  <rcc rId="1158" sId="1">
    <nc r="AB91" t="inlineStr">
      <is>
        <t>YES</t>
      </is>
    </nc>
  </rcc>
  <rcc rId="1159" sId="1">
    <nc r="AB92" t="inlineStr">
      <is>
        <t>YES</t>
      </is>
    </nc>
  </rcc>
  <rcc rId="1160" sId="1">
    <nc r="AB93" t="inlineStr">
      <is>
        <t>YES</t>
      </is>
    </nc>
  </rcc>
  <rcc rId="1161" sId="1">
    <nc r="AB94" t="inlineStr">
      <is>
        <t>YES</t>
      </is>
    </nc>
  </rcc>
  <rcc rId="1162" sId="1">
    <nc r="AB95" t="inlineStr">
      <is>
        <t>YES</t>
      </is>
    </nc>
  </rcc>
  <rcc rId="1163" sId="1">
    <nc r="AB96" t="inlineStr">
      <is>
        <t>YES</t>
      </is>
    </nc>
  </rcc>
  <rcc rId="1164" sId="1">
    <nc r="AB97" t="inlineStr">
      <is>
        <t>YES</t>
      </is>
    </nc>
  </rcc>
  <rcc rId="1165" sId="1">
    <nc r="AB98" t="inlineStr">
      <is>
        <t>YES</t>
      </is>
    </nc>
  </rcc>
  <rcc rId="1166" sId="1">
    <nc r="AB99" t="inlineStr">
      <is>
        <t>YES</t>
      </is>
    </nc>
  </rcc>
  <rcc rId="1167" sId="1">
    <nc r="AB100" t="inlineStr">
      <is>
        <t>YES</t>
      </is>
    </nc>
  </rcc>
  <rcc rId="1168" sId="1">
    <nc r="AB101" t="inlineStr">
      <is>
        <t>YES</t>
      </is>
    </nc>
  </rcc>
  <rcc rId="1169" sId="1">
    <nc r="AB102" t="inlineStr">
      <is>
        <t>YES</t>
      </is>
    </nc>
  </rcc>
  <rcc rId="1170" sId="1">
    <nc r="AB103" t="inlineStr">
      <is>
        <t>YES</t>
      </is>
    </nc>
  </rcc>
  <rcc rId="1171" sId="1">
    <nc r="AB104" t="inlineStr">
      <is>
        <t>YES</t>
      </is>
    </nc>
  </rcc>
  <rcc rId="1172" sId="1">
    <nc r="AB105" t="inlineStr">
      <is>
        <t>YES</t>
      </is>
    </nc>
  </rcc>
  <rcc rId="1173" sId="1">
    <nc r="AB106" t="inlineStr">
      <is>
        <t>YES</t>
      </is>
    </nc>
  </rcc>
  <rcc rId="1174" sId="1">
    <nc r="AB107" t="inlineStr">
      <is>
        <t>YES</t>
      </is>
    </nc>
  </rcc>
  <rcc rId="1175" sId="1">
    <nc r="AB108" t="inlineStr">
      <is>
        <t>YES</t>
      </is>
    </nc>
  </rcc>
  <rcc rId="1176" sId="1">
    <nc r="AB109" t="inlineStr">
      <is>
        <t>YES</t>
      </is>
    </nc>
  </rcc>
  <rcc rId="1177" sId="1">
    <nc r="AB110" t="inlineStr">
      <is>
        <t>YES</t>
      </is>
    </nc>
  </rcc>
  <rcc rId="1178" sId="1">
    <nc r="AB111" t="inlineStr">
      <is>
        <t>YES</t>
      </is>
    </nc>
  </rcc>
  <rcc rId="1179" sId="1">
    <nc r="AB112" t="inlineStr">
      <is>
        <t>YES</t>
      </is>
    </nc>
  </rcc>
  <rcc rId="1180" sId="1">
    <nc r="AB113" t="inlineStr">
      <is>
        <t>YES</t>
      </is>
    </nc>
  </rcc>
  <rcc rId="1181" sId="1">
    <nc r="AB114" t="inlineStr">
      <is>
        <t>YES</t>
      </is>
    </nc>
  </rcc>
  <rcc rId="1182" sId="1">
    <nc r="AB115" t="inlineStr">
      <is>
        <t>YES</t>
      </is>
    </nc>
  </rcc>
  <rcc rId="1183" sId="1">
    <nc r="AB116" t="inlineStr">
      <is>
        <t>YES</t>
      </is>
    </nc>
  </rcc>
  <rcc rId="1184" sId="1">
    <nc r="AB117" t="inlineStr">
      <is>
        <t>YES</t>
      </is>
    </nc>
  </rcc>
  <rcc rId="1185" sId="1">
    <nc r="AB118" t="inlineStr">
      <is>
        <t>YES</t>
      </is>
    </nc>
  </rcc>
  <rcc rId="1186" sId="1">
    <nc r="AB119" t="inlineStr">
      <is>
        <t>YES</t>
      </is>
    </nc>
  </rcc>
  <rcc rId="1187" sId="1">
    <nc r="AB120" t="inlineStr">
      <is>
        <t>YES</t>
      </is>
    </nc>
  </rcc>
  <rcc rId="1188" sId="1">
    <nc r="AB121" t="inlineStr">
      <is>
        <t>YES</t>
      </is>
    </nc>
  </rcc>
  <rcc rId="1189" sId="1">
    <nc r="AB122" t="inlineStr">
      <is>
        <t>YES</t>
      </is>
    </nc>
  </rcc>
  <rcc rId="1190" sId="1">
    <nc r="AB123" t="inlineStr">
      <is>
        <t>YES</t>
      </is>
    </nc>
  </rcc>
  <rcc rId="1191" sId="1">
    <nc r="AB124" t="inlineStr">
      <is>
        <t>YES</t>
      </is>
    </nc>
  </rcc>
  <rcc rId="1192" sId="1">
    <nc r="AB125" t="inlineStr">
      <is>
        <t>YES</t>
      </is>
    </nc>
  </rcc>
  <rcc rId="1193" sId="1">
    <nc r="AB126" t="inlineStr">
      <is>
        <t>YES</t>
      </is>
    </nc>
  </rcc>
  <rcc rId="1194" sId="1">
    <nc r="AB127" t="inlineStr">
      <is>
        <t>YES</t>
      </is>
    </nc>
  </rcc>
  <rcc rId="1195" sId="1">
    <nc r="AB128" t="inlineStr">
      <is>
        <t>YES</t>
      </is>
    </nc>
  </rcc>
  <rcc rId="1196" sId="1">
    <nc r="AB129" t="inlineStr">
      <is>
        <t>YES</t>
      </is>
    </nc>
  </rcc>
  <rcc rId="1197" sId="1">
    <nc r="AB130" t="inlineStr">
      <is>
        <t>YES</t>
      </is>
    </nc>
  </rcc>
  <rcc rId="1198" sId="1">
    <nc r="AB131" t="inlineStr">
      <is>
        <t>YES</t>
      </is>
    </nc>
  </rcc>
  <rcc rId="1199" sId="1">
    <nc r="AB132" t="inlineStr">
      <is>
        <t>YES</t>
      </is>
    </nc>
  </rcc>
  <rcc rId="1200" sId="1">
    <nc r="AB133" t="inlineStr">
      <is>
        <t>YES</t>
      </is>
    </nc>
  </rcc>
  <rcc rId="1201" sId="1">
    <nc r="AB134" t="inlineStr">
      <is>
        <t>YES</t>
      </is>
    </nc>
  </rcc>
  <rcc rId="1202" sId="1">
    <nc r="AB135" t="inlineStr">
      <is>
        <t>YES</t>
      </is>
    </nc>
  </rcc>
  <rcc rId="1203" sId="1">
    <nc r="AB136" t="inlineStr">
      <is>
        <t>YES</t>
      </is>
    </nc>
  </rcc>
  <rcc rId="1204" sId="1">
    <nc r="AB137" t="inlineStr">
      <is>
        <t>YES</t>
      </is>
    </nc>
  </rcc>
  <rcc rId="1205" sId="1">
    <nc r="AB138" t="inlineStr">
      <is>
        <t>YES</t>
      </is>
    </nc>
  </rcc>
  <rcc rId="1206" sId="1">
    <nc r="AB139" t="inlineStr">
      <is>
        <t>YES</t>
      </is>
    </nc>
  </rcc>
  <rcc rId="1207" sId="1">
    <nc r="AB140" t="inlineStr">
      <is>
        <t>YES</t>
      </is>
    </nc>
  </rcc>
  <rcc rId="1208" sId="1">
    <nc r="AB141" t="inlineStr">
      <is>
        <t>YES</t>
      </is>
    </nc>
  </rcc>
  <rcc rId="1209" sId="1">
    <nc r="AB142" t="inlineStr">
      <is>
        <t>YES</t>
      </is>
    </nc>
  </rcc>
  <rcc rId="1210" sId="1">
    <nc r="AB143" t="inlineStr">
      <is>
        <t>YES</t>
      </is>
    </nc>
  </rcc>
  <rcc rId="1211" sId="1">
    <nc r="AB144" t="inlineStr">
      <is>
        <t>YES</t>
      </is>
    </nc>
  </rcc>
  <rcc rId="1212" sId="1">
    <nc r="AB145" t="inlineStr">
      <is>
        <t>YES</t>
      </is>
    </nc>
  </rcc>
  <rcc rId="1213" sId="1">
    <nc r="AB146" t="inlineStr">
      <is>
        <t>YES</t>
      </is>
    </nc>
  </rcc>
  <rcc rId="1214" sId="1">
    <nc r="AB147" t="inlineStr">
      <is>
        <t>YES</t>
      </is>
    </nc>
  </rcc>
  <rcc rId="1215" sId="1">
    <nc r="AB148" t="inlineStr">
      <is>
        <t>YES</t>
      </is>
    </nc>
  </rcc>
  <rcc rId="1216" sId="1">
    <nc r="AB149" t="inlineStr">
      <is>
        <t>YES</t>
      </is>
    </nc>
  </rcc>
  <rcc rId="1217" sId="1">
    <nc r="AB150" t="inlineStr">
      <is>
        <t>YES</t>
      </is>
    </nc>
  </rcc>
  <rcc rId="1218" sId="1">
    <nc r="AB151" t="inlineStr">
      <is>
        <t>YES</t>
      </is>
    </nc>
  </rcc>
  <rcc rId="1219" sId="1">
    <nc r="AB152" t="inlineStr">
      <is>
        <t>YES</t>
      </is>
    </nc>
  </rcc>
  <rcc rId="1220" sId="1">
    <nc r="AB153" t="inlineStr">
      <is>
        <t>YES</t>
      </is>
    </nc>
  </rcc>
  <rcc rId="1221" sId="1">
    <nc r="AB154" t="inlineStr">
      <is>
        <t>YES</t>
      </is>
    </nc>
  </rcc>
  <rcc rId="1222" sId="1">
    <nc r="AB155" t="inlineStr">
      <is>
        <t>YES</t>
      </is>
    </nc>
  </rcc>
  <rcc rId="1223" sId="1">
    <nc r="AB156" t="inlineStr">
      <is>
        <t>YES</t>
      </is>
    </nc>
  </rcc>
  <rcc rId="1224" sId="1">
    <nc r="AB157" t="inlineStr">
      <is>
        <t>YES</t>
      </is>
    </nc>
  </rcc>
  <rcv guid="{250915DF-0B97-45D7-B29D-7EED4C89C1C1}" action="delete"/>
  <rdn rId="0" localSheetId="1" customView="1" name="Z_250915DF_0B97_45D7_B29D_7EED4C89C1C1_.wvu.FilterData" hidden="1" oldHidden="1">
    <formula>COEM_Data_20200414!$B$47:$AN$312</formula>
    <oldFormula>COEM_Data_20200414!$B$47:$AN$312</oldFormula>
  </rdn>
  <rdn rId="0" localSheetId="2" customView="1" name="Z_250915DF_0B97_45D7_B29D_7EED4C89C1C1_.wvu.FilterData" hidden="1" oldHidden="1">
    <formula>Merged!$B$62:$AK$313</formula>
    <oldFormula>Merged!$B$62:$AK$313</oldFormula>
  </rdn>
  <rdn rId="0" localSheetId="10" customView="1" name="Z_250915DF_0B97_45D7_B29D_7EED4C89C1C1_.wvu.FilterData" hidden="1" oldHidden="1">
    <formula>Not_Fill_Data_20200321_20200420!$P$49:$P$219</formula>
    <oldFormula>Not_Fill_Data_20200321_20200420!$P$49:$P$219</oldFormula>
  </rdn>
  <rdn rId="0" localSheetId="11" customView="1" name="Z_250915DF_0B97_45D7_B29D_7EED4C89C1C1_.wvu.FilterData" hidden="1" oldHidden="1">
    <formula>Not_Fill_Data_20200305_20200320!$B$37:$AK$106</formula>
    <oldFormula>Not_Fill_Data_20200305_20200320!$B$37:$AK$106</oldFormula>
  </rdn>
  <rcv guid="{250915DF-0B97-45D7-B29D-7EED4C89C1C1}" action="add"/>
</revisions>
</file>

<file path=xl/revisions/userNames.xml><?xml version="1.0" encoding="utf-8"?>
<users xmlns="http://schemas.openxmlformats.org/spreadsheetml/2006/main" xmlns:r="http://schemas.openxmlformats.org/officeDocument/2006/relationships" xmlns:mc="http://schemas.openxmlformats.org/markup-compatibility/2006" xmlns:x14ac="http://schemas.microsoft.com/office/spreadsheetml/2009/9/ac" mc:Ignorable="x14ac" count="4">
  <userInfo guid="{CF02DB76-403D-459C-9E9C-0EAF8AF8B448}" name="EXTERNAL Do Anh Huy (Ban Vien Company, RBVH/EPS45)" id="-1624222706" dateTime="2020-04-17T19:14:07"/>
  <userInfo guid="{2519B0AC-1585-4BD5-9DCA-C6AB58A742F1}" name="EXTERNAL Nguyen Duy Bang (Ban Vien, RBVH/EPS45)" id="-1953124848" dateTime="2020-04-17T19:50:42"/>
  <userInfo guid="{F1EF23A3-5903-4BC0-9FD1-8130C4530C31}" name="GUP7HC" id="-676888423" dateTime="2020-04-17T20:58:00"/>
  <userInfo guid="{03F7FB66-51A1-4FC1-B9A9-7EF44B95D053}" name="EXTERNAL Nguyen Trung Hieu (Ban Vien, RBVH/EPS45)" id="-241720210" dateTime="2020-04-17T20:59:43"/>
</us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printerSettings" Target="../printerSettings/printerSettings3.bin"/><Relationship Id="rId7" Type="http://schemas.openxmlformats.org/officeDocument/2006/relationships/printerSettings" Target="../printerSettings/printerSettings7.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15.bin"/><Relationship Id="rId3" Type="http://schemas.openxmlformats.org/officeDocument/2006/relationships/printerSettings" Target="../printerSettings/printerSettings10.bin"/><Relationship Id="rId7" Type="http://schemas.openxmlformats.org/officeDocument/2006/relationships/printerSettings" Target="../printerSettings/printerSettings14.bin"/><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8.bin"/><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printerSettings" Target="../printerSettings/printerSettings21.bin"/><Relationship Id="rId5" Type="http://schemas.openxmlformats.org/officeDocument/2006/relationships/printerSettings" Target="../printerSettings/printerSettings20.bin"/><Relationship Id="rId4" Type="http://schemas.openxmlformats.org/officeDocument/2006/relationships/printerSettings" Target="../printerSettings/printerSettings19.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29.bin"/><Relationship Id="rId3" Type="http://schemas.openxmlformats.org/officeDocument/2006/relationships/printerSettings" Target="../printerSettings/printerSettings24.bin"/><Relationship Id="rId7" Type="http://schemas.openxmlformats.org/officeDocument/2006/relationships/printerSettings" Target="../printerSettings/printerSettings28.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printerSettings" Target="../printerSettings/printerSettings27.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37.bin"/><Relationship Id="rId3" Type="http://schemas.openxmlformats.org/officeDocument/2006/relationships/printerSettings" Target="../printerSettings/printerSettings32.bin"/><Relationship Id="rId7" Type="http://schemas.openxmlformats.org/officeDocument/2006/relationships/printerSettings" Target="../printerSettings/printerSettings36.bin"/><Relationship Id="rId2" Type="http://schemas.openxmlformats.org/officeDocument/2006/relationships/printerSettings" Target="../printerSettings/printerSettings31.bin"/><Relationship Id="rId1" Type="http://schemas.openxmlformats.org/officeDocument/2006/relationships/printerSettings" Target="../printerSettings/printerSettings30.bin"/><Relationship Id="rId6" Type="http://schemas.openxmlformats.org/officeDocument/2006/relationships/printerSettings" Target="../printerSettings/printerSettings35.bin"/><Relationship Id="rId11" Type="http://schemas.openxmlformats.org/officeDocument/2006/relationships/printerSettings" Target="../printerSettings/printerSettings40.bin"/><Relationship Id="rId5" Type="http://schemas.openxmlformats.org/officeDocument/2006/relationships/printerSettings" Target="../printerSettings/printerSettings34.bin"/><Relationship Id="rId10" Type="http://schemas.openxmlformats.org/officeDocument/2006/relationships/printerSettings" Target="../printerSettings/printerSettings39.bin"/><Relationship Id="rId4" Type="http://schemas.openxmlformats.org/officeDocument/2006/relationships/printerSettings" Target="../printerSettings/printerSettings33.bin"/><Relationship Id="rId9" Type="http://schemas.openxmlformats.org/officeDocument/2006/relationships/printerSettings" Target="../printerSettings/printerSettings38.bin"/></Relationships>
</file>

<file path=xl/worksheets/_rels/sheet13.xml.rels><?xml version="1.0" encoding="UTF-8" standalone="yes"?>
<Relationships xmlns="http://schemas.openxmlformats.org/package/2006/relationships"><Relationship Id="rId8" Type="http://schemas.openxmlformats.org/officeDocument/2006/relationships/printerSettings" Target="../printerSettings/printerSettings48.bin"/><Relationship Id="rId3" Type="http://schemas.openxmlformats.org/officeDocument/2006/relationships/printerSettings" Target="../printerSettings/printerSettings43.bin"/><Relationship Id="rId7" Type="http://schemas.openxmlformats.org/officeDocument/2006/relationships/printerSettings" Target="../printerSettings/printerSettings47.bin"/><Relationship Id="rId2" Type="http://schemas.openxmlformats.org/officeDocument/2006/relationships/printerSettings" Target="../printerSettings/printerSettings42.bin"/><Relationship Id="rId1" Type="http://schemas.openxmlformats.org/officeDocument/2006/relationships/printerSettings" Target="../printerSettings/printerSettings41.bin"/><Relationship Id="rId6" Type="http://schemas.openxmlformats.org/officeDocument/2006/relationships/printerSettings" Target="../printerSettings/printerSettings46.bin"/><Relationship Id="rId5" Type="http://schemas.openxmlformats.org/officeDocument/2006/relationships/printerSettings" Target="../printerSettings/printerSettings45.bin"/><Relationship Id="rId4" Type="http://schemas.openxmlformats.org/officeDocument/2006/relationships/printerSettings" Target="../printerSettings/printerSettings44.bin"/></Relationships>
</file>

<file path=xl/worksheets/_rels/sheet14.xml.rels><?xml version="1.0" encoding="UTF-8" standalone="yes"?>
<Relationships xmlns="http://schemas.openxmlformats.org/package/2006/relationships"><Relationship Id="rId8" Type="http://schemas.openxmlformats.org/officeDocument/2006/relationships/printerSettings" Target="../printerSettings/printerSettings56.bin"/><Relationship Id="rId3" Type="http://schemas.openxmlformats.org/officeDocument/2006/relationships/printerSettings" Target="../printerSettings/printerSettings51.bin"/><Relationship Id="rId7" Type="http://schemas.openxmlformats.org/officeDocument/2006/relationships/printerSettings" Target="../printerSettings/printerSettings55.bin"/><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 Id="rId6" Type="http://schemas.openxmlformats.org/officeDocument/2006/relationships/printerSettings" Target="../printerSettings/printerSettings54.bin"/><Relationship Id="rId5" Type="http://schemas.openxmlformats.org/officeDocument/2006/relationships/printerSettings" Target="../printerSettings/printerSettings53.bin"/><Relationship Id="rId4" Type="http://schemas.openxmlformats.org/officeDocument/2006/relationships/printerSettings" Target="../printerSettings/printerSettings5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50"/>
  </sheetPr>
  <dimension ref="A1:AN312"/>
  <sheetViews>
    <sheetView tabSelected="1" topLeftCell="A37" zoomScale="70" zoomScaleNormal="70" workbookViewId="0">
      <pane xSplit="2" ySplit="11" topLeftCell="V147" activePane="bottomRight" state="frozen"/>
      <selection activeCell="A37" sqref="A37"/>
      <selection pane="topRight" activeCell="C37" sqref="C37"/>
      <selection pane="bottomLeft" activeCell="A48" sqref="A48"/>
      <selection pane="bottomRight" activeCell="AB56" sqref="AB56:AB157"/>
    </sheetView>
  </sheetViews>
  <sheetFormatPr defaultRowHeight="15" x14ac:dyDescent="0.25"/>
  <cols>
    <col min="2" max="2" width="14.42578125" bestFit="1" customWidth="1"/>
    <col min="3" max="3" width="14.5703125" customWidth="1"/>
    <col min="4" max="4" width="10.140625" customWidth="1"/>
    <col min="5" max="5" width="31.140625" bestFit="1" customWidth="1"/>
    <col min="6" max="6" width="66" bestFit="1" customWidth="1"/>
    <col min="7" max="7" width="10" bestFit="1" customWidth="1"/>
    <col min="8" max="8" width="12.140625" bestFit="1" customWidth="1"/>
    <col min="9" max="9" width="50.5703125" bestFit="1" customWidth="1"/>
    <col min="10" max="10" width="12" bestFit="1" customWidth="1"/>
    <col min="11" max="11" width="12" customWidth="1"/>
    <col min="12" max="12" width="14.42578125" bestFit="1" customWidth="1"/>
    <col min="13" max="13" width="14.42578125" customWidth="1"/>
    <col min="14" max="14" width="21" bestFit="1" customWidth="1"/>
    <col min="15" max="15" width="17.42578125" bestFit="1" customWidth="1"/>
    <col min="16" max="16" width="36" bestFit="1" customWidth="1"/>
    <col min="17" max="17" width="12.42578125" bestFit="1" customWidth="1"/>
    <col min="18" max="18" width="14" bestFit="1" customWidth="1"/>
    <col min="19" max="19" width="13.42578125" bestFit="1" customWidth="1"/>
    <col min="20" max="20" width="17.42578125" bestFit="1" customWidth="1"/>
    <col min="21" max="21" width="17.85546875" bestFit="1" customWidth="1"/>
    <col min="22" max="22" width="14" bestFit="1" customWidth="1"/>
    <col min="23" max="23" width="22.7109375" customWidth="1"/>
    <col min="24" max="24" width="18.140625" bestFit="1" customWidth="1"/>
    <col min="25" max="25" width="27.28515625" bestFit="1" customWidth="1"/>
    <col min="26" max="26" width="14.85546875" bestFit="1" customWidth="1"/>
    <col min="27" max="27" width="16.85546875" bestFit="1" customWidth="1"/>
    <col min="28" max="28" width="16.85546875" customWidth="1"/>
    <col min="29" max="29" width="17.42578125" bestFit="1" customWidth="1"/>
    <col min="30" max="30" width="16" bestFit="1" customWidth="1"/>
    <col min="31" max="32" width="14.140625" bestFit="1" customWidth="1"/>
    <col min="33" max="33" width="17.140625" bestFit="1" customWidth="1"/>
    <col min="34" max="36" width="9.5703125" bestFit="1" customWidth="1"/>
    <col min="37" max="37" width="15" bestFit="1" customWidth="1"/>
    <col min="38" max="38" width="33" bestFit="1" customWidth="1"/>
    <col min="39" max="39" width="30.28515625" bestFit="1" customWidth="1"/>
    <col min="40" max="40" width="38.5703125" bestFit="1" customWidth="1"/>
  </cols>
  <sheetData>
    <row r="1" spans="1:13" x14ac:dyDescent="0.25">
      <c r="A1" s="1" t="s">
        <v>853</v>
      </c>
    </row>
    <row r="2" spans="1:13" x14ac:dyDescent="0.25">
      <c r="B2" s="1" t="s">
        <v>58</v>
      </c>
    </row>
    <row r="3" spans="1:13" x14ac:dyDescent="0.25">
      <c r="B3" s="2" t="s">
        <v>0</v>
      </c>
      <c r="C3" s="2" t="s">
        <v>8</v>
      </c>
      <c r="D3" s="2" t="s">
        <v>464</v>
      </c>
      <c r="E3" s="2" t="s">
        <v>59</v>
      </c>
      <c r="F3" s="2" t="s">
        <v>491</v>
      </c>
      <c r="G3" s="2" t="s">
        <v>23</v>
      </c>
      <c r="H3" s="4" t="s">
        <v>25</v>
      </c>
      <c r="J3" s="1" t="s">
        <v>45</v>
      </c>
    </row>
    <row r="4" spans="1:13" x14ac:dyDescent="0.25">
      <c r="B4" s="3">
        <v>1</v>
      </c>
      <c r="C4" s="34" t="s">
        <v>6</v>
      </c>
      <c r="D4" s="73">
        <f>SUMIFS($W$48:$W$312,$D$48:$D$312,Table!$D$3,$S$48:$S$312,C4)</f>
        <v>2305</v>
      </c>
      <c r="E4" s="73">
        <f>SUMIFS($W$48:$W$312,$D$48:$D$312,Table!$D$3,$S$48:$S$312,C4)-SUM(SUMIFS($W$48:$W$312,$D$48:$D$312,Table!$D$3,$S$48:$S$312,C4,$AA$48:$AA$312,{"Ongoing","N/A",""}))</f>
        <v>2305</v>
      </c>
      <c r="F4" s="73">
        <f>1/8*(SUMIFS($Z$48:$Z$312,$D$48:$D$312,Table!$D$3,$S$48:$S$312,C4)-SUM(SUMIFS($Z$48:$Z$312,$D$48:$D$312,Table!$D$3,$S$48:$S$312,C4,$AA$48:$AA$312,{"Ongoing","N/A",""})))</f>
        <v>2.625</v>
      </c>
      <c r="G4" s="73">
        <f>IF(ISERROR(E4/(F4)),"N/A",E4/F4)</f>
        <v>878.09523809523807</v>
      </c>
      <c r="H4" s="74">
        <f>IF(ISERROR(E4/D4),"N/A",E4/D4)</f>
        <v>1</v>
      </c>
      <c r="K4" s="1" t="s">
        <v>47</v>
      </c>
    </row>
    <row r="5" spans="1:13" x14ac:dyDescent="0.25">
      <c r="B5" s="3">
        <v>2</v>
      </c>
      <c r="C5" s="34" t="s">
        <v>70</v>
      </c>
      <c r="D5" s="73">
        <f>SUMIFS($W$48:$W$312,$D$48:$D$312,Table!$D$3,$S$48:$S$312,C5)</f>
        <v>2990</v>
      </c>
      <c r="E5" s="73">
        <f>SUMIFS($W$48:$W$312,$D$48:$D$312,Table!$D$3,$S$48:$S$312,C5)-SUM(SUMIFS($W$48:$W$312,$D$48:$D$312,Table!$D$3,$S$48:$S$312,C5,$AA$48:$AA$312,{"Ongoing","N/A",""}))</f>
        <v>2990</v>
      </c>
      <c r="F5" s="73">
        <f>1/8*(SUMIFS($Z$48:$Z$312,$D$48:$D$312,Table!$D$3,$S$48:$S$312,C5)-SUM(SUMIFS($Z$48:$Z$312,$D$48:$D$312,Table!$D$3,$S$48:$S$312,C5,$AA$48:$AA$312,{"Ongoing","N/A",""})))</f>
        <v>3.5</v>
      </c>
      <c r="G5" s="73">
        <f t="shared" ref="G5:G13" si="0">IF(ISERROR(E5/(F5)),"N/A",E5/F5)</f>
        <v>854.28571428571433</v>
      </c>
      <c r="H5" s="74">
        <f t="shared" ref="H5:H14" si="1">IF(ISERROR(E5/D5),"N/A",E5/D5)</f>
        <v>1</v>
      </c>
      <c r="L5" t="s">
        <v>46</v>
      </c>
    </row>
    <row r="6" spans="1:13" x14ac:dyDescent="0.25">
      <c r="B6" s="3">
        <v>3</v>
      </c>
      <c r="C6" s="34" t="s">
        <v>71</v>
      </c>
      <c r="D6" s="73">
        <f>SUMIFS($W$48:$W$312,$D$48:$D$312,Table!$D$3,$S$48:$S$312,C6)</f>
        <v>2177</v>
      </c>
      <c r="E6" s="73">
        <f>SUMIFS($W$48:$W$312,$D$48:$D$312,Table!$D$3,$S$48:$S$312,C6)-SUM(SUMIFS($W$48:$W$312,$D$48:$D$312,Table!$D$3,$S$48:$S$312,C6,$AA$48:$AA$312,{"Ongoing","N/A",""}))</f>
        <v>2177</v>
      </c>
      <c r="F6" s="73">
        <f>1/8*(SUMIFS($Z$48:$Z$312,$D$48:$D$312,Table!$D$3,$S$48:$S$312,C6)-SUM(SUMIFS($Z$48:$Z$312,$D$48:$D$312,Table!$D$3,$S$48:$S$312,C6,$AA$48:$AA$312,{"Ongoing","N/A",""})))</f>
        <v>3.3125</v>
      </c>
      <c r="G6" s="73">
        <f t="shared" si="0"/>
        <v>657.20754716981128</v>
      </c>
      <c r="H6" s="74">
        <f t="shared" si="1"/>
        <v>1</v>
      </c>
      <c r="L6" t="s">
        <v>214</v>
      </c>
    </row>
    <row r="7" spans="1:13" x14ac:dyDescent="0.25">
      <c r="B7" s="3">
        <v>4</v>
      </c>
      <c r="C7" s="34" t="s">
        <v>72</v>
      </c>
      <c r="D7" s="73">
        <f>SUMIFS($W$48:$W$312,$D$48:$D$312,Table!$D$3,$S$48:$S$312,C7)</f>
        <v>1753</v>
      </c>
      <c r="E7" s="73">
        <f>SUMIFS($W$48:$W$312,$D$48:$D$312,Table!$D$3,$S$48:$S$312,C7)-SUM(SUMIFS($W$48:$W$312,$D$48:$D$312,Table!$D$3,$S$48:$S$312,C7,$AA$48:$AA$312,{"Ongoing","N/A",""}))</f>
        <v>1753</v>
      </c>
      <c r="F7" s="73">
        <f>1/8*(SUMIFS($Z$48:$Z$312,$D$48:$D$312,Table!$D$3,$S$48:$S$312,C7)-SUM(SUMIFS($Z$48:$Z$312,$D$48:$D$312,Table!$D$3,$S$48:$S$312,C7,$AA$48:$AA$312,{"Ongoing","N/A",""})))</f>
        <v>3.375</v>
      </c>
      <c r="G7" s="73">
        <f t="shared" si="0"/>
        <v>519.40740740740739</v>
      </c>
      <c r="H7" s="74">
        <f t="shared" si="1"/>
        <v>1</v>
      </c>
      <c r="K7" s="1" t="s">
        <v>48</v>
      </c>
    </row>
    <row r="8" spans="1:13" x14ac:dyDescent="0.25">
      <c r="B8" s="3">
        <v>5</v>
      </c>
      <c r="C8" s="34" t="s">
        <v>73</v>
      </c>
      <c r="D8" s="73">
        <f>SUMIFS($W$48:$W$312,$D$48:$D$312,Table!$D$3,$S$48:$S$312,C8)</f>
        <v>0</v>
      </c>
      <c r="E8" s="73">
        <f>SUMIFS($W$48:$W$312,$D$48:$D$312,Table!$D$3,$S$48:$S$312,C8)-SUM(SUMIFS($W$48:$W$312,$D$48:$D$312,Table!$D$3,$S$48:$S$312,C8,$AA$48:$AA$312,{"Ongoing","N/A",""}))</f>
        <v>0</v>
      </c>
      <c r="F8" s="73">
        <f>1/8*(SUMIFS($Z$48:$Z$312,$D$48:$D$312,Table!$D$3,$S$48:$S$312,C8)-SUM(SUMIFS($Z$48:$Z$312,$D$48:$D$312,Table!$D$3,$S$48:$S$312,C8,$AA$48:$AA$312,{"Ongoing","N/A",""})))</f>
        <v>0</v>
      </c>
      <c r="G8" s="73" t="str">
        <f t="shared" si="0"/>
        <v>N/A</v>
      </c>
      <c r="H8" s="74" t="str">
        <f t="shared" si="1"/>
        <v>N/A</v>
      </c>
      <c r="L8" t="s">
        <v>49</v>
      </c>
    </row>
    <row r="9" spans="1:13" x14ac:dyDescent="0.25">
      <c r="B9" s="3">
        <v>6</v>
      </c>
      <c r="C9" s="34" t="s">
        <v>74</v>
      </c>
      <c r="D9" s="73">
        <f>SUMIFS($W$48:$W$312,$D$48:$D$312,Table!$D$3,$S$48:$S$312,C9)</f>
        <v>0</v>
      </c>
      <c r="E9" s="73">
        <f>SUMIFS($W$48:$W$312,$D$48:$D$312,Table!$D$3,$S$48:$S$312,C9)-SUM(SUMIFS($W$48:$W$312,$D$48:$D$312,Table!$D$3,$S$48:$S$312,C9,$AA$48:$AA$312,{"Ongoing","N/A",""}))</f>
        <v>0</v>
      </c>
      <c r="F9" s="73">
        <f>1/8*(SUMIFS($Z$48:$Z$312,$D$48:$D$312,Table!$D$3,$S$48:$S$312,C9)-SUM(SUMIFS($Z$48:$Z$312,$D$48:$D$312,Table!$D$3,$S$48:$S$312,C9,$AA$48:$AA$312,{"Ongoing","N/A",""})))</f>
        <v>0</v>
      </c>
      <c r="G9" s="73" t="str">
        <f t="shared" si="0"/>
        <v>N/A</v>
      </c>
      <c r="H9" s="74" t="str">
        <f t="shared" si="1"/>
        <v>N/A</v>
      </c>
      <c r="L9" t="s">
        <v>50</v>
      </c>
    </row>
    <row r="10" spans="1:13" x14ac:dyDescent="0.25">
      <c r="B10" s="3">
        <v>7</v>
      </c>
      <c r="C10" s="34" t="s">
        <v>75</v>
      </c>
      <c r="D10" s="73">
        <f>SUMIFS($W$48:$W$312,$D$48:$D$312,Table!$D$3,$S$48:$S$312,C10)</f>
        <v>0</v>
      </c>
      <c r="E10" s="73">
        <f>SUMIFS($W$48:$W$312,$D$48:$D$312,Table!$D$3,$S$48:$S$312,C10)-SUM(SUMIFS($W$48:$W$312,$D$48:$D$312,Table!$D$3,$S$48:$S$312,C10,$AA$48:$AA$312,{"Ongoing","N/A",""}))</f>
        <v>0</v>
      </c>
      <c r="F10" s="73">
        <f>1/8*(SUMIFS($Z$48:$Z$312,$D$48:$D$312,Table!$D$3,$S$48:$S$312,C10)-SUM(SUMIFS($Z$48:$Z$312,$D$48:$D$312,Table!$D$3,$S$48:$S$312,C10,$AA$48:$AA$312,{"Ongoing","N/A",""})))</f>
        <v>0</v>
      </c>
      <c r="G10" s="73" t="str">
        <f t="shared" si="0"/>
        <v>N/A</v>
      </c>
      <c r="H10" s="74" t="str">
        <f t="shared" si="1"/>
        <v>N/A</v>
      </c>
    </row>
    <row r="11" spans="1:13" x14ac:dyDescent="0.25">
      <c r="B11" s="3">
        <v>8</v>
      </c>
      <c r="C11" s="34" t="s">
        <v>76</v>
      </c>
      <c r="D11" s="73">
        <f>SUMIFS($W$48:$W$312,$D$48:$D$312,Table!$D$3,$S$48:$S$312,C11)</f>
        <v>0</v>
      </c>
      <c r="E11" s="73">
        <f>SUMIFS($W$48:$W$312,$D$48:$D$312,Table!$D$3,$S$48:$S$312,C11)-SUM(SUMIFS($W$48:$W$312,$D$48:$D$312,Table!$D$3,$S$48:$S$312,C11,$AA$48:$AA$312,{"Ongoing","N/A",""}))</f>
        <v>0</v>
      </c>
      <c r="F11" s="73">
        <f>1/8*(SUMIFS($Z$48:$Z$312,$D$48:$D$312,Table!$D$3,$S$48:$S$312,C11)-SUM(SUMIFS($Z$48:$Z$312,$D$48:$D$312,Table!$D$3,$S$48:$S$312,C11,$AA$48:$AA$312,{"Ongoing","N/A",""})))</f>
        <v>0</v>
      </c>
      <c r="G11" s="73" t="str">
        <f t="shared" si="0"/>
        <v>N/A</v>
      </c>
      <c r="H11" s="74" t="str">
        <f t="shared" si="1"/>
        <v>N/A</v>
      </c>
    </row>
    <row r="12" spans="1:13" x14ac:dyDescent="0.25">
      <c r="B12" s="3">
        <v>9</v>
      </c>
      <c r="C12" s="34" t="s">
        <v>931</v>
      </c>
      <c r="D12" s="73">
        <f>SUMIFS($W$48:$W$312,$D$48:$D$312,Table!$D$3,$S$48:$S$312,C12)</f>
        <v>1076</v>
      </c>
      <c r="E12" s="73">
        <f>SUMIFS($W$48:$W$312,$D$48:$D$312,Table!$D$3,$S$48:$S$312,C12)-SUM(SUMIFS($W$48:$W$312,$D$48:$D$312,Table!$D$3,$S$48:$S$312,C12,$AA$48:$AA$312,{"Ongoing","N/A",""}))</f>
        <v>1076</v>
      </c>
      <c r="F12" s="73">
        <f>1/8*(SUMIFS($Z$48:$Z$312,$D$48:$D$312,Table!$D$3,$S$48:$S$312,C12)-SUM(SUMIFS($Z$48:$Z$312,$D$48:$D$312,Table!$D$3,$S$48:$S$312,C12,$AA$48:$AA$312,{"Ongoing","N/A",""})))</f>
        <v>3.46875</v>
      </c>
      <c r="G12" s="73">
        <f t="shared" si="0"/>
        <v>310.19819819819821</v>
      </c>
      <c r="H12" s="74">
        <f t="shared" si="1"/>
        <v>1</v>
      </c>
    </row>
    <row r="13" spans="1:13" x14ac:dyDescent="0.25">
      <c r="B13" s="3">
        <v>10</v>
      </c>
      <c r="C13" s="34" t="s">
        <v>932</v>
      </c>
      <c r="D13" s="73">
        <f>SUMIFS($W$48:$W$312,$D$48:$D$312,Table!$D$3,$S$48:$S$312,C13)</f>
        <v>786</v>
      </c>
      <c r="E13" s="73">
        <f>SUMIFS($W$48:$W$312,$D$48:$D$312,Table!$D$3,$S$48:$S$312,C13)-SUM(SUMIFS($W$48:$W$312,$D$48:$D$312,Table!$D$3,$S$48:$S$312,C13,$AA$48:$AA$312,{"Ongoing","N/A",""}))</f>
        <v>786</v>
      </c>
      <c r="F13" s="73">
        <f>1/8*(SUMIFS($Z$48:$Z$312,$D$48:$D$312,Table!$D$3,$S$48:$S$312,C13)-SUM(SUMIFS($Z$48:$Z$312,$D$48:$D$312,Table!$D$3,$S$48:$S$312,C13,$AA$48:$AA$312,{"Ongoing","N/A",""})))</f>
        <v>1.3812499999999999</v>
      </c>
      <c r="G13" s="73">
        <f t="shared" si="0"/>
        <v>569.04977375565613</v>
      </c>
      <c r="H13" s="74">
        <f t="shared" si="1"/>
        <v>1</v>
      </c>
      <c r="J13" s="1" t="s">
        <v>44</v>
      </c>
      <c r="K13" s="65">
        <v>43935</v>
      </c>
      <c r="M13" s="65">
        <f ca="1">TODAY()</f>
        <v>43938</v>
      </c>
    </row>
    <row r="14" spans="1:13" x14ac:dyDescent="0.25">
      <c r="B14" s="2" t="s">
        <v>284</v>
      </c>
      <c r="C14" s="33"/>
      <c r="D14" s="75">
        <f>SUMIFS($W$48:$W$312,$D$48:$D$312,Table!$D$3)</f>
        <v>25914</v>
      </c>
      <c r="E14" s="75">
        <f>SUMIFS($W$48:$W$312,$D$48:$D$312,Table!$D$3)-SUM(SUMIFS($W$48:$W$312,$D$48:$D$312,Table!$D$3,$AA$48:$AA$312,{"Ongoing","N/A",""}))</f>
        <v>11087</v>
      </c>
      <c r="F14" s="75">
        <f>1/8*(SUMIFS($Z$48:$Z$312,$D$48:$D$312,Table!$D$3)-SUM(SUMIFS($Z$48:$Z$312,$D$48:$D$312,Table!$D$3,$AA$48:$AA$312,{"Ongoing","N/A",""})))</f>
        <v>17.662500000000001</v>
      </c>
      <c r="G14" s="73">
        <f>IF(ISERROR(E14/(F14)),"N/A",E14/F14)</f>
        <v>627.71408351026184</v>
      </c>
      <c r="H14" s="74">
        <f t="shared" si="1"/>
        <v>0.42783823415914179</v>
      </c>
      <c r="J14" s="1" t="s">
        <v>31</v>
      </c>
      <c r="K14" s="7">
        <f ca="1">SUM(INT((WEEKDAY(K13-{2,3,4,5,6}) +M13-K13)/7))</f>
        <v>4</v>
      </c>
    </row>
    <row r="15" spans="1:13" x14ac:dyDescent="0.25">
      <c r="J15" s="1" t="s">
        <v>739</v>
      </c>
      <c r="K15" s="7">
        <v>0</v>
      </c>
    </row>
    <row r="16" spans="1:13" x14ac:dyDescent="0.25">
      <c r="J16" s="1" t="s">
        <v>286</v>
      </c>
      <c r="K16">
        <f ca="1">IF(TODAY()&lt;M13,SUM(INT((WEEKDAY(K13-{2,3,4,5,6})+TODAY()-K13)/7)),SUM(INT((WEEKDAY(K13-{2,3,4,5,6})+M13-K13)/7)))-1/8</f>
        <v>3.875</v>
      </c>
    </row>
    <row r="17" spans="2:21" x14ac:dyDescent="0.25">
      <c r="B17" s="1" t="s">
        <v>57</v>
      </c>
    </row>
    <row r="18" spans="2:21" x14ac:dyDescent="0.25">
      <c r="B18" s="2" t="s">
        <v>0</v>
      </c>
      <c r="C18" s="2" t="s">
        <v>8</v>
      </c>
      <c r="D18" s="2" t="s">
        <v>464</v>
      </c>
      <c r="E18" s="2" t="s">
        <v>59</v>
      </c>
      <c r="F18" s="2" t="s">
        <v>491</v>
      </c>
      <c r="G18" s="2" t="s">
        <v>23</v>
      </c>
      <c r="H18" s="4" t="s">
        <v>25</v>
      </c>
    </row>
    <row r="19" spans="2:21" x14ac:dyDescent="0.25">
      <c r="B19" s="3">
        <v>1</v>
      </c>
      <c r="C19" s="34" t="s">
        <v>6</v>
      </c>
      <c r="D19" s="73">
        <f>SUMIFS($W$48:$W$312,$D$48:$D$312,Table!$C$3,$S$48:$S$312,C19)</f>
        <v>0</v>
      </c>
      <c r="E19" s="73">
        <f>SUMIFS($X$48:$X$312,$D$48:$D$312,Table!$C$3,$S$48:$S$312,C19)-SUM(SUMIFS($X$48:$X$312,$D$48:$D$312,Table!$C$3,$S$48:$S$312,C19,$AA$48:$AA$312,{"Ongoing","N/A",""}))</f>
        <v>0</v>
      </c>
      <c r="F19" s="73">
        <f>1/8*(SUMIFS($Z$48:$Z$312,$D$48:$D$312,Table!$C$3,$S$48:$S$312,C19)-SUM(SUMIFS($Z$48:$Z$312,$D$48:$D$312,Table!$C$3,$S$48:$S$312,C19,$AA$48:$AA$312,{"Ongoing","N/A",""})))</f>
        <v>0</v>
      </c>
      <c r="G19" s="73" t="str">
        <f>IF(ISERROR(E19/(F19)),"N/A",E19/F19)</f>
        <v>N/A</v>
      </c>
      <c r="H19" s="74" t="str">
        <f>IF(ISERROR(E19/D19),"N/A",E19/D19)</f>
        <v>N/A</v>
      </c>
    </row>
    <row r="20" spans="2:21" x14ac:dyDescent="0.25">
      <c r="B20" s="3">
        <v>2</v>
      </c>
      <c r="C20" s="34" t="s">
        <v>70</v>
      </c>
      <c r="D20" s="73">
        <f>SUMIFS($W$48:$W$312,$D$48:$D$312,Table!$C$3,$S$48:$S$312,C20)</f>
        <v>0</v>
      </c>
      <c r="E20" s="73">
        <f>SUMIFS($X$48:$X$312,$D$48:$D$312,Table!$C$3,$S$48:$S$312,C20)-SUM(SUMIFS($X$48:$X$312,$D$48:$D$312,Table!$C$3,$S$48:$S$312,C20,$AA$48:$AA$312,{"Ongoing","N/A",""}))</f>
        <v>0</v>
      </c>
      <c r="F20" s="73">
        <f>1/8*(SUMIFS($Z$48:$Z$312,$D$48:$D$312,Table!$C$3,$S$48:$S$312,C20)-SUM(SUMIFS($Z$48:$Z$312,$D$48:$D$312,Table!$C$3,$S$48:$S$312,C20,$AA$48:$AA$312,{"Ongoing","N/A",""})))</f>
        <v>0</v>
      </c>
      <c r="G20" s="73" t="str">
        <f t="shared" ref="G20:G29" si="2">IF(ISERROR(E20/(F20)),"N/A",E20/F20)</f>
        <v>N/A</v>
      </c>
      <c r="H20" s="74" t="str">
        <f t="shared" ref="H20:H29" si="3">IF(ISERROR(E20/D20),"N/A",E20/D20)</f>
        <v>N/A</v>
      </c>
    </row>
    <row r="21" spans="2:21" x14ac:dyDescent="0.25">
      <c r="B21" s="3">
        <v>3</v>
      </c>
      <c r="C21" s="34" t="s">
        <v>71</v>
      </c>
      <c r="D21" s="73">
        <f>SUMIFS($W$48:$W$312,$D$48:$D$312,Table!$C$3,$S$48:$S$312,C21)</f>
        <v>0</v>
      </c>
      <c r="E21" s="73">
        <f>SUMIFS($X$48:$X$312,$D$48:$D$312,Table!$C$3,$S$48:$S$312,C21)-SUM(SUMIFS($X$48:$X$312,$D$48:$D$312,Table!$C$3,$S$48:$S$312,C21,$AA$48:$AA$312,{"Ongoing","N/A",""}))</f>
        <v>0</v>
      </c>
      <c r="F21" s="73">
        <f>1/8*(SUMIFS($Z$48:$Z$312,$D$48:$D$312,Table!$C$3,$S$48:$S$312,C21)-SUM(SUMIFS($Z$48:$Z$312,$D$48:$D$312,Table!$C$3,$S$48:$S$312,C21,$AA$48:$AA$312,{"Ongoing","N/A",""})))</f>
        <v>0</v>
      </c>
      <c r="G21" s="73" t="str">
        <f t="shared" si="2"/>
        <v>N/A</v>
      </c>
      <c r="H21" s="74" t="str">
        <f t="shared" si="3"/>
        <v>N/A</v>
      </c>
    </row>
    <row r="22" spans="2:21" x14ac:dyDescent="0.25">
      <c r="B22" s="3">
        <v>4</v>
      </c>
      <c r="C22" s="34" t="s">
        <v>72</v>
      </c>
      <c r="D22" s="73">
        <f>SUMIFS($W$48:$W$312,$D$48:$D$312,Table!$C$3,$S$48:$S$312,C22)</f>
        <v>0</v>
      </c>
      <c r="E22" s="73">
        <f>SUMIFS($X$48:$X$312,$D$48:$D$312,Table!$C$3,$S$48:$S$312,C22)-SUM(SUMIFS($X$48:$X$312,$D$48:$D$312,Table!$C$3,$S$48:$S$312,C22,$AA$48:$AA$312,{"Ongoing","N/A",""}))</f>
        <v>0</v>
      </c>
      <c r="F22" s="73">
        <f>1/8*(SUMIFS($Z$48:$Z$312,$D$48:$D$312,Table!$C$3,$S$48:$S$312,C22)-SUM(SUMIFS($Z$48:$Z$312,$D$48:$D$312,Table!$C$3,$S$48:$S$312,C22,$AA$48:$AA$312,{"Ongoing","N/A",""})))</f>
        <v>0</v>
      </c>
      <c r="G22" s="73" t="str">
        <f t="shared" si="2"/>
        <v>N/A</v>
      </c>
      <c r="H22" s="74" t="str">
        <f t="shared" si="3"/>
        <v>N/A</v>
      </c>
    </row>
    <row r="23" spans="2:21" x14ac:dyDescent="0.25">
      <c r="B23" s="3">
        <v>5</v>
      </c>
      <c r="C23" s="34" t="s">
        <v>73</v>
      </c>
      <c r="D23" s="73">
        <f>SUMIFS($W$48:$W$312,$D$48:$D$312,Table!$C$3,$S$48:$S$312,C23)</f>
        <v>0</v>
      </c>
      <c r="E23" s="73">
        <f>SUMIFS($X$48:$X$312,$D$48:$D$312,Table!$C$3,$S$48:$S$312,C23)-SUM(SUMIFS($X$48:$X$312,$D$48:$D$312,Table!$C$3,$S$48:$S$312,C23,$AA$48:$AA$312,{"Ongoing","N/A",""}))</f>
        <v>0</v>
      </c>
      <c r="F23" s="73">
        <f>1/8*(SUMIFS($Z$48:$Z$312,$D$48:$D$312,Table!$C$3,$S$48:$S$312,C23)-SUM(SUMIFS($Z$48:$Z$312,$D$48:$D$312,Table!$C$3,$S$48:$S$312,C23,$AA$48:$AA$312,{"Ongoing","N/A",""})))</f>
        <v>0</v>
      </c>
      <c r="G23" s="73" t="str">
        <f t="shared" si="2"/>
        <v>N/A</v>
      </c>
      <c r="H23" s="74" t="str">
        <f t="shared" si="3"/>
        <v>N/A</v>
      </c>
    </row>
    <row r="24" spans="2:21" x14ac:dyDescent="0.25">
      <c r="B24" s="3">
        <v>6</v>
      </c>
      <c r="C24" s="34" t="s">
        <v>74</v>
      </c>
      <c r="D24" s="73">
        <f>SUMIFS($W$48:$W$312,$D$48:$D$312,Table!$C$3,$S$48:$S$312,C24)</f>
        <v>0</v>
      </c>
      <c r="E24" s="73">
        <f>SUMIFS($X$48:$X$312,$D$48:$D$312,Table!$C$3,$S$48:$S$312,C24)-SUM(SUMIFS($X$48:$X$312,$D$48:$D$312,Table!$C$3,$S$48:$S$312,C24,$AA$48:$AA$312,{"Ongoing","N/A",""}))</f>
        <v>0</v>
      </c>
      <c r="F24" s="73">
        <f>1/8*(SUMIFS($Z$48:$Z$312,$D$48:$D$312,Table!$C$3,$S$48:$S$312,C24)-SUM(SUMIFS($Z$48:$Z$312,$D$48:$D$312,Table!$C$3,$S$48:$S$312,C24,$AA$48:$AA$312,{"Ongoing","N/A",""})))</f>
        <v>0</v>
      </c>
      <c r="G24" s="73" t="str">
        <f t="shared" si="2"/>
        <v>N/A</v>
      </c>
      <c r="H24" s="74" t="str">
        <f t="shared" si="3"/>
        <v>N/A</v>
      </c>
    </row>
    <row r="25" spans="2:21" x14ac:dyDescent="0.25">
      <c r="B25" s="3">
        <v>7</v>
      </c>
      <c r="C25" s="34" t="s">
        <v>75</v>
      </c>
      <c r="D25" s="73">
        <f>SUMIFS($W$48:$W$312,$D$48:$D$312,Table!$C$3,$S$48:$S$312,C25)</f>
        <v>0</v>
      </c>
      <c r="E25" s="73">
        <f>SUMIFS($X$48:$X$312,$D$48:$D$312,Table!$C$3,$S$48:$S$312,C25)-SUM(SUMIFS($X$48:$X$312,$D$48:$D$312,Table!$C$3,$S$48:$S$312,C25,$AA$48:$AA$312,{"Ongoing","N/A",""}))</f>
        <v>0</v>
      </c>
      <c r="F25" s="73">
        <f>1/8*(SUMIFS($Z$48:$Z$312,$D$48:$D$312,Table!$C$3,$S$48:$S$312,C25)-SUM(SUMIFS($Z$48:$Z$312,$D$48:$D$312,Table!$C$3,$S$48:$S$312,C25,$AA$48:$AA$312,{"Ongoing","N/A",""})))</f>
        <v>0</v>
      </c>
      <c r="G25" s="73" t="str">
        <f t="shared" si="2"/>
        <v>N/A</v>
      </c>
      <c r="H25" s="74" t="str">
        <f t="shared" si="3"/>
        <v>N/A</v>
      </c>
    </row>
    <row r="26" spans="2:21" x14ac:dyDescent="0.25">
      <c r="B26" s="3">
        <v>8</v>
      </c>
      <c r="C26" s="34" t="s">
        <v>76</v>
      </c>
      <c r="D26" s="73">
        <f>SUMIFS($W$48:$W$312,$D$48:$D$312,Table!$C$3,$S$48:$S$312,C26)</f>
        <v>0</v>
      </c>
      <c r="E26" s="73">
        <f>SUMIFS($X$48:$X$312,$D$48:$D$312,Table!$C$3,$S$48:$S$312,C26)-SUM(SUMIFS($X$48:$X$312,$D$48:$D$312,Table!$C$3,$S$48:$S$312,C26,$AA$48:$AA$312,{"Ongoing","N/A",""}))</f>
        <v>0</v>
      </c>
      <c r="F26" s="73">
        <f>1/8*(SUMIFS($Z$48:$Z$312,$D$48:$D$312,Table!$C$3,$S$48:$S$312,C26)-SUM(SUMIFS($Z$48:$Z$312,$D$48:$D$312,Table!$C$3,$S$48:$S$312,C26,$AA$48:$AA$312,{"Ongoing","N/A",""})))</f>
        <v>0</v>
      </c>
      <c r="G26" s="73" t="str">
        <f t="shared" si="2"/>
        <v>N/A</v>
      </c>
      <c r="H26" s="74" t="str">
        <f t="shared" si="3"/>
        <v>N/A</v>
      </c>
    </row>
    <row r="27" spans="2:21" x14ac:dyDescent="0.25">
      <c r="B27" s="3">
        <v>9</v>
      </c>
      <c r="C27" s="34" t="s">
        <v>931</v>
      </c>
      <c r="D27" s="73">
        <f>SUMIFS($W$48:$W$312,$D$48:$D$312,Table!$C$3,$S$48:$S$312,C27)</f>
        <v>0</v>
      </c>
      <c r="E27" s="73">
        <f>SUMIFS($X$48:$X$312,$D$48:$D$312,Table!$C$3,$S$48:$S$312,C27)-SUM(SUMIFS($X$48:$X$312,$D$48:$D$312,Table!$C$3,$S$48:$S$312,C27,$AA$48:$AA$312,{"Ongoing","N/A",""}))</f>
        <v>0</v>
      </c>
      <c r="F27" s="73">
        <f>1/8*(SUMIFS($Z$48:$Z$312,$D$48:$D$312,Table!$C$3,$S$48:$S$312,C27)-SUM(SUMIFS($Z$48:$Z$312,$D$48:$D$312,Table!$C$3,$S$48:$S$312,C27,$AA$48:$AA$312,{"Ongoing","N/A",""})))</f>
        <v>0</v>
      </c>
      <c r="G27" s="73" t="str">
        <f t="shared" si="2"/>
        <v>N/A</v>
      </c>
      <c r="H27" s="74" t="str">
        <f t="shared" si="3"/>
        <v>N/A</v>
      </c>
    </row>
    <row r="28" spans="2:21" x14ac:dyDescent="0.25">
      <c r="B28" s="3">
        <v>10</v>
      </c>
      <c r="C28" s="34" t="s">
        <v>932</v>
      </c>
      <c r="D28" s="73">
        <f>SUMIFS($W$48:$W$312,$D$48:$D$312,Table!$C$3,$S$48:$S$312,C28)</f>
        <v>0</v>
      </c>
      <c r="E28" s="73">
        <f>SUMIFS($X$48:$X$312,$D$48:$D$312,Table!$C$3,$S$48:$S$312,C28)-SUM(SUMIFS($X$48:$X$312,$D$48:$D$312,Table!$C$3,$S$48:$S$312,C28,$AA$48:$AA$312,{"Ongoing","N/A",""}))</f>
        <v>0</v>
      </c>
      <c r="F28" s="73">
        <f>1/8*(SUMIFS($Z$48:$Z$312,$D$48:$D$312,Table!$C$3,$S$48:$S$312,C28)-SUM(SUMIFS($Z$48:$Z$312,$D$48:$D$312,Table!$C$3,$S$48:$S$312,C28,$AA$48:$AA$312,{"Ongoing","N/A",""})))</f>
        <v>0</v>
      </c>
      <c r="G28" s="73" t="str">
        <f t="shared" si="2"/>
        <v>N/A</v>
      </c>
      <c r="H28" s="74" t="str">
        <f t="shared" si="3"/>
        <v>N/A</v>
      </c>
    </row>
    <row r="29" spans="2:21" x14ac:dyDescent="0.25">
      <c r="B29" s="2" t="s">
        <v>284</v>
      </c>
      <c r="C29" s="33"/>
      <c r="D29" s="75">
        <f>ROUND(SUMIFS($W$48:$W$312,$D$48:$D$312,Table!$C$3),3)</f>
        <v>0</v>
      </c>
      <c r="E29" s="75">
        <f>ROUND(SUMIFS($W$48:$W$312,$D$48:$D$312,Table!$C$3)-SUM(SUMIFS($W$48:$W$312,$D$48:$D$312,Table!$C$3,$AA$48:$AA$312,{"Ongoing","N/A",""})),3)</f>
        <v>0</v>
      </c>
      <c r="F29" s="75">
        <f>1/8*(SUMIFS($Z$48:$Z$312,$D$48:$D$312,Table!$C$3)-SUM(SUMIFS($Z$48:$Z$312,$D$48:$D$312,Table!$C$3,$AA$48:$AA$312,{"Ongoing","N/A",""})))</f>
        <v>0</v>
      </c>
      <c r="G29" s="73" t="str">
        <f t="shared" si="2"/>
        <v>N/A</v>
      </c>
      <c r="H29" s="74" t="str">
        <f t="shared" si="3"/>
        <v>N/A</v>
      </c>
      <c r="U29" s="6"/>
    </row>
    <row r="32" spans="2:21" x14ac:dyDescent="0.25">
      <c r="B32" s="1" t="s">
        <v>285</v>
      </c>
    </row>
    <row r="33" spans="2:40" x14ac:dyDescent="0.25">
      <c r="B33" s="2" t="s">
        <v>0</v>
      </c>
      <c r="C33" s="2" t="s">
        <v>8</v>
      </c>
      <c r="D33" s="2" t="s">
        <v>464</v>
      </c>
      <c r="E33" s="2" t="s">
        <v>59</v>
      </c>
      <c r="F33" s="2" t="s">
        <v>226</v>
      </c>
      <c r="G33" s="2" t="s">
        <v>23</v>
      </c>
      <c r="H33" s="4" t="s">
        <v>25</v>
      </c>
    </row>
    <row r="34" spans="2:40" x14ac:dyDescent="0.25">
      <c r="B34" s="3">
        <v>1</v>
      </c>
      <c r="C34" s="34" t="s">
        <v>6</v>
      </c>
      <c r="D34" s="73">
        <f>SUM(D19*Table!$D$4/Table!$C$4,D4)</f>
        <v>2305</v>
      </c>
      <c r="E34" s="73">
        <f>SUM(E19*Table!$D$4/Table!$C$4,E4)</f>
        <v>2305</v>
      </c>
      <c r="F34" s="73">
        <f t="shared" ref="F34:F43" ca="1" si="4">$K$16</f>
        <v>3.875</v>
      </c>
      <c r="G34" s="73">
        <f t="shared" ref="G34:G44" ca="1" si="5">IF(ISERROR(E34/(F34)),"N/A",E34/F34)</f>
        <v>594.83870967741939</v>
      </c>
      <c r="H34" s="74">
        <f t="shared" ref="H34:H44" si="6">IF(ISERROR(E34/D34),"N/A",E34/D34)</f>
        <v>1</v>
      </c>
    </row>
    <row r="35" spans="2:40" x14ac:dyDescent="0.25">
      <c r="B35" s="3">
        <v>2</v>
      </c>
      <c r="C35" s="34" t="s">
        <v>70</v>
      </c>
      <c r="D35" s="73">
        <f>SUM(D20*Table!$D$4/Table!$C$4,D5)</f>
        <v>2990</v>
      </c>
      <c r="E35" s="73">
        <f>SUM(E20*Table!$D$4/Table!$C$4,E5)</f>
        <v>2990</v>
      </c>
      <c r="F35" s="73">
        <f t="shared" ca="1" si="4"/>
        <v>3.875</v>
      </c>
      <c r="G35" s="73">
        <f t="shared" ca="1" si="5"/>
        <v>771.61290322580646</v>
      </c>
      <c r="H35" s="74">
        <f t="shared" si="6"/>
        <v>1</v>
      </c>
    </row>
    <row r="36" spans="2:40" x14ac:dyDescent="0.25">
      <c r="B36" s="3">
        <v>3</v>
      </c>
      <c r="C36" s="34" t="s">
        <v>71</v>
      </c>
      <c r="D36" s="73">
        <f>SUM(D21*Table!$D$4/Table!$C$4,D6)</f>
        <v>2177</v>
      </c>
      <c r="E36" s="73">
        <f>SUM(E21*Table!$D$4/Table!$C$4,E6)</f>
        <v>2177</v>
      </c>
      <c r="F36" s="73">
        <f t="shared" ca="1" si="4"/>
        <v>3.875</v>
      </c>
      <c r="G36" s="73">
        <f t="shared" ca="1" si="5"/>
        <v>561.80645161290317</v>
      </c>
      <c r="H36" s="74">
        <f t="shared" si="6"/>
        <v>1</v>
      </c>
    </row>
    <row r="37" spans="2:40" x14ac:dyDescent="0.25">
      <c r="B37" s="3">
        <v>4</v>
      </c>
      <c r="C37" s="34" t="s">
        <v>72</v>
      </c>
      <c r="D37" s="73">
        <f>SUM(D22*Table!$D$4/Table!$C$4,D7)</f>
        <v>1753</v>
      </c>
      <c r="E37" s="73">
        <f>SUM(E22*Table!$D$4/Table!$C$4,E7)</f>
        <v>1753</v>
      </c>
      <c r="F37" s="73">
        <f t="shared" ca="1" si="4"/>
        <v>3.875</v>
      </c>
      <c r="G37" s="73">
        <f t="shared" ca="1" si="5"/>
        <v>452.38709677419354</v>
      </c>
      <c r="H37" s="74">
        <f t="shared" si="6"/>
        <v>1</v>
      </c>
    </row>
    <row r="38" spans="2:40" x14ac:dyDescent="0.25">
      <c r="B38" s="3">
        <v>5</v>
      </c>
      <c r="C38" s="34" t="s">
        <v>73</v>
      </c>
      <c r="D38" s="73">
        <f>SUM(D23*Table!$D$4/Table!$C$4,D8)</f>
        <v>0</v>
      </c>
      <c r="E38" s="73">
        <f>SUM(E23*Table!$D$4/Table!$C$4,E8)</f>
        <v>0</v>
      </c>
      <c r="F38" s="73">
        <f t="shared" ca="1" si="4"/>
        <v>3.875</v>
      </c>
      <c r="G38" s="73">
        <f t="shared" ca="1" si="5"/>
        <v>0</v>
      </c>
      <c r="H38" s="74" t="str">
        <f t="shared" si="6"/>
        <v>N/A</v>
      </c>
    </row>
    <row r="39" spans="2:40" x14ac:dyDescent="0.25">
      <c r="B39" s="3">
        <v>6</v>
      </c>
      <c r="C39" s="34" t="s">
        <v>74</v>
      </c>
      <c r="D39" s="73">
        <f>SUM(D24*Table!$D$4/Table!$C$4,D9)</f>
        <v>0</v>
      </c>
      <c r="E39" s="73">
        <f>SUM(E24*Table!$D$4/Table!$C$4,E9)</f>
        <v>0</v>
      </c>
      <c r="F39" s="73">
        <f t="shared" ca="1" si="4"/>
        <v>3.875</v>
      </c>
      <c r="G39" s="73">
        <f t="shared" ca="1" si="5"/>
        <v>0</v>
      </c>
      <c r="H39" s="74" t="str">
        <f t="shared" si="6"/>
        <v>N/A</v>
      </c>
    </row>
    <row r="40" spans="2:40" x14ac:dyDescent="0.25">
      <c r="B40" s="3">
        <v>7</v>
      </c>
      <c r="C40" s="34" t="s">
        <v>75</v>
      </c>
      <c r="D40" s="73">
        <f>SUM(D25*Table!$D$4/Table!$C$4,D10)</f>
        <v>0</v>
      </c>
      <c r="E40" s="73">
        <f>SUM(E25*Table!$D$4/Table!$C$4,E10)</f>
        <v>0</v>
      </c>
      <c r="F40" s="73">
        <f t="shared" ca="1" si="4"/>
        <v>3.875</v>
      </c>
      <c r="G40" s="73">
        <f t="shared" ca="1" si="5"/>
        <v>0</v>
      </c>
      <c r="H40" s="74" t="str">
        <f t="shared" si="6"/>
        <v>N/A</v>
      </c>
    </row>
    <row r="41" spans="2:40" x14ac:dyDescent="0.25">
      <c r="B41" s="3">
        <v>8</v>
      </c>
      <c r="C41" s="34" t="s">
        <v>76</v>
      </c>
      <c r="D41" s="73">
        <f>SUM(D26*Table!$D$4/Table!$C$4,D11)</f>
        <v>0</v>
      </c>
      <c r="E41" s="73">
        <f>SUM(E26*Table!$D$4/Table!$C$4,E11)</f>
        <v>0</v>
      </c>
      <c r="F41" s="73">
        <f t="shared" ca="1" si="4"/>
        <v>3.875</v>
      </c>
      <c r="G41" s="73">
        <f t="shared" ca="1" si="5"/>
        <v>0</v>
      </c>
      <c r="H41" s="74" t="str">
        <f t="shared" si="6"/>
        <v>N/A</v>
      </c>
    </row>
    <row r="42" spans="2:40" x14ac:dyDescent="0.25">
      <c r="B42" s="3">
        <v>9</v>
      </c>
      <c r="C42" s="34" t="s">
        <v>931</v>
      </c>
      <c r="D42" s="73">
        <f>SUM(D27*Table!$D$4/Table!$C$4,D12)</f>
        <v>1076</v>
      </c>
      <c r="E42" s="73">
        <f>SUM(E27*Table!$D$4/Table!$C$4,E12)</f>
        <v>1076</v>
      </c>
      <c r="F42" s="73">
        <f t="shared" ca="1" si="4"/>
        <v>3.875</v>
      </c>
      <c r="G42" s="73">
        <f t="shared" ca="1" si="5"/>
        <v>277.67741935483872</v>
      </c>
      <c r="H42" s="74">
        <f t="shared" si="6"/>
        <v>1</v>
      </c>
    </row>
    <row r="43" spans="2:40" x14ac:dyDescent="0.25">
      <c r="B43" s="3">
        <v>10</v>
      </c>
      <c r="C43" s="34" t="s">
        <v>932</v>
      </c>
      <c r="D43" s="73">
        <f>SUM(D28*Table!$D$4/Table!$C$4,D13)</f>
        <v>786</v>
      </c>
      <c r="E43" s="73">
        <f>SUM(E28*Table!$D$4/Table!$C$4,E13)</f>
        <v>786</v>
      </c>
      <c r="F43" s="73">
        <f t="shared" ca="1" si="4"/>
        <v>3.875</v>
      </c>
      <c r="G43" s="73">
        <f t="shared" ca="1" si="5"/>
        <v>202.83870967741936</v>
      </c>
      <c r="H43" s="74">
        <f t="shared" si="6"/>
        <v>1</v>
      </c>
    </row>
    <row r="44" spans="2:40" x14ac:dyDescent="0.25">
      <c r="B44" s="2" t="s">
        <v>284</v>
      </c>
      <c r="C44" s="33"/>
      <c r="D44" s="73">
        <f>SUM(D34:D43)</f>
        <v>11087</v>
      </c>
      <c r="E44" s="73">
        <f>SUM(E34:E43)</f>
        <v>11087</v>
      </c>
      <c r="F44" s="73">
        <f ca="1">$K$16*5</f>
        <v>19.375</v>
      </c>
      <c r="G44" s="73">
        <f t="shared" ca="1" si="5"/>
        <v>572.23225806451615</v>
      </c>
      <c r="H44" s="74">
        <f t="shared" si="6"/>
        <v>1</v>
      </c>
    </row>
    <row r="47" spans="2:40" x14ac:dyDescent="0.25">
      <c r="B47" s="2" t="s">
        <v>0</v>
      </c>
      <c r="C47" s="2" t="s">
        <v>69</v>
      </c>
      <c r="D47" s="2" t="s">
        <v>1</v>
      </c>
      <c r="E47" s="2" t="s">
        <v>62</v>
      </c>
      <c r="F47" s="2" t="s">
        <v>63</v>
      </c>
      <c r="G47" s="2" t="s">
        <v>948</v>
      </c>
      <c r="H47" s="2" t="s">
        <v>288</v>
      </c>
      <c r="I47" s="2" t="s">
        <v>64</v>
      </c>
      <c r="J47" s="2" t="s">
        <v>287</v>
      </c>
      <c r="K47" s="2" t="s">
        <v>949</v>
      </c>
      <c r="L47" s="2" t="s">
        <v>78</v>
      </c>
      <c r="M47" s="2" t="s">
        <v>975</v>
      </c>
      <c r="N47" s="2" t="s">
        <v>77</v>
      </c>
      <c r="O47" s="2" t="s">
        <v>68</v>
      </c>
      <c r="P47" s="2" t="s">
        <v>86</v>
      </c>
      <c r="Q47" s="16" t="s">
        <v>61</v>
      </c>
      <c r="R47" s="4" t="s">
        <v>7</v>
      </c>
      <c r="S47" s="4" t="s">
        <v>8</v>
      </c>
      <c r="T47" s="4" t="s">
        <v>84</v>
      </c>
      <c r="U47" s="4" t="s">
        <v>98</v>
      </c>
      <c r="V47" s="4" t="s">
        <v>81</v>
      </c>
      <c r="W47" s="4" t="s">
        <v>82</v>
      </c>
      <c r="X47" s="4" t="s">
        <v>59</v>
      </c>
      <c r="Y47" s="4" t="s">
        <v>85</v>
      </c>
      <c r="Z47" s="4" t="s">
        <v>60</v>
      </c>
      <c r="AA47" s="4" t="s">
        <v>18</v>
      </c>
      <c r="AB47" s="4" t="s">
        <v>1263</v>
      </c>
      <c r="AC47" s="4" t="s">
        <v>65</v>
      </c>
      <c r="AD47" s="4" t="s">
        <v>66</v>
      </c>
      <c r="AE47" s="2" t="s">
        <v>12</v>
      </c>
      <c r="AF47" s="2" t="s">
        <v>13</v>
      </c>
      <c r="AG47" s="2" t="s">
        <v>83</v>
      </c>
      <c r="AH47" s="2" t="s">
        <v>14</v>
      </c>
      <c r="AI47" s="2" t="s">
        <v>15</v>
      </c>
      <c r="AJ47" s="4" t="s">
        <v>16</v>
      </c>
      <c r="AK47" s="4" t="s">
        <v>950</v>
      </c>
      <c r="AL47" s="4" t="s">
        <v>742</v>
      </c>
      <c r="AM47" s="4" t="s">
        <v>741</v>
      </c>
      <c r="AN47" s="4" t="s">
        <v>87</v>
      </c>
    </row>
    <row r="48" spans="2:40" x14ac:dyDescent="0.25">
      <c r="B48" s="92">
        <v>1</v>
      </c>
      <c r="C48" s="23">
        <v>20200414</v>
      </c>
      <c r="D48" s="22" t="s">
        <v>3</v>
      </c>
      <c r="E48" s="22" t="s">
        <v>936</v>
      </c>
      <c r="F48" s="24" t="s">
        <v>937</v>
      </c>
      <c r="G48" s="24">
        <v>1415974</v>
      </c>
      <c r="H48" s="134" t="s">
        <v>67</v>
      </c>
      <c r="I48" s="22" t="s">
        <v>951</v>
      </c>
      <c r="J48" s="134" t="s">
        <v>67</v>
      </c>
      <c r="K48" s="22" t="s">
        <v>972</v>
      </c>
      <c r="L48" s="22">
        <v>80433</v>
      </c>
      <c r="M48" s="22" t="s">
        <v>976</v>
      </c>
      <c r="N48" s="22" t="s">
        <v>971</v>
      </c>
      <c r="O48" s="24" t="s">
        <v>67</v>
      </c>
      <c r="P48" s="24" t="s">
        <v>1089</v>
      </c>
      <c r="Q48" s="25"/>
      <c r="R48" s="134" t="s">
        <v>67</v>
      </c>
      <c r="S48" s="22" t="s">
        <v>6</v>
      </c>
      <c r="T48" s="22"/>
      <c r="U48" s="22"/>
      <c r="V48" s="22">
        <v>62</v>
      </c>
      <c r="W48" s="22">
        <f>V48</f>
        <v>62</v>
      </c>
      <c r="X48" s="22">
        <f>W48</f>
        <v>62</v>
      </c>
      <c r="Y48" s="22">
        <f>ROUNDDOWN(W48/HLOOKUP(D48,Table!$C$3:$D$4,2,0)*8,2)</f>
        <v>1.1000000000000001</v>
      </c>
      <c r="Z48" s="22">
        <v>2</v>
      </c>
      <c r="AA48" s="22" t="s">
        <v>22</v>
      </c>
      <c r="AB48" s="22" t="s">
        <v>1265</v>
      </c>
      <c r="AC48" s="26">
        <v>43935</v>
      </c>
      <c r="AD48" s="26">
        <v>43938</v>
      </c>
      <c r="AE48" s="26">
        <v>43935</v>
      </c>
      <c r="AF48" s="26">
        <v>43935</v>
      </c>
      <c r="AG48" s="28" t="s">
        <v>201</v>
      </c>
      <c r="AH48" s="52">
        <v>1</v>
      </c>
      <c r="AI48" s="52">
        <v>1</v>
      </c>
      <c r="AJ48" s="52">
        <v>1</v>
      </c>
      <c r="AK48" s="28" t="s">
        <v>1077</v>
      </c>
      <c r="AL48" s="22"/>
      <c r="AM48" s="22"/>
      <c r="AN48" s="22"/>
    </row>
    <row r="49" spans="2:40" x14ac:dyDescent="0.25">
      <c r="B49" s="92">
        <v>2</v>
      </c>
      <c r="C49" s="23">
        <v>20200414</v>
      </c>
      <c r="D49" s="22" t="s">
        <v>3</v>
      </c>
      <c r="E49" s="22" t="s">
        <v>936</v>
      </c>
      <c r="F49" s="24" t="s">
        <v>938</v>
      </c>
      <c r="G49" s="24">
        <v>1415974</v>
      </c>
      <c r="H49" s="134" t="s">
        <v>67</v>
      </c>
      <c r="I49" s="22" t="s">
        <v>952</v>
      </c>
      <c r="J49" s="134" t="s">
        <v>67</v>
      </c>
      <c r="K49" s="22" t="s">
        <v>972</v>
      </c>
      <c r="L49" s="22">
        <v>80433</v>
      </c>
      <c r="M49" s="22" t="s">
        <v>976</v>
      </c>
      <c r="N49" s="22" t="s">
        <v>971</v>
      </c>
      <c r="O49" s="24" t="s">
        <v>67</v>
      </c>
      <c r="P49" s="24" t="s">
        <v>1089</v>
      </c>
      <c r="Q49" s="25"/>
      <c r="R49" s="134" t="s">
        <v>67</v>
      </c>
      <c r="S49" s="22" t="s">
        <v>6</v>
      </c>
      <c r="T49" s="22"/>
      <c r="U49" s="22"/>
      <c r="V49" s="22">
        <v>22</v>
      </c>
      <c r="W49" s="22">
        <f t="shared" ref="W49:W112" si="7">V49</f>
        <v>22</v>
      </c>
      <c r="X49" s="22">
        <f t="shared" ref="X49:X57" si="8">W49</f>
        <v>22</v>
      </c>
      <c r="Y49" s="22">
        <f>ROUNDDOWN(W49/HLOOKUP(D49,Table!$C$3:$D$4,2,0)*8,2)</f>
        <v>0.39</v>
      </c>
      <c r="Z49" s="22">
        <v>0.5</v>
      </c>
      <c r="AA49" s="22" t="s">
        <v>22</v>
      </c>
      <c r="AB49" s="22" t="s">
        <v>1265</v>
      </c>
      <c r="AC49" s="26">
        <v>43935</v>
      </c>
      <c r="AD49" s="26">
        <v>43938</v>
      </c>
      <c r="AE49" s="26">
        <v>43936</v>
      </c>
      <c r="AF49" s="26">
        <v>43936</v>
      </c>
      <c r="AG49" s="28" t="s">
        <v>201</v>
      </c>
      <c r="AH49" s="52">
        <v>1</v>
      </c>
      <c r="AI49" s="52">
        <v>1</v>
      </c>
      <c r="AJ49" s="52">
        <v>1</v>
      </c>
      <c r="AK49" s="28" t="s">
        <v>1077</v>
      </c>
      <c r="AL49" s="22"/>
      <c r="AM49" s="22"/>
      <c r="AN49" s="22"/>
    </row>
    <row r="50" spans="2:40" x14ac:dyDescent="0.25">
      <c r="B50" s="92">
        <v>3</v>
      </c>
      <c r="C50" s="23">
        <v>20200414</v>
      </c>
      <c r="D50" s="22" t="s">
        <v>3</v>
      </c>
      <c r="E50" s="22" t="s">
        <v>936</v>
      </c>
      <c r="F50" s="24" t="s">
        <v>939</v>
      </c>
      <c r="G50" s="24">
        <v>1415974</v>
      </c>
      <c r="H50" s="134" t="s">
        <v>67</v>
      </c>
      <c r="I50" s="22" t="s">
        <v>953</v>
      </c>
      <c r="J50" s="134" t="s">
        <v>67</v>
      </c>
      <c r="K50" s="22" t="s">
        <v>972</v>
      </c>
      <c r="L50" s="22">
        <v>80433</v>
      </c>
      <c r="M50" s="22" t="s">
        <v>976</v>
      </c>
      <c r="N50" s="22" t="s">
        <v>971</v>
      </c>
      <c r="O50" s="24" t="s">
        <v>67</v>
      </c>
      <c r="P50" s="24" t="s">
        <v>1089</v>
      </c>
      <c r="Q50" s="25"/>
      <c r="R50" s="134" t="s">
        <v>67</v>
      </c>
      <c r="S50" s="22" t="s">
        <v>6</v>
      </c>
      <c r="T50" s="22"/>
      <c r="U50" s="22"/>
      <c r="V50" s="22">
        <v>26</v>
      </c>
      <c r="W50" s="22">
        <f t="shared" si="7"/>
        <v>26</v>
      </c>
      <c r="X50" s="22">
        <f t="shared" si="8"/>
        <v>26</v>
      </c>
      <c r="Y50" s="22">
        <f>ROUNDDOWN(W50/HLOOKUP(D50,Table!$C$3:$D$4,2,0)*8,2)</f>
        <v>0.46</v>
      </c>
      <c r="Z50" s="22">
        <v>0.5</v>
      </c>
      <c r="AA50" s="22" t="s">
        <v>22</v>
      </c>
      <c r="AB50" s="22" t="s">
        <v>1265</v>
      </c>
      <c r="AC50" s="26">
        <v>43935</v>
      </c>
      <c r="AD50" s="26">
        <v>43938</v>
      </c>
      <c r="AE50" s="26">
        <v>43936</v>
      </c>
      <c r="AF50" s="26">
        <v>43936</v>
      </c>
      <c r="AG50" s="28" t="s">
        <v>201</v>
      </c>
      <c r="AH50" s="52">
        <v>1</v>
      </c>
      <c r="AI50" s="52">
        <v>1</v>
      </c>
      <c r="AJ50" s="52">
        <v>1</v>
      </c>
      <c r="AK50" s="28" t="s">
        <v>1077</v>
      </c>
      <c r="AL50" s="22"/>
      <c r="AM50" s="22"/>
      <c r="AN50" s="22"/>
    </row>
    <row r="51" spans="2:40" x14ac:dyDescent="0.25">
      <c r="B51" s="92">
        <v>4</v>
      </c>
      <c r="C51" s="23">
        <v>20200414</v>
      </c>
      <c r="D51" s="22" t="s">
        <v>3</v>
      </c>
      <c r="E51" s="22" t="s">
        <v>936</v>
      </c>
      <c r="F51" s="24" t="s">
        <v>940</v>
      </c>
      <c r="G51" s="24">
        <v>1415974</v>
      </c>
      <c r="H51" s="134" t="s">
        <v>67</v>
      </c>
      <c r="I51" s="22" t="s">
        <v>954</v>
      </c>
      <c r="J51" s="134" t="s">
        <v>67</v>
      </c>
      <c r="K51" s="22" t="s">
        <v>972</v>
      </c>
      <c r="L51" s="22">
        <v>80433</v>
      </c>
      <c r="M51" s="22" t="s">
        <v>976</v>
      </c>
      <c r="N51" s="22" t="s">
        <v>971</v>
      </c>
      <c r="O51" s="24" t="s">
        <v>67</v>
      </c>
      <c r="P51" s="24" t="s">
        <v>1089</v>
      </c>
      <c r="Q51" s="25"/>
      <c r="R51" s="134" t="s">
        <v>67</v>
      </c>
      <c r="S51" s="22" t="s">
        <v>6</v>
      </c>
      <c r="T51" s="22"/>
      <c r="U51" s="22"/>
      <c r="V51" s="22">
        <v>35</v>
      </c>
      <c r="W51" s="22">
        <f t="shared" si="7"/>
        <v>35</v>
      </c>
      <c r="X51" s="22">
        <f t="shared" si="8"/>
        <v>35</v>
      </c>
      <c r="Y51" s="22">
        <f>ROUNDDOWN(W51/HLOOKUP(D51,Table!$C$3:$D$4,2,0)*8,2)</f>
        <v>0.62</v>
      </c>
      <c r="Z51" s="22">
        <v>1</v>
      </c>
      <c r="AA51" s="22" t="s">
        <v>22</v>
      </c>
      <c r="AB51" s="22" t="s">
        <v>1265</v>
      </c>
      <c r="AC51" s="26">
        <v>43935</v>
      </c>
      <c r="AD51" s="26">
        <v>43938</v>
      </c>
      <c r="AE51" s="26">
        <v>43936</v>
      </c>
      <c r="AF51" s="26">
        <v>43936</v>
      </c>
      <c r="AG51" s="28" t="s">
        <v>201</v>
      </c>
      <c r="AH51" s="52">
        <v>1</v>
      </c>
      <c r="AI51" s="52">
        <v>1</v>
      </c>
      <c r="AJ51" s="52">
        <v>1</v>
      </c>
      <c r="AK51" s="28" t="s">
        <v>1077</v>
      </c>
      <c r="AL51" s="22"/>
      <c r="AM51" s="22"/>
      <c r="AN51" s="22"/>
    </row>
    <row r="52" spans="2:40" x14ac:dyDescent="0.25">
      <c r="B52" s="92">
        <v>5</v>
      </c>
      <c r="C52" s="23">
        <v>20200414</v>
      </c>
      <c r="D52" s="22" t="s">
        <v>3</v>
      </c>
      <c r="E52" s="22" t="s">
        <v>936</v>
      </c>
      <c r="F52" s="24" t="s">
        <v>941</v>
      </c>
      <c r="G52" s="24">
        <v>1415974</v>
      </c>
      <c r="H52" s="134" t="s">
        <v>67</v>
      </c>
      <c r="I52" s="22" t="s">
        <v>955</v>
      </c>
      <c r="J52" s="134" t="s">
        <v>67</v>
      </c>
      <c r="K52" s="22" t="s">
        <v>972</v>
      </c>
      <c r="L52" s="22">
        <v>80433</v>
      </c>
      <c r="M52" s="22" t="s">
        <v>976</v>
      </c>
      <c r="N52" s="22" t="s">
        <v>971</v>
      </c>
      <c r="O52" s="24" t="s">
        <v>67</v>
      </c>
      <c r="P52" s="24" t="s">
        <v>1089</v>
      </c>
      <c r="Q52" s="25"/>
      <c r="R52" s="134" t="s">
        <v>67</v>
      </c>
      <c r="S52" s="22" t="s">
        <v>6</v>
      </c>
      <c r="T52" s="22"/>
      <c r="U52" s="22"/>
      <c r="V52" s="22">
        <v>101</v>
      </c>
      <c r="W52" s="22">
        <f t="shared" si="7"/>
        <v>101</v>
      </c>
      <c r="X52" s="22">
        <f t="shared" si="8"/>
        <v>101</v>
      </c>
      <c r="Y52" s="22">
        <f>ROUNDDOWN(W52/HLOOKUP(D52,Table!$C$3:$D$4,2,0)*8,2)</f>
        <v>1.79</v>
      </c>
      <c r="Z52" s="22">
        <v>1</v>
      </c>
      <c r="AA52" s="22" t="s">
        <v>22</v>
      </c>
      <c r="AB52" s="22" t="s">
        <v>1265</v>
      </c>
      <c r="AC52" s="26">
        <v>43935</v>
      </c>
      <c r="AD52" s="26">
        <v>43938</v>
      </c>
      <c r="AE52" s="26">
        <v>43936</v>
      </c>
      <c r="AF52" s="26">
        <v>43936</v>
      </c>
      <c r="AG52" s="28" t="s">
        <v>201</v>
      </c>
      <c r="AH52" s="52">
        <v>1</v>
      </c>
      <c r="AI52" s="52">
        <v>1</v>
      </c>
      <c r="AJ52" s="52">
        <v>1</v>
      </c>
      <c r="AK52" s="28" t="s">
        <v>1077</v>
      </c>
      <c r="AL52" s="22"/>
      <c r="AM52" s="22"/>
      <c r="AN52" s="22"/>
    </row>
    <row r="53" spans="2:40" x14ac:dyDescent="0.25">
      <c r="B53" s="92">
        <v>6</v>
      </c>
      <c r="C53" s="23">
        <v>20200414</v>
      </c>
      <c r="D53" s="22" t="s">
        <v>3</v>
      </c>
      <c r="E53" s="22" t="s">
        <v>936</v>
      </c>
      <c r="F53" s="24" t="s">
        <v>940</v>
      </c>
      <c r="G53" s="24">
        <v>1415974</v>
      </c>
      <c r="H53" s="134" t="s">
        <v>67</v>
      </c>
      <c r="I53" s="22" t="s">
        <v>956</v>
      </c>
      <c r="J53" s="134" t="s">
        <v>67</v>
      </c>
      <c r="K53" s="22" t="s">
        <v>972</v>
      </c>
      <c r="L53" s="22">
        <v>80433</v>
      </c>
      <c r="M53" s="22" t="s">
        <v>976</v>
      </c>
      <c r="N53" s="22" t="s">
        <v>971</v>
      </c>
      <c r="O53" s="24" t="s">
        <v>67</v>
      </c>
      <c r="P53" s="24" t="s">
        <v>1089</v>
      </c>
      <c r="Q53" s="25"/>
      <c r="R53" s="134" t="s">
        <v>67</v>
      </c>
      <c r="S53" s="22" t="s">
        <v>6</v>
      </c>
      <c r="T53" s="22"/>
      <c r="U53" s="22"/>
      <c r="V53" s="22">
        <v>67</v>
      </c>
      <c r="W53" s="22">
        <f t="shared" si="7"/>
        <v>67</v>
      </c>
      <c r="X53" s="22">
        <f t="shared" si="8"/>
        <v>67</v>
      </c>
      <c r="Y53" s="22">
        <f>ROUNDDOWN(W53/HLOOKUP(D53,Table!$C$3:$D$4,2,0)*8,2)</f>
        <v>1.19</v>
      </c>
      <c r="Z53" s="22">
        <v>1</v>
      </c>
      <c r="AA53" s="22" t="s">
        <v>22</v>
      </c>
      <c r="AB53" s="22" t="s">
        <v>1265</v>
      </c>
      <c r="AC53" s="26">
        <v>43935</v>
      </c>
      <c r="AD53" s="26">
        <v>43938</v>
      </c>
      <c r="AE53" s="26">
        <v>43936</v>
      </c>
      <c r="AF53" s="26">
        <v>43936</v>
      </c>
      <c r="AG53" s="28" t="s">
        <v>201</v>
      </c>
      <c r="AH53" s="52">
        <v>1</v>
      </c>
      <c r="AI53" s="52">
        <v>1</v>
      </c>
      <c r="AJ53" s="52">
        <v>1</v>
      </c>
      <c r="AK53" s="28" t="s">
        <v>1077</v>
      </c>
      <c r="AL53" s="22"/>
      <c r="AM53" s="22"/>
      <c r="AN53" s="22"/>
    </row>
    <row r="54" spans="2:40" x14ac:dyDescent="0.25">
      <c r="B54" s="92">
        <v>7</v>
      </c>
      <c r="C54" s="23">
        <v>20200414</v>
      </c>
      <c r="D54" s="22" t="s">
        <v>3</v>
      </c>
      <c r="E54" s="22" t="s">
        <v>936</v>
      </c>
      <c r="F54" s="24" t="s">
        <v>942</v>
      </c>
      <c r="G54" s="24">
        <v>1415974</v>
      </c>
      <c r="H54" s="134" t="s">
        <v>67</v>
      </c>
      <c r="I54" s="22" t="s">
        <v>957</v>
      </c>
      <c r="J54" s="134" t="s">
        <v>67</v>
      </c>
      <c r="K54" s="22" t="s">
        <v>972</v>
      </c>
      <c r="L54" s="22">
        <v>80433</v>
      </c>
      <c r="M54" s="22" t="s">
        <v>976</v>
      </c>
      <c r="N54" s="22" t="s">
        <v>971</v>
      </c>
      <c r="O54" s="24" t="s">
        <v>67</v>
      </c>
      <c r="P54" s="24" t="s">
        <v>1089</v>
      </c>
      <c r="Q54" s="25"/>
      <c r="R54" s="134" t="s">
        <v>67</v>
      </c>
      <c r="S54" s="22" t="s">
        <v>6</v>
      </c>
      <c r="T54" s="22"/>
      <c r="U54" s="22"/>
      <c r="V54" s="22">
        <v>137</v>
      </c>
      <c r="W54" s="22">
        <f t="shared" si="7"/>
        <v>137</v>
      </c>
      <c r="X54" s="22">
        <f t="shared" si="8"/>
        <v>137</v>
      </c>
      <c r="Y54" s="22">
        <f>ROUNDDOWN(W54/HLOOKUP(D54,Table!$C$3:$D$4,2,0)*8,2)</f>
        <v>2.4300000000000002</v>
      </c>
      <c r="Z54" s="22">
        <v>1</v>
      </c>
      <c r="AA54" s="22" t="s">
        <v>22</v>
      </c>
      <c r="AB54" s="22" t="s">
        <v>1265</v>
      </c>
      <c r="AC54" s="26">
        <v>43935</v>
      </c>
      <c r="AD54" s="26">
        <v>43938</v>
      </c>
      <c r="AE54" s="26">
        <v>43936</v>
      </c>
      <c r="AF54" s="26">
        <v>43936</v>
      </c>
      <c r="AG54" s="28" t="s">
        <v>201</v>
      </c>
      <c r="AH54" s="52">
        <v>1</v>
      </c>
      <c r="AI54" s="52">
        <v>1</v>
      </c>
      <c r="AJ54" s="52">
        <v>1</v>
      </c>
      <c r="AK54" s="28" t="s">
        <v>1077</v>
      </c>
      <c r="AL54" s="22"/>
      <c r="AM54" s="22"/>
      <c r="AN54" s="22"/>
    </row>
    <row r="55" spans="2:40" x14ac:dyDescent="0.25">
      <c r="B55" s="92">
        <v>8</v>
      </c>
      <c r="C55" s="23">
        <v>20200414</v>
      </c>
      <c r="D55" s="22" t="s">
        <v>3</v>
      </c>
      <c r="E55" s="22" t="s">
        <v>936</v>
      </c>
      <c r="F55" s="24" t="s">
        <v>941</v>
      </c>
      <c r="G55" s="24">
        <v>1415974</v>
      </c>
      <c r="H55" s="134" t="s">
        <v>67</v>
      </c>
      <c r="I55" s="22" t="s">
        <v>958</v>
      </c>
      <c r="J55" s="134" t="s">
        <v>67</v>
      </c>
      <c r="K55" s="22" t="s">
        <v>972</v>
      </c>
      <c r="L55" s="22">
        <v>80433</v>
      </c>
      <c r="M55" s="22" t="s">
        <v>976</v>
      </c>
      <c r="N55" s="22" t="s">
        <v>971</v>
      </c>
      <c r="O55" s="24" t="s">
        <v>67</v>
      </c>
      <c r="P55" s="24" t="s">
        <v>1089</v>
      </c>
      <c r="Q55" s="25"/>
      <c r="R55" s="134" t="s">
        <v>67</v>
      </c>
      <c r="S55" s="22" t="s">
        <v>6</v>
      </c>
      <c r="T55" s="22"/>
      <c r="U55" s="22"/>
      <c r="V55" s="22">
        <v>160</v>
      </c>
      <c r="W55" s="22">
        <f t="shared" si="7"/>
        <v>160</v>
      </c>
      <c r="X55" s="22">
        <f t="shared" si="8"/>
        <v>160</v>
      </c>
      <c r="Y55" s="22">
        <f>ROUNDDOWN(W55/HLOOKUP(D55,Table!$C$3:$D$4,2,0)*8,2)</f>
        <v>2.84</v>
      </c>
      <c r="Z55" s="22">
        <v>1</v>
      </c>
      <c r="AA55" s="22" t="s">
        <v>22</v>
      </c>
      <c r="AB55" s="22" t="s">
        <v>1265</v>
      </c>
      <c r="AC55" s="26">
        <v>43935</v>
      </c>
      <c r="AD55" s="26">
        <v>43938</v>
      </c>
      <c r="AE55" s="26">
        <v>43936</v>
      </c>
      <c r="AF55" s="26">
        <v>43936</v>
      </c>
      <c r="AG55" s="28" t="s">
        <v>201</v>
      </c>
      <c r="AH55" s="52">
        <v>1</v>
      </c>
      <c r="AI55" s="52">
        <v>1</v>
      </c>
      <c r="AJ55" s="52">
        <v>1</v>
      </c>
      <c r="AK55" s="28" t="s">
        <v>1077</v>
      </c>
      <c r="AL55" s="22"/>
      <c r="AM55" s="22"/>
      <c r="AN55" s="22"/>
    </row>
    <row r="56" spans="2:40" x14ac:dyDescent="0.25">
      <c r="B56" s="92">
        <v>9</v>
      </c>
      <c r="C56" s="23">
        <v>20200414</v>
      </c>
      <c r="D56" s="22" t="s">
        <v>3</v>
      </c>
      <c r="E56" s="22" t="s">
        <v>936</v>
      </c>
      <c r="F56" s="24" t="s">
        <v>940</v>
      </c>
      <c r="G56" s="24">
        <v>1415974</v>
      </c>
      <c r="H56" s="134" t="s">
        <v>67</v>
      </c>
      <c r="I56" s="22" t="s">
        <v>959</v>
      </c>
      <c r="J56" s="134" t="s">
        <v>67</v>
      </c>
      <c r="K56" s="22" t="s">
        <v>972</v>
      </c>
      <c r="L56" s="22">
        <v>80433</v>
      </c>
      <c r="M56" s="22" t="s">
        <v>976</v>
      </c>
      <c r="N56" s="22" t="s">
        <v>971</v>
      </c>
      <c r="O56" s="24" t="s">
        <v>67</v>
      </c>
      <c r="P56" s="24" t="s">
        <v>1089</v>
      </c>
      <c r="Q56" s="25"/>
      <c r="R56" s="134" t="s">
        <v>67</v>
      </c>
      <c r="S56" s="22" t="s">
        <v>6</v>
      </c>
      <c r="T56" s="22"/>
      <c r="U56" s="22"/>
      <c r="V56" s="22">
        <v>138</v>
      </c>
      <c r="W56" s="22">
        <f t="shared" si="7"/>
        <v>138</v>
      </c>
      <c r="X56" s="22">
        <f t="shared" si="8"/>
        <v>138</v>
      </c>
      <c r="Y56" s="22">
        <f>ROUNDDOWN(W56/HLOOKUP(D56,Table!$C$3:$D$4,2,0)*8,2)</f>
        <v>2.4500000000000002</v>
      </c>
      <c r="Z56" s="22">
        <v>1</v>
      </c>
      <c r="AA56" s="22" t="s">
        <v>22</v>
      </c>
      <c r="AB56" s="22" t="s">
        <v>1265</v>
      </c>
      <c r="AC56" s="26">
        <v>43935</v>
      </c>
      <c r="AD56" s="26">
        <v>43938</v>
      </c>
      <c r="AE56" s="26">
        <v>43936</v>
      </c>
      <c r="AF56" s="26">
        <v>43936</v>
      </c>
      <c r="AG56" s="28" t="s">
        <v>201</v>
      </c>
      <c r="AH56" s="52">
        <v>1</v>
      </c>
      <c r="AI56" s="52">
        <v>1</v>
      </c>
      <c r="AJ56" s="52">
        <v>1</v>
      </c>
      <c r="AK56" s="28" t="s">
        <v>1077</v>
      </c>
      <c r="AL56" s="22"/>
      <c r="AM56" s="22"/>
      <c r="AN56" s="22"/>
    </row>
    <row r="57" spans="2:40" x14ac:dyDescent="0.25">
      <c r="B57" s="92">
        <v>10</v>
      </c>
      <c r="C57" s="23">
        <v>20200414</v>
      </c>
      <c r="D57" s="22" t="s">
        <v>3</v>
      </c>
      <c r="E57" s="22" t="s">
        <v>936</v>
      </c>
      <c r="F57" s="24" t="s">
        <v>941</v>
      </c>
      <c r="G57" s="24">
        <v>1415974</v>
      </c>
      <c r="H57" s="134" t="s">
        <v>67</v>
      </c>
      <c r="I57" s="22" t="s">
        <v>960</v>
      </c>
      <c r="J57" s="134" t="s">
        <v>67</v>
      </c>
      <c r="K57" s="22" t="s">
        <v>972</v>
      </c>
      <c r="L57" s="22">
        <v>80433</v>
      </c>
      <c r="M57" s="22" t="s">
        <v>976</v>
      </c>
      <c r="N57" s="22" t="s">
        <v>971</v>
      </c>
      <c r="O57" s="24" t="s">
        <v>67</v>
      </c>
      <c r="P57" s="24" t="s">
        <v>1089</v>
      </c>
      <c r="Q57" s="25"/>
      <c r="R57" s="134" t="s">
        <v>67</v>
      </c>
      <c r="S57" s="22" t="s">
        <v>6</v>
      </c>
      <c r="T57" s="22"/>
      <c r="U57" s="22"/>
      <c r="V57" s="22">
        <v>188</v>
      </c>
      <c r="W57" s="22">
        <f t="shared" si="7"/>
        <v>188</v>
      </c>
      <c r="X57" s="22">
        <f t="shared" si="8"/>
        <v>188</v>
      </c>
      <c r="Y57" s="22">
        <f>ROUNDDOWN(W57/HLOOKUP(D57,Table!$C$3:$D$4,2,0)*8,2)</f>
        <v>3.34</v>
      </c>
      <c r="Z57" s="22">
        <v>1</v>
      </c>
      <c r="AA57" s="22" t="s">
        <v>22</v>
      </c>
      <c r="AB57" s="22" t="s">
        <v>1265</v>
      </c>
      <c r="AC57" s="26">
        <v>43935</v>
      </c>
      <c r="AD57" s="26">
        <v>43938</v>
      </c>
      <c r="AE57" s="26">
        <v>43936</v>
      </c>
      <c r="AF57" s="26">
        <v>43936</v>
      </c>
      <c r="AG57" s="28" t="s">
        <v>201</v>
      </c>
      <c r="AH57" s="52">
        <v>1</v>
      </c>
      <c r="AI57" s="52">
        <v>1</v>
      </c>
      <c r="AJ57" s="52">
        <v>1</v>
      </c>
      <c r="AK57" s="28" t="s">
        <v>1077</v>
      </c>
      <c r="AL57" s="22"/>
      <c r="AM57" s="22"/>
      <c r="AN57" s="22"/>
    </row>
    <row r="58" spans="2:40" x14ac:dyDescent="0.25">
      <c r="B58" s="92">
        <v>11</v>
      </c>
      <c r="C58" s="23">
        <v>20200414</v>
      </c>
      <c r="D58" s="22" t="s">
        <v>3</v>
      </c>
      <c r="E58" s="22" t="s">
        <v>936</v>
      </c>
      <c r="F58" s="24" t="s">
        <v>941</v>
      </c>
      <c r="G58" s="24">
        <v>1415974</v>
      </c>
      <c r="H58" s="134" t="s">
        <v>67</v>
      </c>
      <c r="I58" s="22" t="s">
        <v>961</v>
      </c>
      <c r="J58" s="134" t="s">
        <v>67</v>
      </c>
      <c r="K58" s="22" t="s">
        <v>972</v>
      </c>
      <c r="L58" s="22">
        <v>80433</v>
      </c>
      <c r="M58" s="22" t="s">
        <v>976</v>
      </c>
      <c r="N58" s="22" t="s">
        <v>971</v>
      </c>
      <c r="O58" s="24" t="s">
        <v>67</v>
      </c>
      <c r="P58" s="24" t="s">
        <v>1089</v>
      </c>
      <c r="Q58" s="25"/>
      <c r="R58" s="134" t="s">
        <v>67</v>
      </c>
      <c r="S58" s="22" t="s">
        <v>70</v>
      </c>
      <c r="T58" s="22"/>
      <c r="U58" s="22"/>
      <c r="V58" s="22">
        <v>189</v>
      </c>
      <c r="W58" s="22">
        <f t="shared" si="7"/>
        <v>189</v>
      </c>
      <c r="X58" s="22">
        <f>W58</f>
        <v>189</v>
      </c>
      <c r="Y58" s="22">
        <f>ROUNDDOWN(W58/HLOOKUP(D58,Table!$C$3:$D$4,2,0)*8,2)</f>
        <v>3.36</v>
      </c>
      <c r="Z58" s="22">
        <v>2</v>
      </c>
      <c r="AA58" s="22" t="s">
        <v>22</v>
      </c>
      <c r="AB58" s="22" t="s">
        <v>1265</v>
      </c>
      <c r="AC58" s="26">
        <v>43935</v>
      </c>
      <c r="AD58" s="26">
        <v>43938</v>
      </c>
      <c r="AE58" s="26">
        <v>43935</v>
      </c>
      <c r="AF58" s="26">
        <v>43935</v>
      </c>
      <c r="AG58" s="28" t="s">
        <v>201</v>
      </c>
      <c r="AH58" s="52">
        <v>1</v>
      </c>
      <c r="AI58" s="52">
        <v>1</v>
      </c>
      <c r="AJ58" s="52">
        <v>1</v>
      </c>
      <c r="AK58" s="28" t="s">
        <v>1077</v>
      </c>
      <c r="AL58" s="22"/>
      <c r="AM58" s="22"/>
      <c r="AN58" s="22"/>
    </row>
    <row r="59" spans="2:40" x14ac:dyDescent="0.25">
      <c r="B59" s="92">
        <v>12</v>
      </c>
      <c r="C59" s="23">
        <v>20200414</v>
      </c>
      <c r="D59" s="22" t="s">
        <v>3</v>
      </c>
      <c r="E59" s="22" t="s">
        <v>936</v>
      </c>
      <c r="F59" s="24" t="s">
        <v>941</v>
      </c>
      <c r="G59" s="24">
        <v>1415974</v>
      </c>
      <c r="H59" s="134" t="s">
        <v>67</v>
      </c>
      <c r="I59" s="22" t="s">
        <v>962</v>
      </c>
      <c r="J59" s="134" t="s">
        <v>67</v>
      </c>
      <c r="K59" s="22" t="s">
        <v>972</v>
      </c>
      <c r="L59" s="22">
        <v>80433</v>
      </c>
      <c r="M59" s="22" t="s">
        <v>976</v>
      </c>
      <c r="N59" s="22" t="s">
        <v>971</v>
      </c>
      <c r="O59" s="24" t="s">
        <v>67</v>
      </c>
      <c r="P59" s="24" t="s">
        <v>1089</v>
      </c>
      <c r="Q59" s="25"/>
      <c r="R59" s="134" t="s">
        <v>67</v>
      </c>
      <c r="S59" s="22" t="s">
        <v>70</v>
      </c>
      <c r="T59" s="22"/>
      <c r="U59" s="22"/>
      <c r="V59" s="22">
        <v>173</v>
      </c>
      <c r="W59" s="22">
        <f t="shared" si="7"/>
        <v>173</v>
      </c>
      <c r="X59" s="22">
        <f t="shared" ref="X59:X60" si="9">W59</f>
        <v>173</v>
      </c>
      <c r="Y59" s="22">
        <f>ROUNDDOWN(W59/HLOOKUP(D59,Table!$C$3:$D$4,2,0)*8,2)</f>
        <v>3.07</v>
      </c>
      <c r="Z59" s="22">
        <v>2</v>
      </c>
      <c r="AA59" s="22" t="s">
        <v>22</v>
      </c>
      <c r="AB59" s="22" t="s">
        <v>1265</v>
      </c>
      <c r="AC59" s="26">
        <v>43935</v>
      </c>
      <c r="AD59" s="26">
        <v>43938</v>
      </c>
      <c r="AE59" s="26">
        <v>43935</v>
      </c>
      <c r="AF59" s="26">
        <v>43935</v>
      </c>
      <c r="AG59" s="28" t="s">
        <v>201</v>
      </c>
      <c r="AH59" s="52">
        <v>1</v>
      </c>
      <c r="AI59" s="52">
        <v>1</v>
      </c>
      <c r="AJ59" s="52">
        <v>1</v>
      </c>
      <c r="AK59" s="28" t="s">
        <v>1077</v>
      </c>
      <c r="AL59" s="22"/>
      <c r="AM59" s="22"/>
      <c r="AN59" s="22"/>
    </row>
    <row r="60" spans="2:40" x14ac:dyDescent="0.25">
      <c r="B60" s="92">
        <v>13</v>
      </c>
      <c r="C60" s="23">
        <v>20200414</v>
      </c>
      <c r="D60" s="22" t="s">
        <v>3</v>
      </c>
      <c r="E60" s="22" t="s">
        <v>936</v>
      </c>
      <c r="F60" s="24" t="s">
        <v>941</v>
      </c>
      <c r="G60" s="24">
        <v>1415974</v>
      </c>
      <c r="H60" s="134" t="s">
        <v>67</v>
      </c>
      <c r="I60" s="22" t="s">
        <v>963</v>
      </c>
      <c r="J60" s="134" t="s">
        <v>67</v>
      </c>
      <c r="K60" s="22" t="s">
        <v>972</v>
      </c>
      <c r="L60" s="22">
        <v>80433</v>
      </c>
      <c r="M60" s="22" t="s">
        <v>976</v>
      </c>
      <c r="N60" s="22" t="s">
        <v>971</v>
      </c>
      <c r="O60" s="24" t="s">
        <v>67</v>
      </c>
      <c r="P60" s="24" t="s">
        <v>1089</v>
      </c>
      <c r="Q60" s="25"/>
      <c r="R60" s="134" t="s">
        <v>67</v>
      </c>
      <c r="S60" s="22" t="s">
        <v>70</v>
      </c>
      <c r="T60" s="22"/>
      <c r="U60" s="22"/>
      <c r="V60" s="22">
        <v>176</v>
      </c>
      <c r="W60" s="22">
        <f t="shared" si="7"/>
        <v>176</v>
      </c>
      <c r="X60" s="22">
        <f t="shared" si="9"/>
        <v>176</v>
      </c>
      <c r="Y60" s="22">
        <f>ROUNDDOWN(W60/HLOOKUP(D60,Table!$C$3:$D$4,2,0)*8,2)</f>
        <v>3.12</v>
      </c>
      <c r="Z60" s="22">
        <v>2</v>
      </c>
      <c r="AA60" s="22" t="s">
        <v>22</v>
      </c>
      <c r="AB60" s="22" t="s">
        <v>1265</v>
      </c>
      <c r="AC60" s="26">
        <v>43935</v>
      </c>
      <c r="AD60" s="26">
        <v>43938</v>
      </c>
      <c r="AE60" s="26">
        <v>43935</v>
      </c>
      <c r="AF60" s="26">
        <v>43935</v>
      </c>
      <c r="AG60" s="28" t="s">
        <v>202</v>
      </c>
      <c r="AH60" s="52">
        <v>0.98</v>
      </c>
      <c r="AI60" s="52">
        <v>0.97</v>
      </c>
      <c r="AJ60" s="52">
        <v>1</v>
      </c>
      <c r="AK60" s="28" t="s">
        <v>852</v>
      </c>
      <c r="AL60" s="22" t="s">
        <v>1078</v>
      </c>
      <c r="AM60" s="22"/>
      <c r="AN60" s="22"/>
    </row>
    <row r="61" spans="2:40" x14ac:dyDescent="0.25">
      <c r="B61" s="92">
        <v>14</v>
      </c>
      <c r="C61" s="23">
        <v>20200414</v>
      </c>
      <c r="D61" s="22" t="s">
        <v>3</v>
      </c>
      <c r="E61" s="22" t="s">
        <v>936</v>
      </c>
      <c r="F61" s="24" t="s">
        <v>941</v>
      </c>
      <c r="G61" s="24">
        <v>1415974</v>
      </c>
      <c r="H61" s="134" t="s">
        <v>67</v>
      </c>
      <c r="I61" s="22" t="s">
        <v>964</v>
      </c>
      <c r="J61" s="134" t="s">
        <v>67</v>
      </c>
      <c r="K61" s="22" t="s">
        <v>972</v>
      </c>
      <c r="L61" s="22">
        <v>80433</v>
      </c>
      <c r="M61" s="22" t="s">
        <v>976</v>
      </c>
      <c r="N61" s="22" t="s">
        <v>971</v>
      </c>
      <c r="O61" s="24" t="s">
        <v>67</v>
      </c>
      <c r="P61" s="24" t="s">
        <v>1089</v>
      </c>
      <c r="Q61" s="25"/>
      <c r="R61" s="134" t="s">
        <v>67</v>
      </c>
      <c r="S61" s="22" t="s">
        <v>70</v>
      </c>
      <c r="T61" s="22"/>
      <c r="U61" s="22"/>
      <c r="V61" s="22">
        <v>239</v>
      </c>
      <c r="W61" s="22">
        <f t="shared" si="7"/>
        <v>239</v>
      </c>
      <c r="X61" s="22">
        <f>W61</f>
        <v>239</v>
      </c>
      <c r="Y61" s="22">
        <f>ROUNDDOWN(W61/HLOOKUP(D61,Table!$C$3:$D$4,2,0)*8,2)</f>
        <v>4.24</v>
      </c>
      <c r="Z61" s="22">
        <v>2</v>
      </c>
      <c r="AA61" s="22" t="s">
        <v>22</v>
      </c>
      <c r="AB61" s="22" t="s">
        <v>1265</v>
      </c>
      <c r="AC61" s="26">
        <v>43935</v>
      </c>
      <c r="AD61" s="26">
        <v>43938</v>
      </c>
      <c r="AE61" s="26">
        <v>43936</v>
      </c>
      <c r="AF61" s="26">
        <v>43936</v>
      </c>
      <c r="AG61" s="28" t="s">
        <v>201</v>
      </c>
      <c r="AH61" s="52">
        <v>1</v>
      </c>
      <c r="AI61" s="52">
        <v>1</v>
      </c>
      <c r="AJ61" s="52">
        <v>1</v>
      </c>
      <c r="AK61" s="28" t="s">
        <v>1077</v>
      </c>
      <c r="AL61" s="22"/>
      <c r="AM61" s="22"/>
      <c r="AN61" s="22"/>
    </row>
    <row r="62" spans="2:40" x14ac:dyDescent="0.25">
      <c r="B62" s="92">
        <v>15</v>
      </c>
      <c r="C62" s="23">
        <v>20200414</v>
      </c>
      <c r="D62" s="22" t="s">
        <v>3</v>
      </c>
      <c r="E62" s="22" t="s">
        <v>936</v>
      </c>
      <c r="F62" s="24" t="s">
        <v>941</v>
      </c>
      <c r="G62" s="24">
        <v>1415974</v>
      </c>
      <c r="H62" s="134" t="s">
        <v>67</v>
      </c>
      <c r="I62" s="22" t="s">
        <v>965</v>
      </c>
      <c r="J62" s="134" t="s">
        <v>67</v>
      </c>
      <c r="K62" s="22" t="s">
        <v>972</v>
      </c>
      <c r="L62" s="22">
        <v>80433</v>
      </c>
      <c r="M62" s="22" t="s">
        <v>976</v>
      </c>
      <c r="N62" s="22" t="s">
        <v>971</v>
      </c>
      <c r="O62" s="24" t="s">
        <v>67</v>
      </c>
      <c r="P62" s="24" t="s">
        <v>1089</v>
      </c>
      <c r="Q62" s="25"/>
      <c r="R62" s="134" t="s">
        <v>67</v>
      </c>
      <c r="S62" s="22" t="s">
        <v>70</v>
      </c>
      <c r="T62" s="22"/>
      <c r="U62" s="22"/>
      <c r="V62" s="22">
        <v>237</v>
      </c>
      <c r="W62" s="22">
        <f t="shared" si="7"/>
        <v>237</v>
      </c>
      <c r="X62" s="22">
        <f>W62</f>
        <v>237</v>
      </c>
      <c r="Y62" s="22">
        <f>ROUNDDOWN(W62/HLOOKUP(D62,Table!$C$3:$D$4,2,0)*8,2)</f>
        <v>4.21</v>
      </c>
      <c r="Z62" s="22">
        <v>1</v>
      </c>
      <c r="AA62" s="22" t="s">
        <v>22</v>
      </c>
      <c r="AB62" s="22" t="s">
        <v>1265</v>
      </c>
      <c r="AC62" s="26">
        <v>43935</v>
      </c>
      <c r="AD62" s="26">
        <v>43938</v>
      </c>
      <c r="AE62" s="26">
        <v>43936</v>
      </c>
      <c r="AF62" s="26">
        <v>43936</v>
      </c>
      <c r="AG62" s="28" t="s">
        <v>201</v>
      </c>
      <c r="AH62" s="52">
        <v>1</v>
      </c>
      <c r="AI62" s="52">
        <v>1</v>
      </c>
      <c r="AJ62" s="52">
        <v>1</v>
      </c>
      <c r="AK62" s="28" t="s">
        <v>1077</v>
      </c>
      <c r="AL62" s="22"/>
      <c r="AM62" s="22"/>
      <c r="AN62" s="22"/>
    </row>
    <row r="63" spans="2:40" x14ac:dyDescent="0.25">
      <c r="B63" s="92">
        <v>16</v>
      </c>
      <c r="C63" s="23">
        <v>20200414</v>
      </c>
      <c r="D63" s="22" t="s">
        <v>3</v>
      </c>
      <c r="E63" s="22" t="s">
        <v>936</v>
      </c>
      <c r="F63" s="24" t="s">
        <v>943</v>
      </c>
      <c r="G63" s="24">
        <v>1415974</v>
      </c>
      <c r="H63" s="134" t="s">
        <v>67</v>
      </c>
      <c r="I63" s="22" t="s">
        <v>966</v>
      </c>
      <c r="J63" s="134" t="s">
        <v>67</v>
      </c>
      <c r="K63" s="22" t="s">
        <v>972</v>
      </c>
      <c r="L63" s="22">
        <v>80433</v>
      </c>
      <c r="M63" s="22" t="s">
        <v>976</v>
      </c>
      <c r="N63" s="22" t="s">
        <v>971</v>
      </c>
      <c r="O63" s="24" t="s">
        <v>67</v>
      </c>
      <c r="P63" s="24" t="s">
        <v>1089</v>
      </c>
      <c r="Q63" s="25"/>
      <c r="R63" s="134" t="s">
        <v>67</v>
      </c>
      <c r="S63" s="22" t="s">
        <v>70</v>
      </c>
      <c r="T63" s="22"/>
      <c r="U63" s="22"/>
      <c r="V63" s="22">
        <v>8</v>
      </c>
      <c r="W63" s="22">
        <f t="shared" si="7"/>
        <v>8</v>
      </c>
      <c r="X63" s="22">
        <f>W63</f>
        <v>8</v>
      </c>
      <c r="Y63" s="22">
        <f>ROUNDDOWN(W63/HLOOKUP(D63,Table!$C$3:$D$4,2,0)*8,2)</f>
        <v>0.14000000000000001</v>
      </c>
      <c r="Z63" s="22">
        <v>1</v>
      </c>
      <c r="AA63" s="22" t="s">
        <v>22</v>
      </c>
      <c r="AB63" s="22" t="s">
        <v>1265</v>
      </c>
      <c r="AC63" s="26">
        <v>43935</v>
      </c>
      <c r="AD63" s="26">
        <v>43938</v>
      </c>
      <c r="AE63" s="26">
        <v>43936</v>
      </c>
      <c r="AF63" s="26">
        <v>43936</v>
      </c>
      <c r="AG63" s="28" t="s">
        <v>201</v>
      </c>
      <c r="AH63" s="52">
        <v>1</v>
      </c>
      <c r="AI63" s="52">
        <v>1</v>
      </c>
      <c r="AJ63" s="52">
        <v>1</v>
      </c>
      <c r="AK63" s="28" t="s">
        <v>1077</v>
      </c>
      <c r="AL63" s="22"/>
      <c r="AM63" s="22"/>
      <c r="AN63" s="22"/>
    </row>
    <row r="64" spans="2:40" x14ac:dyDescent="0.25">
      <c r="B64" s="92">
        <v>17</v>
      </c>
      <c r="C64" s="23">
        <v>20200414</v>
      </c>
      <c r="D64" s="22" t="s">
        <v>3</v>
      </c>
      <c r="E64" s="22" t="s">
        <v>936</v>
      </c>
      <c r="F64" s="24" t="s">
        <v>944</v>
      </c>
      <c r="G64" s="24">
        <v>1415974</v>
      </c>
      <c r="H64" s="134" t="s">
        <v>67</v>
      </c>
      <c r="I64" s="22" t="s">
        <v>967</v>
      </c>
      <c r="J64" s="134" t="s">
        <v>67</v>
      </c>
      <c r="K64" s="22" t="s">
        <v>972</v>
      </c>
      <c r="L64" s="22">
        <v>80433</v>
      </c>
      <c r="M64" s="22" t="s">
        <v>976</v>
      </c>
      <c r="N64" s="22" t="s">
        <v>971</v>
      </c>
      <c r="O64" s="24" t="s">
        <v>67</v>
      </c>
      <c r="P64" s="24" t="s">
        <v>1089</v>
      </c>
      <c r="Q64" s="25"/>
      <c r="R64" s="134" t="s">
        <v>67</v>
      </c>
      <c r="S64" s="22" t="s">
        <v>70</v>
      </c>
      <c r="T64" s="22"/>
      <c r="U64" s="22"/>
      <c r="V64" s="22">
        <v>165</v>
      </c>
      <c r="W64" s="22">
        <f t="shared" si="7"/>
        <v>165</v>
      </c>
      <c r="X64" s="22">
        <f>W64</f>
        <v>165</v>
      </c>
      <c r="Y64" s="22">
        <f>ROUNDDOWN(W64/HLOOKUP(D64,Table!$C$3:$D$4,2,0)*8,2)</f>
        <v>2.93</v>
      </c>
      <c r="Z64" s="22">
        <v>1</v>
      </c>
      <c r="AA64" s="22" t="s">
        <v>22</v>
      </c>
      <c r="AB64" s="22" t="s">
        <v>1265</v>
      </c>
      <c r="AC64" s="26">
        <v>43935</v>
      </c>
      <c r="AD64" s="26">
        <v>43938</v>
      </c>
      <c r="AE64" s="26">
        <v>43936</v>
      </c>
      <c r="AF64" s="26">
        <v>43936</v>
      </c>
      <c r="AG64" s="28" t="s">
        <v>201</v>
      </c>
      <c r="AH64" s="52">
        <v>1</v>
      </c>
      <c r="AI64" s="52">
        <v>1</v>
      </c>
      <c r="AJ64" s="52">
        <v>1</v>
      </c>
      <c r="AK64" s="28" t="s">
        <v>1077</v>
      </c>
      <c r="AL64" s="22"/>
      <c r="AM64" s="22"/>
      <c r="AN64" s="22"/>
    </row>
    <row r="65" spans="2:40" x14ac:dyDescent="0.25">
      <c r="B65" s="92">
        <v>18</v>
      </c>
      <c r="C65" s="23">
        <v>20200414</v>
      </c>
      <c r="D65" s="22" t="s">
        <v>3</v>
      </c>
      <c r="E65" s="22" t="s">
        <v>936</v>
      </c>
      <c r="F65" s="24" t="s">
        <v>945</v>
      </c>
      <c r="G65" s="24">
        <v>1415974</v>
      </c>
      <c r="H65" s="134" t="s">
        <v>67</v>
      </c>
      <c r="I65" s="22" t="s">
        <v>1073</v>
      </c>
      <c r="J65" s="134" t="s">
        <v>67</v>
      </c>
      <c r="K65" s="22" t="s">
        <v>972</v>
      </c>
      <c r="L65" s="22">
        <v>80433</v>
      </c>
      <c r="M65" s="22" t="s">
        <v>976</v>
      </c>
      <c r="N65" s="22" t="s">
        <v>971</v>
      </c>
      <c r="O65" s="24" t="s">
        <v>67</v>
      </c>
      <c r="P65" s="24" t="s">
        <v>1089</v>
      </c>
      <c r="Q65" s="25"/>
      <c r="R65" s="134" t="s">
        <v>67</v>
      </c>
      <c r="S65" s="22" t="s">
        <v>70</v>
      </c>
      <c r="T65" s="22"/>
      <c r="U65" s="22"/>
      <c r="V65" s="22">
        <v>0</v>
      </c>
      <c r="W65" s="22">
        <f t="shared" si="7"/>
        <v>0</v>
      </c>
      <c r="X65" s="22">
        <v>0</v>
      </c>
      <c r="Y65" s="22">
        <f>ROUNDDOWN(W65/HLOOKUP(D65,Table!$C$3:$D$4,2,0)*8,2)</f>
        <v>0</v>
      </c>
      <c r="Z65" s="22">
        <v>0</v>
      </c>
      <c r="AA65" s="22" t="s">
        <v>22</v>
      </c>
      <c r="AB65" s="22" t="s">
        <v>1265</v>
      </c>
      <c r="AC65" s="26">
        <v>43935</v>
      </c>
      <c r="AD65" s="26">
        <v>43938</v>
      </c>
      <c r="AE65" s="26">
        <v>43936</v>
      </c>
      <c r="AF65" s="26">
        <v>43936</v>
      </c>
      <c r="AG65" s="28" t="s">
        <v>201</v>
      </c>
      <c r="AH65" s="58" t="s">
        <v>67</v>
      </c>
      <c r="AI65" s="58" t="s">
        <v>67</v>
      </c>
      <c r="AJ65" s="58" t="s">
        <v>67</v>
      </c>
      <c r="AK65" s="28" t="s">
        <v>1077</v>
      </c>
      <c r="AL65" s="22"/>
      <c r="AM65" s="22"/>
      <c r="AN65" s="22" t="s">
        <v>1266</v>
      </c>
    </row>
    <row r="66" spans="2:40" x14ac:dyDescent="0.25">
      <c r="B66" s="92">
        <v>19</v>
      </c>
      <c r="C66" s="23">
        <v>20200414</v>
      </c>
      <c r="D66" s="22" t="s">
        <v>3</v>
      </c>
      <c r="E66" s="22" t="s">
        <v>936</v>
      </c>
      <c r="F66" s="24" t="s">
        <v>946</v>
      </c>
      <c r="G66" s="24">
        <v>1415974</v>
      </c>
      <c r="H66" s="134" t="s">
        <v>67</v>
      </c>
      <c r="I66" s="22" t="s">
        <v>968</v>
      </c>
      <c r="J66" s="134" t="s">
        <v>67</v>
      </c>
      <c r="K66" s="22" t="s">
        <v>972</v>
      </c>
      <c r="L66" s="22">
        <v>80433</v>
      </c>
      <c r="M66" s="22" t="s">
        <v>976</v>
      </c>
      <c r="N66" s="22" t="s">
        <v>971</v>
      </c>
      <c r="O66" s="24" t="s">
        <v>67</v>
      </c>
      <c r="P66" s="24" t="s">
        <v>1089</v>
      </c>
      <c r="Q66" s="25"/>
      <c r="R66" s="134" t="s">
        <v>67</v>
      </c>
      <c r="S66" s="22" t="s">
        <v>72</v>
      </c>
      <c r="T66" s="22"/>
      <c r="U66" s="22"/>
      <c r="V66" s="22">
        <v>12</v>
      </c>
      <c r="W66" s="22">
        <f t="shared" si="7"/>
        <v>12</v>
      </c>
      <c r="X66" s="22">
        <f>W66</f>
        <v>12</v>
      </c>
      <c r="Y66" s="22">
        <f>ROUNDDOWN(W66/HLOOKUP(D66,Table!$C$3:$D$4,2,0)*8,2)</f>
        <v>0.21</v>
      </c>
      <c r="Z66" s="22">
        <v>1</v>
      </c>
      <c r="AA66" s="22" t="s">
        <v>22</v>
      </c>
      <c r="AB66" s="22" t="s">
        <v>1265</v>
      </c>
      <c r="AC66" s="26">
        <v>43935</v>
      </c>
      <c r="AD66" s="26">
        <v>43938</v>
      </c>
      <c r="AE66" s="26">
        <v>43936</v>
      </c>
      <c r="AF66" s="26">
        <v>43936</v>
      </c>
      <c r="AG66" s="28" t="s">
        <v>201</v>
      </c>
      <c r="AH66" s="52"/>
      <c r="AI66" s="52"/>
      <c r="AJ66" s="52"/>
      <c r="AK66" s="28" t="s">
        <v>1077</v>
      </c>
      <c r="AL66" s="22"/>
      <c r="AM66" s="22"/>
      <c r="AN66" s="22" t="s">
        <v>1266</v>
      </c>
    </row>
    <row r="67" spans="2:40" x14ac:dyDescent="0.25">
      <c r="B67" s="92">
        <v>20</v>
      </c>
      <c r="C67" s="23">
        <v>20200414</v>
      </c>
      <c r="D67" s="22" t="s">
        <v>3</v>
      </c>
      <c r="E67" s="22" t="s">
        <v>936</v>
      </c>
      <c r="F67" s="24" t="s">
        <v>946</v>
      </c>
      <c r="G67" s="24">
        <v>1415974</v>
      </c>
      <c r="H67" s="134" t="s">
        <v>67</v>
      </c>
      <c r="I67" s="22" t="s">
        <v>969</v>
      </c>
      <c r="J67" s="134" t="s">
        <v>67</v>
      </c>
      <c r="K67" s="22" t="s">
        <v>972</v>
      </c>
      <c r="L67" s="22">
        <v>80433</v>
      </c>
      <c r="M67" s="22" t="s">
        <v>976</v>
      </c>
      <c r="N67" s="22" t="s">
        <v>971</v>
      </c>
      <c r="O67" s="24" t="s">
        <v>67</v>
      </c>
      <c r="P67" s="24" t="s">
        <v>1089</v>
      </c>
      <c r="Q67" s="25"/>
      <c r="R67" s="134" t="s">
        <v>67</v>
      </c>
      <c r="S67" s="22" t="s">
        <v>72</v>
      </c>
      <c r="T67" s="22"/>
      <c r="U67" s="22"/>
      <c r="V67" s="22">
        <v>37</v>
      </c>
      <c r="W67" s="22">
        <f t="shared" si="7"/>
        <v>37</v>
      </c>
      <c r="X67" s="22">
        <f t="shared" ref="X67:X71" si="10">W67</f>
        <v>37</v>
      </c>
      <c r="Y67" s="22">
        <f>ROUNDDOWN(W67/HLOOKUP(D67,Table!$C$3:$D$4,2,0)*8,2)</f>
        <v>0.65</v>
      </c>
      <c r="Z67" s="22">
        <v>1</v>
      </c>
      <c r="AA67" s="22" t="s">
        <v>22</v>
      </c>
      <c r="AB67" s="22" t="s">
        <v>1265</v>
      </c>
      <c r="AC67" s="26">
        <v>43935</v>
      </c>
      <c r="AD67" s="26">
        <v>43938</v>
      </c>
      <c r="AE67" s="26">
        <v>43936</v>
      </c>
      <c r="AF67" s="26">
        <v>43936</v>
      </c>
      <c r="AG67" s="28" t="s">
        <v>201</v>
      </c>
      <c r="AH67" s="52">
        <v>1</v>
      </c>
      <c r="AI67" s="52">
        <v>1</v>
      </c>
      <c r="AJ67" s="52">
        <v>1</v>
      </c>
      <c r="AK67" s="28" t="s">
        <v>1077</v>
      </c>
      <c r="AL67" s="22"/>
      <c r="AM67" s="22"/>
      <c r="AN67" s="22"/>
    </row>
    <row r="68" spans="2:40" x14ac:dyDescent="0.25">
      <c r="B68" s="92">
        <v>21</v>
      </c>
      <c r="C68" s="23">
        <v>20200414</v>
      </c>
      <c r="D68" s="22" t="s">
        <v>3</v>
      </c>
      <c r="E68" s="22" t="s">
        <v>936</v>
      </c>
      <c r="F68" s="24" t="s">
        <v>947</v>
      </c>
      <c r="G68" s="24">
        <v>1415974</v>
      </c>
      <c r="H68" s="134" t="s">
        <v>67</v>
      </c>
      <c r="I68" s="22" t="s">
        <v>970</v>
      </c>
      <c r="J68" s="134" t="s">
        <v>67</v>
      </c>
      <c r="K68" s="22" t="s">
        <v>972</v>
      </c>
      <c r="L68" s="22">
        <v>80433</v>
      </c>
      <c r="M68" s="22" t="s">
        <v>976</v>
      </c>
      <c r="N68" s="22" t="s">
        <v>971</v>
      </c>
      <c r="O68" s="24" t="s">
        <v>67</v>
      </c>
      <c r="P68" s="24" t="s">
        <v>1089</v>
      </c>
      <c r="Q68" s="25"/>
      <c r="R68" s="134" t="s">
        <v>67</v>
      </c>
      <c r="S68" s="22" t="s">
        <v>72</v>
      </c>
      <c r="T68" s="22"/>
      <c r="U68" s="22"/>
      <c r="V68" s="22">
        <v>3</v>
      </c>
      <c r="W68" s="22">
        <f t="shared" si="7"/>
        <v>3</v>
      </c>
      <c r="X68" s="22">
        <f t="shared" si="10"/>
        <v>3</v>
      </c>
      <c r="Y68" s="22">
        <f>ROUNDDOWN(W68/HLOOKUP(D68,Table!$C$3:$D$4,2,0)*8,2)</f>
        <v>0.05</v>
      </c>
      <c r="Z68" s="22">
        <v>1</v>
      </c>
      <c r="AA68" s="22" t="s">
        <v>22</v>
      </c>
      <c r="AB68" s="22" t="s">
        <v>1265</v>
      </c>
      <c r="AC68" s="26">
        <v>43935</v>
      </c>
      <c r="AD68" s="26">
        <v>43938</v>
      </c>
      <c r="AE68" s="26">
        <v>43936</v>
      </c>
      <c r="AF68" s="26">
        <v>43936</v>
      </c>
      <c r="AG68" s="28" t="s">
        <v>201</v>
      </c>
      <c r="AH68" s="52"/>
      <c r="AI68" s="52"/>
      <c r="AJ68" s="52"/>
      <c r="AK68" s="28" t="s">
        <v>1077</v>
      </c>
      <c r="AL68" s="22"/>
      <c r="AM68" s="22"/>
      <c r="AN68" s="22" t="s">
        <v>1266</v>
      </c>
    </row>
    <row r="69" spans="2:40" x14ac:dyDescent="0.25">
      <c r="B69" s="126">
        <v>22</v>
      </c>
      <c r="C69" s="23">
        <v>20200414</v>
      </c>
      <c r="D69" s="22" t="s">
        <v>3</v>
      </c>
      <c r="E69" s="22" t="s">
        <v>973</v>
      </c>
      <c r="F69" s="24" t="s">
        <v>979</v>
      </c>
      <c r="G69" s="24">
        <v>1416009</v>
      </c>
      <c r="H69" s="134" t="s">
        <v>67</v>
      </c>
      <c r="I69" s="22" t="s">
        <v>982</v>
      </c>
      <c r="J69" s="134" t="s">
        <v>67</v>
      </c>
      <c r="K69" s="22" t="s">
        <v>972</v>
      </c>
      <c r="L69" s="22">
        <v>80426</v>
      </c>
      <c r="M69" s="22" t="s">
        <v>977</v>
      </c>
      <c r="N69" s="22" t="s">
        <v>990</v>
      </c>
      <c r="O69" s="24" t="s">
        <v>67</v>
      </c>
      <c r="P69" s="24" t="s">
        <v>1091</v>
      </c>
      <c r="Q69" s="25"/>
      <c r="R69" s="134" t="s">
        <v>67</v>
      </c>
      <c r="S69" s="22" t="s">
        <v>72</v>
      </c>
      <c r="T69" s="22"/>
      <c r="U69" s="22"/>
      <c r="V69" s="22">
        <v>322</v>
      </c>
      <c r="W69" s="22">
        <f t="shared" si="7"/>
        <v>322</v>
      </c>
      <c r="X69" s="22">
        <f t="shared" si="10"/>
        <v>322</v>
      </c>
      <c r="Y69" s="22">
        <f>ROUNDDOWN(W69/HLOOKUP(D69,Table!$C$3:$D$4,2,0)*8,2)</f>
        <v>5.72</v>
      </c>
      <c r="Z69" s="22">
        <v>1</v>
      </c>
      <c r="AA69" s="22" t="s">
        <v>22</v>
      </c>
      <c r="AB69" s="22" t="s">
        <v>1265</v>
      </c>
      <c r="AC69" s="26">
        <v>43935</v>
      </c>
      <c r="AD69" s="26">
        <v>43938</v>
      </c>
      <c r="AE69" s="26">
        <v>43936</v>
      </c>
      <c r="AF69" s="26">
        <v>43936</v>
      </c>
      <c r="AG69" s="28" t="s">
        <v>201</v>
      </c>
      <c r="AH69" s="52">
        <v>1</v>
      </c>
      <c r="AI69" s="52">
        <v>1</v>
      </c>
      <c r="AJ69" s="52">
        <v>1</v>
      </c>
      <c r="AK69" s="28" t="s">
        <v>1077</v>
      </c>
      <c r="AL69" s="22"/>
      <c r="AM69" s="22"/>
      <c r="AN69" s="22"/>
    </row>
    <row r="70" spans="2:40" x14ac:dyDescent="0.25">
      <c r="B70" s="126">
        <v>23</v>
      </c>
      <c r="C70" s="23">
        <v>20200414</v>
      </c>
      <c r="D70" s="22" t="s">
        <v>3</v>
      </c>
      <c r="E70" s="22" t="s">
        <v>974</v>
      </c>
      <c r="F70" s="24" t="s">
        <v>980</v>
      </c>
      <c r="G70" s="24">
        <v>1416093</v>
      </c>
      <c r="H70" s="134" t="s">
        <v>67</v>
      </c>
      <c r="I70" s="22" t="s">
        <v>983</v>
      </c>
      <c r="J70" s="134" t="s">
        <v>67</v>
      </c>
      <c r="K70" s="22" t="s">
        <v>972</v>
      </c>
      <c r="L70" s="22">
        <v>80426</v>
      </c>
      <c r="M70" s="22" t="s">
        <v>978</v>
      </c>
      <c r="N70" s="22" t="s">
        <v>990</v>
      </c>
      <c r="O70" s="24" t="s">
        <v>67</v>
      </c>
      <c r="P70" s="24" t="s">
        <v>1090</v>
      </c>
      <c r="Q70" s="25"/>
      <c r="R70" s="134" t="s">
        <v>67</v>
      </c>
      <c r="S70" s="22" t="s">
        <v>72</v>
      </c>
      <c r="T70" s="22"/>
      <c r="U70" s="22"/>
      <c r="V70" s="22">
        <v>25</v>
      </c>
      <c r="W70" s="22">
        <f t="shared" si="7"/>
        <v>25</v>
      </c>
      <c r="X70" s="22">
        <f t="shared" si="10"/>
        <v>25</v>
      </c>
      <c r="Y70" s="22">
        <f>ROUNDDOWN(W70/HLOOKUP(D70,Table!$C$3:$D$4,2,0)*8,2)</f>
        <v>0.44</v>
      </c>
      <c r="Z70" s="22">
        <v>1</v>
      </c>
      <c r="AA70" s="22" t="s">
        <v>22</v>
      </c>
      <c r="AB70" s="22" t="s">
        <v>1265</v>
      </c>
      <c r="AC70" s="26">
        <v>43935</v>
      </c>
      <c r="AD70" s="26">
        <v>43938</v>
      </c>
      <c r="AE70" s="26">
        <v>43936</v>
      </c>
      <c r="AF70" s="26">
        <v>43936</v>
      </c>
      <c r="AG70" s="28" t="s">
        <v>201</v>
      </c>
      <c r="AH70" s="52">
        <v>1</v>
      </c>
      <c r="AI70" s="52">
        <v>1</v>
      </c>
      <c r="AJ70" s="52">
        <v>1</v>
      </c>
      <c r="AK70" s="28" t="s">
        <v>1077</v>
      </c>
      <c r="AL70" s="22"/>
      <c r="AM70" s="22"/>
      <c r="AN70" s="22"/>
    </row>
    <row r="71" spans="2:40" x14ac:dyDescent="0.25">
      <c r="B71" s="126">
        <v>24</v>
      </c>
      <c r="C71" s="23">
        <v>20200414</v>
      </c>
      <c r="D71" s="22" t="s">
        <v>3</v>
      </c>
      <c r="E71" s="22" t="s">
        <v>974</v>
      </c>
      <c r="F71" s="24" t="s">
        <v>980</v>
      </c>
      <c r="G71" s="24">
        <v>1416093</v>
      </c>
      <c r="H71" s="134" t="s">
        <v>67</v>
      </c>
      <c r="I71" s="22" t="s">
        <v>984</v>
      </c>
      <c r="J71" s="134" t="s">
        <v>67</v>
      </c>
      <c r="K71" s="22" t="s">
        <v>972</v>
      </c>
      <c r="L71" s="22">
        <v>80426</v>
      </c>
      <c r="M71" s="22" t="s">
        <v>978</v>
      </c>
      <c r="N71" s="22" t="s">
        <v>990</v>
      </c>
      <c r="O71" s="24" t="s">
        <v>67</v>
      </c>
      <c r="P71" s="24" t="s">
        <v>1090</v>
      </c>
      <c r="Q71" s="25"/>
      <c r="R71" s="134" t="s">
        <v>67</v>
      </c>
      <c r="S71" s="22" t="s">
        <v>72</v>
      </c>
      <c r="T71" s="22"/>
      <c r="U71" s="22"/>
      <c r="V71" s="22">
        <v>28</v>
      </c>
      <c r="W71" s="22">
        <f t="shared" si="7"/>
        <v>28</v>
      </c>
      <c r="X71" s="22">
        <f t="shared" si="10"/>
        <v>28</v>
      </c>
      <c r="Y71" s="22">
        <f>ROUNDDOWN(W71/HLOOKUP(D71,Table!$C$3:$D$4,2,0)*8,2)</f>
        <v>0.49</v>
      </c>
      <c r="Z71" s="22">
        <v>2</v>
      </c>
      <c r="AA71" s="22" t="s">
        <v>22</v>
      </c>
      <c r="AB71" s="22" t="s">
        <v>1265</v>
      </c>
      <c r="AC71" s="26">
        <v>43935</v>
      </c>
      <c r="AD71" s="26">
        <v>43938</v>
      </c>
      <c r="AE71" s="26">
        <v>43936</v>
      </c>
      <c r="AF71" s="26">
        <v>43936</v>
      </c>
      <c r="AG71" s="28" t="s">
        <v>201</v>
      </c>
      <c r="AH71" s="52">
        <v>1</v>
      </c>
      <c r="AI71" s="52">
        <v>1</v>
      </c>
      <c r="AJ71" s="52">
        <v>1</v>
      </c>
      <c r="AK71" s="28" t="s">
        <v>1077</v>
      </c>
      <c r="AL71" s="22"/>
      <c r="AM71" s="22"/>
      <c r="AN71" s="22"/>
    </row>
    <row r="72" spans="2:40" x14ac:dyDescent="0.25">
      <c r="B72" s="126">
        <v>25</v>
      </c>
      <c r="C72" s="23">
        <v>20200414</v>
      </c>
      <c r="D72" s="22" t="s">
        <v>3</v>
      </c>
      <c r="E72" s="22" t="s">
        <v>974</v>
      </c>
      <c r="F72" s="24" t="s">
        <v>980</v>
      </c>
      <c r="G72" s="24">
        <v>1416093</v>
      </c>
      <c r="H72" s="134" t="s">
        <v>67</v>
      </c>
      <c r="I72" s="22" t="s">
        <v>985</v>
      </c>
      <c r="J72" s="134" t="s">
        <v>67</v>
      </c>
      <c r="K72" s="22" t="s">
        <v>972</v>
      </c>
      <c r="L72" s="22">
        <v>80426</v>
      </c>
      <c r="M72" s="22" t="s">
        <v>978</v>
      </c>
      <c r="N72" s="22" t="s">
        <v>990</v>
      </c>
      <c r="O72" s="24" t="s">
        <v>67</v>
      </c>
      <c r="P72" s="24" t="s">
        <v>1090</v>
      </c>
      <c r="Q72" s="25"/>
      <c r="R72" s="134" t="s">
        <v>67</v>
      </c>
      <c r="S72" s="22" t="s">
        <v>72</v>
      </c>
      <c r="T72" s="22"/>
      <c r="U72" s="22"/>
      <c r="V72" s="22">
        <v>46</v>
      </c>
      <c r="W72" s="22">
        <f t="shared" si="7"/>
        <v>46</v>
      </c>
      <c r="X72" s="22">
        <f>W72</f>
        <v>46</v>
      </c>
      <c r="Y72" s="22">
        <f>ROUNDDOWN(W72/HLOOKUP(D72,Table!$C$3:$D$4,2,0)*8,2)</f>
        <v>0.81</v>
      </c>
      <c r="Z72" s="22">
        <v>1</v>
      </c>
      <c r="AA72" s="22" t="s">
        <v>22</v>
      </c>
      <c r="AB72" s="22" t="s">
        <v>1265</v>
      </c>
      <c r="AC72" s="26">
        <v>43935</v>
      </c>
      <c r="AD72" s="26">
        <v>43938</v>
      </c>
      <c r="AE72" s="26">
        <v>43936</v>
      </c>
      <c r="AF72" s="26">
        <v>43936</v>
      </c>
      <c r="AG72" s="28" t="s">
        <v>201</v>
      </c>
      <c r="AH72" s="52">
        <v>1</v>
      </c>
      <c r="AI72" s="52">
        <v>1</v>
      </c>
      <c r="AJ72" s="52">
        <v>1</v>
      </c>
      <c r="AK72" s="28" t="s">
        <v>1077</v>
      </c>
      <c r="AL72" s="22"/>
      <c r="AM72" s="22"/>
      <c r="AN72" s="22"/>
    </row>
    <row r="73" spans="2:40" x14ac:dyDescent="0.25">
      <c r="B73" s="126">
        <v>26</v>
      </c>
      <c r="C73" s="23">
        <v>20200414</v>
      </c>
      <c r="D73" s="22" t="s">
        <v>3</v>
      </c>
      <c r="E73" s="22" t="s">
        <v>974</v>
      </c>
      <c r="F73" s="24" t="s">
        <v>980</v>
      </c>
      <c r="G73" s="24">
        <v>1416093</v>
      </c>
      <c r="H73" s="134" t="s">
        <v>67</v>
      </c>
      <c r="I73" s="22" t="s">
        <v>986</v>
      </c>
      <c r="J73" s="134" t="s">
        <v>67</v>
      </c>
      <c r="K73" s="22" t="s">
        <v>972</v>
      </c>
      <c r="L73" s="22">
        <v>80426</v>
      </c>
      <c r="M73" s="22" t="s">
        <v>978</v>
      </c>
      <c r="N73" s="22" t="s">
        <v>990</v>
      </c>
      <c r="O73" s="24" t="s">
        <v>67</v>
      </c>
      <c r="P73" s="24" t="s">
        <v>1090</v>
      </c>
      <c r="Q73" s="25"/>
      <c r="R73" s="134" t="s">
        <v>67</v>
      </c>
      <c r="S73" s="22" t="s">
        <v>72</v>
      </c>
      <c r="T73" s="22"/>
      <c r="U73" s="22"/>
      <c r="V73" s="22">
        <v>31</v>
      </c>
      <c r="W73" s="22">
        <f t="shared" si="7"/>
        <v>31</v>
      </c>
      <c r="X73" s="22">
        <f>W73</f>
        <v>31</v>
      </c>
      <c r="Y73" s="22">
        <f>ROUNDDOWN(W73/HLOOKUP(D73,Table!$C$3:$D$4,2,0)*8,2)</f>
        <v>0.55000000000000004</v>
      </c>
      <c r="Z73" s="22">
        <v>1</v>
      </c>
      <c r="AA73" s="22" t="s">
        <v>22</v>
      </c>
      <c r="AB73" s="22" t="s">
        <v>1265</v>
      </c>
      <c r="AC73" s="26">
        <v>43935</v>
      </c>
      <c r="AD73" s="26">
        <v>43938</v>
      </c>
      <c r="AE73" s="26">
        <v>43936</v>
      </c>
      <c r="AF73" s="26">
        <v>43936</v>
      </c>
      <c r="AG73" s="28" t="s">
        <v>201</v>
      </c>
      <c r="AH73" s="52">
        <v>1</v>
      </c>
      <c r="AI73" s="52">
        <v>1</v>
      </c>
      <c r="AJ73" s="52">
        <v>1</v>
      </c>
      <c r="AK73" s="28" t="s">
        <v>1077</v>
      </c>
      <c r="AL73" s="22"/>
      <c r="AM73" s="22"/>
      <c r="AN73" s="22"/>
    </row>
    <row r="74" spans="2:40" x14ac:dyDescent="0.25">
      <c r="B74" s="126">
        <v>27</v>
      </c>
      <c r="C74" s="23">
        <v>20200414</v>
      </c>
      <c r="D74" s="22" t="s">
        <v>3</v>
      </c>
      <c r="E74" s="22" t="s">
        <v>974</v>
      </c>
      <c r="F74" s="24" t="s">
        <v>980</v>
      </c>
      <c r="G74" s="24">
        <v>1416093</v>
      </c>
      <c r="H74" s="134" t="s">
        <v>67</v>
      </c>
      <c r="I74" s="22" t="s">
        <v>987</v>
      </c>
      <c r="J74" s="134" t="s">
        <v>67</v>
      </c>
      <c r="K74" s="22" t="s">
        <v>972</v>
      </c>
      <c r="L74" s="22">
        <v>80426</v>
      </c>
      <c r="M74" s="22" t="s">
        <v>978</v>
      </c>
      <c r="N74" s="22" t="s">
        <v>990</v>
      </c>
      <c r="O74" s="24" t="s">
        <v>67</v>
      </c>
      <c r="P74" s="24" t="s">
        <v>1090</v>
      </c>
      <c r="Q74" s="25"/>
      <c r="R74" s="134" t="s">
        <v>67</v>
      </c>
      <c r="S74" s="22" t="s">
        <v>72</v>
      </c>
      <c r="T74" s="22"/>
      <c r="U74" s="22"/>
      <c r="V74" s="22">
        <v>102</v>
      </c>
      <c r="W74" s="22">
        <f t="shared" si="7"/>
        <v>102</v>
      </c>
      <c r="X74" s="22">
        <f>W74</f>
        <v>102</v>
      </c>
      <c r="Y74" s="22">
        <f>ROUNDDOWN(W74/HLOOKUP(D74,Table!$C$3:$D$4,2,0)*8,2)</f>
        <v>1.81</v>
      </c>
      <c r="Z74" s="22">
        <v>1</v>
      </c>
      <c r="AA74" s="22" t="s">
        <v>22</v>
      </c>
      <c r="AB74" s="22" t="s">
        <v>1265</v>
      </c>
      <c r="AC74" s="26">
        <v>43935</v>
      </c>
      <c r="AD74" s="26">
        <v>43938</v>
      </c>
      <c r="AE74" s="26">
        <v>43936</v>
      </c>
      <c r="AF74" s="26">
        <v>43936</v>
      </c>
      <c r="AG74" s="28" t="s">
        <v>201</v>
      </c>
      <c r="AH74" s="52">
        <v>1</v>
      </c>
      <c r="AI74" s="52">
        <v>1</v>
      </c>
      <c r="AJ74" s="52">
        <v>1</v>
      </c>
      <c r="AK74" s="28" t="s">
        <v>1077</v>
      </c>
      <c r="AL74" s="22"/>
      <c r="AM74" s="22"/>
      <c r="AN74" s="22"/>
    </row>
    <row r="75" spans="2:40" x14ac:dyDescent="0.25">
      <c r="B75" s="126">
        <v>28</v>
      </c>
      <c r="C75" s="23">
        <v>20200414</v>
      </c>
      <c r="D75" s="22" t="s">
        <v>3</v>
      </c>
      <c r="E75" s="22" t="s">
        <v>974</v>
      </c>
      <c r="F75" s="24" t="s">
        <v>980</v>
      </c>
      <c r="G75" s="24">
        <v>1416093</v>
      </c>
      <c r="H75" s="134" t="s">
        <v>67</v>
      </c>
      <c r="I75" s="22" t="s">
        <v>988</v>
      </c>
      <c r="J75" s="134" t="s">
        <v>67</v>
      </c>
      <c r="K75" s="22" t="s">
        <v>972</v>
      </c>
      <c r="L75" s="22">
        <v>80426</v>
      </c>
      <c r="M75" s="22" t="s">
        <v>978</v>
      </c>
      <c r="N75" s="22" t="s">
        <v>990</v>
      </c>
      <c r="O75" s="24" t="s">
        <v>67</v>
      </c>
      <c r="P75" s="24" t="s">
        <v>1090</v>
      </c>
      <c r="Q75" s="25"/>
      <c r="R75" s="134" t="s">
        <v>67</v>
      </c>
      <c r="S75" s="22" t="s">
        <v>72</v>
      </c>
      <c r="T75" s="22"/>
      <c r="U75" s="22"/>
      <c r="V75" s="22">
        <v>66</v>
      </c>
      <c r="W75" s="22">
        <f t="shared" si="7"/>
        <v>66</v>
      </c>
      <c r="X75" s="22">
        <f>W75</f>
        <v>66</v>
      </c>
      <c r="Y75" s="22">
        <f>ROUNDDOWN(W75/HLOOKUP(D75,Table!$C$3:$D$4,2,0)*8,2)</f>
        <v>1.17</v>
      </c>
      <c r="Z75" s="22">
        <v>1</v>
      </c>
      <c r="AA75" s="22" t="s">
        <v>22</v>
      </c>
      <c r="AB75" s="22" t="s">
        <v>1265</v>
      </c>
      <c r="AC75" s="26">
        <v>43935</v>
      </c>
      <c r="AD75" s="26">
        <v>43938</v>
      </c>
      <c r="AE75" s="26">
        <v>43936</v>
      </c>
      <c r="AF75" s="26">
        <v>43936</v>
      </c>
      <c r="AG75" s="28" t="s">
        <v>201</v>
      </c>
      <c r="AH75" s="52">
        <v>1</v>
      </c>
      <c r="AI75" s="52">
        <v>1</v>
      </c>
      <c r="AJ75" s="52">
        <v>1</v>
      </c>
      <c r="AK75" s="28" t="s">
        <v>1077</v>
      </c>
      <c r="AL75" s="22"/>
      <c r="AM75" s="22"/>
      <c r="AN75" s="22"/>
    </row>
    <row r="76" spans="2:40" x14ac:dyDescent="0.25">
      <c r="B76" s="126">
        <v>29</v>
      </c>
      <c r="C76" s="23">
        <v>20200414</v>
      </c>
      <c r="D76" s="22" t="s">
        <v>3</v>
      </c>
      <c r="E76" s="22" t="s">
        <v>974</v>
      </c>
      <c r="F76" s="24" t="s">
        <v>981</v>
      </c>
      <c r="G76" s="24">
        <v>1416093</v>
      </c>
      <c r="H76" s="134" t="s">
        <v>67</v>
      </c>
      <c r="I76" s="21" t="s">
        <v>989</v>
      </c>
      <c r="J76" s="134" t="s">
        <v>67</v>
      </c>
      <c r="K76" s="22" t="s">
        <v>972</v>
      </c>
      <c r="L76" s="22">
        <v>80426</v>
      </c>
      <c r="M76" s="22" t="s">
        <v>978</v>
      </c>
      <c r="N76" s="22" t="s">
        <v>990</v>
      </c>
      <c r="O76" s="24" t="s">
        <v>67</v>
      </c>
      <c r="P76" s="24" t="s">
        <v>1090</v>
      </c>
      <c r="Q76" s="25"/>
      <c r="R76" s="134" t="s">
        <v>67</v>
      </c>
      <c r="S76" s="22" t="s">
        <v>72</v>
      </c>
      <c r="T76" s="22"/>
      <c r="U76" s="22"/>
      <c r="V76" s="22">
        <v>19</v>
      </c>
      <c r="W76" s="22">
        <f t="shared" si="7"/>
        <v>19</v>
      </c>
      <c r="X76" s="22">
        <f>W76</f>
        <v>19</v>
      </c>
      <c r="Y76" s="22">
        <f>ROUNDDOWN(W76/HLOOKUP(D76,Table!$C$3:$D$4,2,0)*8,2)</f>
        <v>0.33</v>
      </c>
      <c r="Z76" s="22">
        <v>1</v>
      </c>
      <c r="AA76" s="22" t="s">
        <v>22</v>
      </c>
      <c r="AB76" s="22" t="s">
        <v>1265</v>
      </c>
      <c r="AC76" s="26">
        <v>43935</v>
      </c>
      <c r="AD76" s="26">
        <v>43938</v>
      </c>
      <c r="AE76" s="26">
        <v>43936</v>
      </c>
      <c r="AF76" s="26">
        <v>43936</v>
      </c>
      <c r="AG76" s="28" t="s">
        <v>201</v>
      </c>
      <c r="AH76" s="58"/>
      <c r="AI76" s="58"/>
      <c r="AJ76" s="58"/>
      <c r="AK76" s="28" t="s">
        <v>1077</v>
      </c>
      <c r="AL76" s="22"/>
      <c r="AM76" s="22"/>
      <c r="AN76" s="22" t="s">
        <v>1266</v>
      </c>
    </row>
    <row r="77" spans="2:40" x14ac:dyDescent="0.25">
      <c r="B77" s="127">
        <v>30</v>
      </c>
      <c r="C77" s="23">
        <v>20200414</v>
      </c>
      <c r="D77" s="22" t="s">
        <v>3</v>
      </c>
      <c r="E77" s="22" t="s">
        <v>991</v>
      </c>
      <c r="F77" s="24" t="s">
        <v>992</v>
      </c>
      <c r="G77" s="24">
        <v>1416090</v>
      </c>
      <c r="H77" s="134" t="s">
        <v>67</v>
      </c>
      <c r="I77" s="22" t="s">
        <v>983</v>
      </c>
      <c r="J77" s="134" t="s">
        <v>67</v>
      </c>
      <c r="K77" s="22" t="s">
        <v>972</v>
      </c>
      <c r="L77" s="22">
        <v>80428</v>
      </c>
      <c r="M77" s="22" t="s">
        <v>978</v>
      </c>
      <c r="N77" s="22" t="s">
        <v>998</v>
      </c>
      <c r="O77" s="24" t="s">
        <v>67</v>
      </c>
      <c r="P77" s="24" t="s">
        <v>1090</v>
      </c>
      <c r="Q77" s="25"/>
      <c r="R77" s="134" t="s">
        <v>67</v>
      </c>
      <c r="S77" s="22" t="s">
        <v>932</v>
      </c>
      <c r="T77" s="22"/>
      <c r="U77" s="22"/>
      <c r="V77" s="22">
        <v>25</v>
      </c>
      <c r="W77" s="22">
        <v>25</v>
      </c>
      <c r="X77" s="22">
        <v>25</v>
      </c>
      <c r="Y77" s="22">
        <v>0.44</v>
      </c>
      <c r="Z77" s="22">
        <v>0.25</v>
      </c>
      <c r="AA77" s="22" t="s">
        <v>22</v>
      </c>
      <c r="AB77" s="22" t="s">
        <v>1265</v>
      </c>
      <c r="AC77" s="26">
        <v>43935</v>
      </c>
      <c r="AD77" s="26">
        <v>43938</v>
      </c>
      <c r="AE77" s="26">
        <v>43938</v>
      </c>
      <c r="AF77" s="26">
        <v>43938</v>
      </c>
      <c r="AG77" s="28" t="s">
        <v>201</v>
      </c>
      <c r="AH77" s="52">
        <v>1</v>
      </c>
      <c r="AI77" s="52">
        <v>1</v>
      </c>
      <c r="AJ77" s="52">
        <v>1</v>
      </c>
      <c r="AK77" s="28" t="s">
        <v>1077</v>
      </c>
      <c r="AL77" s="22"/>
      <c r="AM77" s="22"/>
      <c r="AN77" s="22"/>
    </row>
    <row r="78" spans="2:40" x14ac:dyDescent="0.25">
      <c r="B78" s="127">
        <v>31</v>
      </c>
      <c r="C78" s="23">
        <v>20200414</v>
      </c>
      <c r="D78" s="22" t="s">
        <v>3</v>
      </c>
      <c r="E78" s="22" t="s">
        <v>991</v>
      </c>
      <c r="F78" s="24" t="s">
        <v>992</v>
      </c>
      <c r="G78" s="24">
        <v>1416090</v>
      </c>
      <c r="H78" s="134" t="s">
        <v>67</v>
      </c>
      <c r="I78" s="22" t="s">
        <v>984</v>
      </c>
      <c r="J78" s="134" t="s">
        <v>67</v>
      </c>
      <c r="K78" s="22" t="s">
        <v>972</v>
      </c>
      <c r="L78" s="22">
        <v>80428</v>
      </c>
      <c r="M78" s="22" t="s">
        <v>978</v>
      </c>
      <c r="N78" s="22" t="s">
        <v>998</v>
      </c>
      <c r="O78" s="24" t="s">
        <v>67</v>
      </c>
      <c r="P78" s="24" t="s">
        <v>1090</v>
      </c>
      <c r="Q78" s="25"/>
      <c r="R78" s="134" t="s">
        <v>67</v>
      </c>
      <c r="S78" s="22" t="s">
        <v>932</v>
      </c>
      <c r="T78" s="22"/>
      <c r="U78" s="22"/>
      <c r="V78" s="22">
        <v>28</v>
      </c>
      <c r="W78" s="22">
        <v>28</v>
      </c>
      <c r="X78" s="22">
        <v>28</v>
      </c>
      <c r="Y78" s="22">
        <v>0.49</v>
      </c>
      <c r="Z78" s="22">
        <v>0.12</v>
      </c>
      <c r="AA78" s="22" t="s">
        <v>22</v>
      </c>
      <c r="AB78" s="22" t="s">
        <v>1265</v>
      </c>
      <c r="AC78" s="26">
        <v>43935</v>
      </c>
      <c r="AD78" s="26">
        <v>43938</v>
      </c>
      <c r="AE78" s="26">
        <v>43938</v>
      </c>
      <c r="AF78" s="26">
        <v>43938</v>
      </c>
      <c r="AG78" s="28" t="s">
        <v>201</v>
      </c>
      <c r="AH78" s="52">
        <v>1</v>
      </c>
      <c r="AI78" s="52">
        <v>1</v>
      </c>
      <c r="AJ78" s="52">
        <v>1</v>
      </c>
      <c r="AK78" s="28" t="s">
        <v>1077</v>
      </c>
      <c r="AL78" s="22"/>
      <c r="AM78" s="22"/>
      <c r="AN78" s="22"/>
    </row>
    <row r="79" spans="2:40" x14ac:dyDescent="0.25">
      <c r="B79" s="127">
        <v>32</v>
      </c>
      <c r="C79" s="23">
        <v>20200414</v>
      </c>
      <c r="D79" s="22" t="s">
        <v>3</v>
      </c>
      <c r="E79" s="22" t="s">
        <v>991</v>
      </c>
      <c r="F79" s="24" t="s">
        <v>992</v>
      </c>
      <c r="G79" s="24">
        <v>1416090</v>
      </c>
      <c r="H79" s="134" t="s">
        <v>67</v>
      </c>
      <c r="I79" s="22" t="s">
        <v>985</v>
      </c>
      <c r="J79" s="134" t="s">
        <v>67</v>
      </c>
      <c r="K79" s="22" t="s">
        <v>972</v>
      </c>
      <c r="L79" s="22">
        <v>80428</v>
      </c>
      <c r="M79" s="22" t="s">
        <v>978</v>
      </c>
      <c r="N79" s="22" t="s">
        <v>998</v>
      </c>
      <c r="O79" s="24" t="s">
        <v>67</v>
      </c>
      <c r="P79" s="24" t="s">
        <v>1090</v>
      </c>
      <c r="Q79" s="25"/>
      <c r="R79" s="134" t="s">
        <v>67</v>
      </c>
      <c r="S79" s="22" t="s">
        <v>932</v>
      </c>
      <c r="T79" s="22"/>
      <c r="U79" s="22"/>
      <c r="V79" s="22">
        <v>46</v>
      </c>
      <c r="W79" s="22">
        <v>46</v>
      </c>
      <c r="X79" s="22">
        <v>46</v>
      </c>
      <c r="Y79" s="22">
        <v>0.81</v>
      </c>
      <c r="Z79" s="22">
        <v>0.12</v>
      </c>
      <c r="AA79" s="22" t="s">
        <v>22</v>
      </c>
      <c r="AB79" s="22" t="s">
        <v>1265</v>
      </c>
      <c r="AC79" s="26">
        <v>43935</v>
      </c>
      <c r="AD79" s="26">
        <v>43938</v>
      </c>
      <c r="AE79" s="26">
        <v>43938</v>
      </c>
      <c r="AF79" s="26">
        <v>43938</v>
      </c>
      <c r="AG79" s="28" t="s">
        <v>201</v>
      </c>
      <c r="AH79" s="52">
        <v>1</v>
      </c>
      <c r="AI79" s="52">
        <v>1</v>
      </c>
      <c r="AJ79" s="52">
        <v>1</v>
      </c>
      <c r="AK79" s="28" t="s">
        <v>1077</v>
      </c>
      <c r="AL79" s="22"/>
      <c r="AM79" s="22"/>
      <c r="AN79" s="22"/>
    </row>
    <row r="80" spans="2:40" x14ac:dyDescent="0.25">
      <c r="B80" s="127">
        <v>33</v>
      </c>
      <c r="C80" s="23">
        <v>20200414</v>
      </c>
      <c r="D80" s="22" t="s">
        <v>3</v>
      </c>
      <c r="E80" s="22" t="s">
        <v>991</v>
      </c>
      <c r="F80" s="24" t="s">
        <v>992</v>
      </c>
      <c r="G80" s="24">
        <v>1416090</v>
      </c>
      <c r="H80" s="134" t="s">
        <v>67</v>
      </c>
      <c r="I80" s="22" t="s">
        <v>986</v>
      </c>
      <c r="J80" s="134" t="s">
        <v>67</v>
      </c>
      <c r="K80" s="22" t="s">
        <v>972</v>
      </c>
      <c r="L80" s="22">
        <v>80428</v>
      </c>
      <c r="M80" s="22" t="s">
        <v>978</v>
      </c>
      <c r="N80" s="22" t="s">
        <v>998</v>
      </c>
      <c r="O80" s="24" t="s">
        <v>67</v>
      </c>
      <c r="P80" s="24" t="s">
        <v>1090</v>
      </c>
      <c r="Q80" s="25"/>
      <c r="R80" s="134" t="s">
        <v>67</v>
      </c>
      <c r="S80" s="22" t="s">
        <v>932</v>
      </c>
      <c r="T80" s="22"/>
      <c r="U80" s="22"/>
      <c r="V80" s="22">
        <v>31</v>
      </c>
      <c r="W80" s="22">
        <v>31</v>
      </c>
      <c r="X80" s="22">
        <v>31</v>
      </c>
      <c r="Y80" s="22">
        <v>0.55000000000000004</v>
      </c>
      <c r="Z80" s="22">
        <v>0.25</v>
      </c>
      <c r="AA80" s="22" t="s">
        <v>22</v>
      </c>
      <c r="AB80" s="22" t="s">
        <v>1265</v>
      </c>
      <c r="AC80" s="26">
        <v>43935</v>
      </c>
      <c r="AD80" s="26">
        <v>43938</v>
      </c>
      <c r="AE80" s="26">
        <v>43938</v>
      </c>
      <c r="AF80" s="26">
        <v>43938</v>
      </c>
      <c r="AG80" s="28" t="s">
        <v>201</v>
      </c>
      <c r="AH80" s="52">
        <v>1</v>
      </c>
      <c r="AI80" s="52">
        <v>1</v>
      </c>
      <c r="AJ80" s="52">
        <v>1</v>
      </c>
      <c r="AK80" s="28" t="s">
        <v>1077</v>
      </c>
      <c r="AL80" s="22"/>
      <c r="AM80" s="22"/>
      <c r="AN80" s="22"/>
    </row>
    <row r="81" spans="2:40" x14ac:dyDescent="0.25">
      <c r="B81" s="127">
        <v>34</v>
      </c>
      <c r="C81" s="23">
        <v>20200414</v>
      </c>
      <c r="D81" s="22" t="s">
        <v>3</v>
      </c>
      <c r="E81" s="22" t="s">
        <v>991</v>
      </c>
      <c r="F81" s="24" t="s">
        <v>992</v>
      </c>
      <c r="G81" s="24">
        <v>1416090</v>
      </c>
      <c r="H81" s="134" t="s">
        <v>67</v>
      </c>
      <c r="I81" s="22" t="s">
        <v>987</v>
      </c>
      <c r="J81" s="134" t="s">
        <v>67</v>
      </c>
      <c r="K81" s="22" t="s">
        <v>972</v>
      </c>
      <c r="L81" s="22">
        <v>80428</v>
      </c>
      <c r="M81" s="22" t="s">
        <v>978</v>
      </c>
      <c r="N81" s="22" t="s">
        <v>998</v>
      </c>
      <c r="O81" s="24" t="s">
        <v>67</v>
      </c>
      <c r="P81" s="24" t="s">
        <v>1090</v>
      </c>
      <c r="Q81" s="25"/>
      <c r="R81" s="134" t="s">
        <v>67</v>
      </c>
      <c r="S81" s="22" t="s">
        <v>72</v>
      </c>
      <c r="T81" s="22"/>
      <c r="U81" s="22"/>
      <c r="V81" s="22">
        <v>102</v>
      </c>
      <c r="W81" s="22">
        <f t="shared" si="7"/>
        <v>102</v>
      </c>
      <c r="X81" s="22">
        <v>102</v>
      </c>
      <c r="Y81" s="22">
        <f>ROUNDDOWN(W81/HLOOKUP(D81,Table!$C$3:$D$4,2,0)*8,2)</f>
        <v>1.81</v>
      </c>
      <c r="Z81" s="22">
        <v>1</v>
      </c>
      <c r="AA81" s="22" t="s">
        <v>22</v>
      </c>
      <c r="AB81" s="22" t="s">
        <v>1265</v>
      </c>
      <c r="AC81" s="26">
        <v>43935</v>
      </c>
      <c r="AD81" s="26">
        <v>43938</v>
      </c>
      <c r="AE81" s="26">
        <v>43936</v>
      </c>
      <c r="AF81" s="26">
        <v>43936</v>
      </c>
      <c r="AG81" s="28" t="s">
        <v>201</v>
      </c>
      <c r="AH81" s="52">
        <v>1</v>
      </c>
      <c r="AI81" s="52">
        <v>1</v>
      </c>
      <c r="AJ81" s="52">
        <v>1</v>
      </c>
      <c r="AK81" s="28" t="s">
        <v>1077</v>
      </c>
      <c r="AL81" s="22"/>
      <c r="AM81" s="22"/>
      <c r="AN81" s="22"/>
    </row>
    <row r="82" spans="2:40" x14ac:dyDescent="0.25">
      <c r="B82" s="127">
        <v>35</v>
      </c>
      <c r="C82" s="23">
        <v>20200414</v>
      </c>
      <c r="D82" s="22" t="s">
        <v>3</v>
      </c>
      <c r="E82" s="22" t="s">
        <v>991</v>
      </c>
      <c r="F82" s="24" t="s">
        <v>992</v>
      </c>
      <c r="G82" s="24">
        <v>1416090</v>
      </c>
      <c r="H82" s="134" t="s">
        <v>67</v>
      </c>
      <c r="I82" s="22" t="s">
        <v>988</v>
      </c>
      <c r="J82" s="134" t="s">
        <v>67</v>
      </c>
      <c r="K82" s="22" t="s">
        <v>972</v>
      </c>
      <c r="L82" s="22">
        <v>80428</v>
      </c>
      <c r="M82" s="22" t="s">
        <v>978</v>
      </c>
      <c r="N82" s="22" t="s">
        <v>998</v>
      </c>
      <c r="O82" s="24" t="s">
        <v>67</v>
      </c>
      <c r="P82" s="24" t="s">
        <v>1090</v>
      </c>
      <c r="Q82" s="25"/>
      <c r="R82" s="134" t="s">
        <v>67</v>
      </c>
      <c r="S82" s="22" t="s">
        <v>72</v>
      </c>
      <c r="T82" s="22"/>
      <c r="U82" s="22"/>
      <c r="V82" s="22">
        <v>66</v>
      </c>
      <c r="W82" s="22">
        <f t="shared" si="7"/>
        <v>66</v>
      </c>
      <c r="X82" s="22">
        <v>66</v>
      </c>
      <c r="Y82" s="22">
        <f>ROUNDDOWN(W82/HLOOKUP(D82,Table!$C$3:$D$4,2,0)*8,2)</f>
        <v>1.17</v>
      </c>
      <c r="Z82" s="22">
        <v>1</v>
      </c>
      <c r="AA82" s="22" t="s">
        <v>22</v>
      </c>
      <c r="AB82" s="22" t="s">
        <v>1265</v>
      </c>
      <c r="AC82" s="26">
        <v>43935</v>
      </c>
      <c r="AD82" s="26">
        <v>43938</v>
      </c>
      <c r="AE82" s="26">
        <v>43936</v>
      </c>
      <c r="AF82" s="26">
        <v>43936</v>
      </c>
      <c r="AG82" s="28" t="s">
        <v>201</v>
      </c>
      <c r="AH82" s="52">
        <v>1</v>
      </c>
      <c r="AI82" s="52">
        <v>1</v>
      </c>
      <c r="AJ82" s="52">
        <v>1</v>
      </c>
      <c r="AK82" s="28" t="s">
        <v>1077</v>
      </c>
      <c r="AL82" s="22"/>
      <c r="AM82" s="22"/>
      <c r="AN82" s="22"/>
    </row>
    <row r="83" spans="2:40" x14ac:dyDescent="0.25">
      <c r="B83" s="127">
        <v>36</v>
      </c>
      <c r="C83" s="23">
        <v>20200414</v>
      </c>
      <c r="D83" s="22" t="s">
        <v>3</v>
      </c>
      <c r="E83" s="22" t="s">
        <v>991</v>
      </c>
      <c r="F83" s="24" t="s">
        <v>993</v>
      </c>
      <c r="G83" s="24">
        <v>1416090</v>
      </c>
      <c r="H83" s="134" t="s">
        <v>67</v>
      </c>
      <c r="I83" s="22" t="s">
        <v>989</v>
      </c>
      <c r="J83" s="134" t="s">
        <v>67</v>
      </c>
      <c r="K83" s="22" t="s">
        <v>972</v>
      </c>
      <c r="L83" s="22">
        <v>80428</v>
      </c>
      <c r="M83" s="22" t="s">
        <v>978</v>
      </c>
      <c r="N83" s="22" t="s">
        <v>998</v>
      </c>
      <c r="O83" s="24" t="s">
        <v>67</v>
      </c>
      <c r="P83" s="24" t="s">
        <v>1090</v>
      </c>
      <c r="Q83" s="25"/>
      <c r="R83" s="134" t="s">
        <v>67</v>
      </c>
      <c r="S83" s="22" t="s">
        <v>72</v>
      </c>
      <c r="T83" s="22"/>
      <c r="U83" s="22"/>
      <c r="V83" s="22">
        <v>19</v>
      </c>
      <c r="W83" s="22">
        <f t="shared" si="7"/>
        <v>19</v>
      </c>
      <c r="X83" s="22">
        <v>19</v>
      </c>
      <c r="Y83" s="22">
        <f>ROUNDDOWN(W83/HLOOKUP(D83,Table!$C$3:$D$4,2,0)*8,2)</f>
        <v>0.33</v>
      </c>
      <c r="Z83" s="22">
        <v>1</v>
      </c>
      <c r="AA83" s="22" t="s">
        <v>22</v>
      </c>
      <c r="AB83" s="22" t="s">
        <v>1265</v>
      </c>
      <c r="AC83" s="26">
        <v>43935</v>
      </c>
      <c r="AD83" s="26">
        <v>43938</v>
      </c>
      <c r="AE83" s="26">
        <v>43936</v>
      </c>
      <c r="AF83" s="26">
        <v>43936</v>
      </c>
      <c r="AG83" s="28" t="s">
        <v>201</v>
      </c>
      <c r="AH83" s="52"/>
      <c r="AI83" s="52"/>
      <c r="AJ83" s="52"/>
      <c r="AK83" s="28" t="s">
        <v>1077</v>
      </c>
      <c r="AL83" s="22"/>
      <c r="AM83" s="22"/>
      <c r="AN83" s="22" t="s">
        <v>1266</v>
      </c>
    </row>
    <row r="84" spans="2:40" x14ac:dyDescent="0.25">
      <c r="B84" s="127">
        <v>37</v>
      </c>
      <c r="C84" s="23">
        <v>20200414</v>
      </c>
      <c r="D84" s="22" t="s">
        <v>3</v>
      </c>
      <c r="E84" s="22" t="s">
        <v>991</v>
      </c>
      <c r="F84" s="24" t="s">
        <v>994</v>
      </c>
      <c r="G84" s="24">
        <v>1417373</v>
      </c>
      <c r="H84" s="134" t="s">
        <v>67</v>
      </c>
      <c r="I84" s="22" t="s">
        <v>982</v>
      </c>
      <c r="J84" s="134" t="s">
        <v>67</v>
      </c>
      <c r="K84" s="22" t="s">
        <v>972</v>
      </c>
      <c r="L84" s="22">
        <v>80428</v>
      </c>
      <c r="M84" s="22" t="s">
        <v>978</v>
      </c>
      <c r="N84" s="22" t="s">
        <v>998</v>
      </c>
      <c r="O84" s="24" t="s">
        <v>67</v>
      </c>
      <c r="P84" s="24" t="s">
        <v>1092</v>
      </c>
      <c r="Q84" s="25"/>
      <c r="R84" s="134" t="s">
        <v>67</v>
      </c>
      <c r="S84" s="22" t="s">
        <v>71</v>
      </c>
      <c r="T84" s="22"/>
      <c r="U84" s="22"/>
      <c r="V84" s="22">
        <v>322</v>
      </c>
      <c r="W84" s="22">
        <f t="shared" si="7"/>
        <v>322</v>
      </c>
      <c r="X84" s="22">
        <f t="shared" ref="X84:X90" si="11">W84</f>
        <v>322</v>
      </c>
      <c r="Y84" s="22">
        <f>ROUNDDOWN(W84/HLOOKUP(D84,Table!$C$3:$D$4,2,0)*8,2)</f>
        <v>5.72</v>
      </c>
      <c r="Z84" s="22">
        <v>2</v>
      </c>
      <c r="AA84" s="22" t="s">
        <v>22</v>
      </c>
      <c r="AB84" s="22" t="s">
        <v>1265</v>
      </c>
      <c r="AC84" s="26">
        <v>43935</v>
      </c>
      <c r="AD84" s="26">
        <v>43938</v>
      </c>
      <c r="AE84" s="26">
        <v>43935</v>
      </c>
      <c r="AF84" s="26">
        <v>43935</v>
      </c>
      <c r="AG84" s="28" t="s">
        <v>201</v>
      </c>
      <c r="AH84" s="52">
        <v>1</v>
      </c>
      <c r="AI84" s="52">
        <v>1</v>
      </c>
      <c r="AJ84" s="52">
        <v>1</v>
      </c>
      <c r="AK84" s="28" t="s">
        <v>1077</v>
      </c>
      <c r="AL84" s="22"/>
      <c r="AM84" s="22"/>
      <c r="AN84" s="22"/>
    </row>
    <row r="85" spans="2:40" x14ac:dyDescent="0.25">
      <c r="B85" s="127">
        <v>38</v>
      </c>
      <c r="C85" s="23">
        <v>20200414</v>
      </c>
      <c r="D85" s="22" t="s">
        <v>3</v>
      </c>
      <c r="E85" s="22" t="s">
        <v>991</v>
      </c>
      <c r="F85" s="24" t="s">
        <v>1074</v>
      </c>
      <c r="G85" s="24">
        <v>1417373</v>
      </c>
      <c r="H85" s="134" t="s">
        <v>67</v>
      </c>
      <c r="I85" s="22" t="s">
        <v>995</v>
      </c>
      <c r="J85" s="134" t="s">
        <v>67</v>
      </c>
      <c r="K85" s="22" t="s">
        <v>972</v>
      </c>
      <c r="L85" s="22">
        <v>80428</v>
      </c>
      <c r="M85" s="22" t="s">
        <v>978</v>
      </c>
      <c r="N85" s="22" t="s">
        <v>998</v>
      </c>
      <c r="O85" s="24" t="s">
        <v>67</v>
      </c>
      <c r="P85" s="24" t="s">
        <v>1092</v>
      </c>
      <c r="Q85" s="25"/>
      <c r="R85" s="134" t="s">
        <v>67</v>
      </c>
      <c r="S85" s="22" t="s">
        <v>71</v>
      </c>
      <c r="T85" s="22"/>
      <c r="U85" s="22"/>
      <c r="V85" s="22">
        <v>268</v>
      </c>
      <c r="W85" s="22">
        <f t="shared" si="7"/>
        <v>268</v>
      </c>
      <c r="X85" s="22">
        <f t="shared" si="11"/>
        <v>268</v>
      </c>
      <c r="Y85" s="22">
        <f>ROUNDDOWN(W85/HLOOKUP(D85,Table!$C$3:$D$4,2,0)*8,2)</f>
        <v>4.76</v>
      </c>
      <c r="Z85" s="22">
        <v>2</v>
      </c>
      <c r="AA85" s="22" t="s">
        <v>22</v>
      </c>
      <c r="AB85" s="22" t="s">
        <v>1265</v>
      </c>
      <c r="AC85" s="26">
        <v>43935</v>
      </c>
      <c r="AD85" s="26">
        <v>43938</v>
      </c>
      <c r="AE85" s="26">
        <v>43936</v>
      </c>
      <c r="AF85" s="26">
        <v>43936</v>
      </c>
      <c r="AG85" s="28" t="s">
        <v>201</v>
      </c>
      <c r="AH85" s="52">
        <v>1</v>
      </c>
      <c r="AI85" s="52">
        <v>1</v>
      </c>
      <c r="AJ85" s="52">
        <v>1</v>
      </c>
      <c r="AK85" s="28" t="s">
        <v>1077</v>
      </c>
      <c r="AL85" s="22"/>
      <c r="AM85" s="22"/>
      <c r="AN85" s="22"/>
    </row>
    <row r="86" spans="2:40" x14ac:dyDescent="0.25">
      <c r="B86" s="127">
        <v>39</v>
      </c>
      <c r="C86" s="23">
        <v>20200414</v>
      </c>
      <c r="D86" s="22" t="s">
        <v>3</v>
      </c>
      <c r="E86" s="22" t="s">
        <v>991</v>
      </c>
      <c r="F86" s="24" t="s">
        <v>1074</v>
      </c>
      <c r="G86" s="24">
        <v>1417373</v>
      </c>
      <c r="H86" s="134" t="s">
        <v>67</v>
      </c>
      <c r="I86" s="22" t="s">
        <v>996</v>
      </c>
      <c r="J86" s="134" t="s">
        <v>67</v>
      </c>
      <c r="K86" s="22" t="s">
        <v>972</v>
      </c>
      <c r="L86" s="22">
        <v>80428</v>
      </c>
      <c r="M86" s="22" t="s">
        <v>978</v>
      </c>
      <c r="N86" s="22" t="s">
        <v>998</v>
      </c>
      <c r="O86" s="24" t="s">
        <v>67</v>
      </c>
      <c r="P86" s="24" t="s">
        <v>1092</v>
      </c>
      <c r="Q86" s="25"/>
      <c r="R86" s="134" t="s">
        <v>67</v>
      </c>
      <c r="S86" s="22" t="s">
        <v>71</v>
      </c>
      <c r="T86" s="22"/>
      <c r="U86" s="22"/>
      <c r="V86" s="22">
        <v>275</v>
      </c>
      <c r="W86" s="22">
        <f t="shared" si="7"/>
        <v>275</v>
      </c>
      <c r="X86" s="22">
        <f t="shared" si="11"/>
        <v>275</v>
      </c>
      <c r="Y86" s="22">
        <f>ROUNDDOWN(W86/HLOOKUP(D86,Table!$C$3:$D$4,2,0)*8,2)</f>
        <v>4.88</v>
      </c>
      <c r="Z86" s="22">
        <v>2</v>
      </c>
      <c r="AA86" s="22" t="s">
        <v>22</v>
      </c>
      <c r="AB86" s="22" t="s">
        <v>1265</v>
      </c>
      <c r="AC86" s="26">
        <v>43935</v>
      </c>
      <c r="AD86" s="26">
        <v>43938</v>
      </c>
      <c r="AE86" s="26">
        <v>43936</v>
      </c>
      <c r="AF86" s="26">
        <v>43936</v>
      </c>
      <c r="AG86" s="28" t="s">
        <v>201</v>
      </c>
      <c r="AH86" s="52">
        <v>1</v>
      </c>
      <c r="AI86" s="52">
        <v>1</v>
      </c>
      <c r="AJ86" s="52">
        <v>1</v>
      </c>
      <c r="AK86" s="28" t="s">
        <v>1077</v>
      </c>
      <c r="AL86" s="22"/>
      <c r="AM86" s="22"/>
      <c r="AN86" s="22"/>
    </row>
    <row r="87" spans="2:40" x14ac:dyDescent="0.25">
      <c r="B87" s="127">
        <v>40</v>
      </c>
      <c r="C87" s="23">
        <v>20200414</v>
      </c>
      <c r="D87" s="22" t="s">
        <v>3</v>
      </c>
      <c r="E87" s="22" t="s">
        <v>991</v>
      </c>
      <c r="F87" s="24" t="s">
        <v>1074</v>
      </c>
      <c r="G87" s="24">
        <v>1417373</v>
      </c>
      <c r="H87" s="134" t="s">
        <v>67</v>
      </c>
      <c r="I87" s="22" t="s">
        <v>997</v>
      </c>
      <c r="J87" s="134" t="s">
        <v>67</v>
      </c>
      <c r="K87" s="22" t="s">
        <v>972</v>
      </c>
      <c r="L87" s="22">
        <v>80428</v>
      </c>
      <c r="M87" s="22" t="s">
        <v>978</v>
      </c>
      <c r="N87" s="22" t="s">
        <v>998</v>
      </c>
      <c r="O87" s="24" t="s">
        <v>67</v>
      </c>
      <c r="P87" s="24" t="s">
        <v>1092</v>
      </c>
      <c r="Q87" s="25"/>
      <c r="R87" s="134" t="s">
        <v>67</v>
      </c>
      <c r="S87" s="22" t="s">
        <v>71</v>
      </c>
      <c r="T87" s="22"/>
      <c r="U87" s="22"/>
      <c r="V87" s="22">
        <v>267</v>
      </c>
      <c r="W87" s="22">
        <f t="shared" si="7"/>
        <v>267</v>
      </c>
      <c r="X87" s="22">
        <f t="shared" si="11"/>
        <v>267</v>
      </c>
      <c r="Y87" s="22">
        <f>ROUNDDOWN(W87/HLOOKUP(D87,Table!$C$3:$D$4,2,0)*8,2)</f>
        <v>4.74</v>
      </c>
      <c r="Z87" s="22">
        <v>2.5</v>
      </c>
      <c r="AA87" s="22" t="s">
        <v>22</v>
      </c>
      <c r="AB87" s="22" t="s">
        <v>1265</v>
      </c>
      <c r="AC87" s="26">
        <v>43935</v>
      </c>
      <c r="AD87" s="26">
        <v>43938</v>
      </c>
      <c r="AE87" s="26">
        <v>43936</v>
      </c>
      <c r="AF87" s="26">
        <v>43936</v>
      </c>
      <c r="AG87" s="28" t="s">
        <v>201</v>
      </c>
      <c r="AH87" s="52">
        <v>1</v>
      </c>
      <c r="AI87" s="52">
        <v>1</v>
      </c>
      <c r="AJ87" s="52">
        <v>1</v>
      </c>
      <c r="AK87" s="28" t="s">
        <v>1077</v>
      </c>
      <c r="AL87" s="22"/>
      <c r="AM87" s="22"/>
      <c r="AN87" s="22"/>
    </row>
    <row r="88" spans="2:40" x14ac:dyDescent="0.25">
      <c r="B88" s="128">
        <v>41</v>
      </c>
      <c r="C88" s="23">
        <v>20200414</v>
      </c>
      <c r="D88" s="22" t="s">
        <v>3</v>
      </c>
      <c r="E88" s="22" t="s">
        <v>999</v>
      </c>
      <c r="F88" s="24" t="s">
        <v>1000</v>
      </c>
      <c r="G88" s="24">
        <v>1417493</v>
      </c>
      <c r="H88" s="134" t="s">
        <v>67</v>
      </c>
      <c r="I88" s="22" t="s">
        <v>1001</v>
      </c>
      <c r="J88" s="134" t="s">
        <v>67</v>
      </c>
      <c r="K88" s="22" t="s">
        <v>972</v>
      </c>
      <c r="L88" s="24" t="s">
        <v>1077</v>
      </c>
      <c r="M88" s="22" t="s">
        <v>1015</v>
      </c>
      <c r="N88" s="22" t="s">
        <v>1014</v>
      </c>
      <c r="O88" s="24" t="s">
        <v>67</v>
      </c>
      <c r="P88" s="24" t="s">
        <v>1094</v>
      </c>
      <c r="Q88" s="25"/>
      <c r="R88" s="134" t="s">
        <v>67</v>
      </c>
      <c r="S88" s="22" t="s">
        <v>72</v>
      </c>
      <c r="T88" s="22"/>
      <c r="U88" s="22"/>
      <c r="V88" s="22">
        <v>200</v>
      </c>
      <c r="W88" s="22">
        <f t="shared" si="7"/>
        <v>200</v>
      </c>
      <c r="X88" s="22">
        <f t="shared" si="11"/>
        <v>200</v>
      </c>
      <c r="Y88" s="22">
        <f>ROUNDDOWN(W88/HLOOKUP(D88,Table!$C$3:$D$4,2,0)*8,2)</f>
        <v>3.55</v>
      </c>
      <c r="Z88" s="22">
        <v>1</v>
      </c>
      <c r="AA88" s="22" t="s">
        <v>22</v>
      </c>
      <c r="AB88" s="22" t="s">
        <v>1265</v>
      </c>
      <c r="AC88" s="26">
        <v>43935</v>
      </c>
      <c r="AD88" s="26">
        <v>43938</v>
      </c>
      <c r="AE88" s="26">
        <v>43936</v>
      </c>
      <c r="AF88" s="26">
        <v>43936</v>
      </c>
      <c r="AG88" s="28" t="s">
        <v>201</v>
      </c>
      <c r="AH88" s="52">
        <v>1</v>
      </c>
      <c r="AI88" s="52">
        <v>1</v>
      </c>
      <c r="AJ88" s="52">
        <v>1</v>
      </c>
      <c r="AK88" s="28" t="s">
        <v>1077</v>
      </c>
      <c r="AL88" s="22"/>
      <c r="AM88" s="22"/>
      <c r="AN88" s="22"/>
    </row>
    <row r="89" spans="2:40" x14ac:dyDescent="0.25">
      <c r="B89" s="128">
        <v>42</v>
      </c>
      <c r="C89" s="23">
        <v>20200414</v>
      </c>
      <c r="D89" s="22" t="s">
        <v>3</v>
      </c>
      <c r="E89" s="22" t="s">
        <v>999</v>
      </c>
      <c r="F89" s="24" t="s">
        <v>1000</v>
      </c>
      <c r="G89" s="24">
        <v>1417493</v>
      </c>
      <c r="H89" s="134" t="s">
        <v>67</v>
      </c>
      <c r="I89" s="22" t="s">
        <v>1002</v>
      </c>
      <c r="J89" s="134" t="s">
        <v>67</v>
      </c>
      <c r="K89" s="22" t="s">
        <v>972</v>
      </c>
      <c r="L89" s="24" t="s">
        <v>1077</v>
      </c>
      <c r="M89" s="22" t="s">
        <v>1015</v>
      </c>
      <c r="N89" s="22" t="s">
        <v>1014</v>
      </c>
      <c r="O89" s="24" t="s">
        <v>67</v>
      </c>
      <c r="P89" s="24" t="s">
        <v>1094</v>
      </c>
      <c r="Q89" s="25"/>
      <c r="R89" s="134" t="s">
        <v>67</v>
      </c>
      <c r="S89" s="22" t="s">
        <v>72</v>
      </c>
      <c r="T89" s="22"/>
      <c r="U89" s="22"/>
      <c r="V89" s="22">
        <v>137</v>
      </c>
      <c r="W89" s="22">
        <f t="shared" si="7"/>
        <v>137</v>
      </c>
      <c r="X89" s="22">
        <f t="shared" si="11"/>
        <v>137</v>
      </c>
      <c r="Y89" s="22">
        <f>ROUNDDOWN(W89/HLOOKUP(D89,Table!$C$3:$D$4,2,0)*8,2)</f>
        <v>2.4300000000000002</v>
      </c>
      <c r="Z89" s="22">
        <v>1</v>
      </c>
      <c r="AA89" s="22" t="s">
        <v>22</v>
      </c>
      <c r="AB89" s="22" t="s">
        <v>1265</v>
      </c>
      <c r="AC89" s="26">
        <v>43935</v>
      </c>
      <c r="AD89" s="26">
        <v>43938</v>
      </c>
      <c r="AE89" s="26">
        <v>43936</v>
      </c>
      <c r="AF89" s="26">
        <v>43936</v>
      </c>
      <c r="AG89" s="28" t="s">
        <v>201</v>
      </c>
      <c r="AH89" s="52">
        <v>1</v>
      </c>
      <c r="AI89" s="52">
        <v>1</v>
      </c>
      <c r="AJ89" s="52">
        <v>1</v>
      </c>
      <c r="AK89" s="28" t="s">
        <v>1077</v>
      </c>
      <c r="AL89" s="22"/>
      <c r="AM89" s="22"/>
      <c r="AN89" s="22"/>
    </row>
    <row r="90" spans="2:40" x14ac:dyDescent="0.25">
      <c r="B90" s="128">
        <v>43</v>
      </c>
      <c r="C90" s="23">
        <v>20200414</v>
      </c>
      <c r="D90" s="22" t="s">
        <v>3</v>
      </c>
      <c r="E90" s="22" t="s">
        <v>999</v>
      </c>
      <c r="F90" s="24" t="s">
        <v>1000</v>
      </c>
      <c r="G90" s="24">
        <v>1417493</v>
      </c>
      <c r="H90" s="134" t="s">
        <v>67</v>
      </c>
      <c r="I90" s="22" t="s">
        <v>1003</v>
      </c>
      <c r="J90" s="134" t="s">
        <v>67</v>
      </c>
      <c r="K90" s="22" t="s">
        <v>972</v>
      </c>
      <c r="L90" s="24" t="s">
        <v>1077</v>
      </c>
      <c r="M90" s="22" t="s">
        <v>1015</v>
      </c>
      <c r="N90" s="22" t="s">
        <v>1014</v>
      </c>
      <c r="O90" s="24" t="s">
        <v>67</v>
      </c>
      <c r="P90" s="24" t="s">
        <v>1094</v>
      </c>
      <c r="Q90" s="25"/>
      <c r="R90" s="134" t="s">
        <v>67</v>
      </c>
      <c r="S90" s="22" t="s">
        <v>6</v>
      </c>
      <c r="T90" s="22"/>
      <c r="U90" s="22"/>
      <c r="V90" s="22">
        <v>343</v>
      </c>
      <c r="W90" s="22">
        <f t="shared" si="7"/>
        <v>343</v>
      </c>
      <c r="X90" s="22">
        <f t="shared" si="11"/>
        <v>343</v>
      </c>
      <c r="Y90" s="22">
        <f>ROUNDDOWN(W90/HLOOKUP(D90,Table!$C$3:$D$4,2,0)*8,2)</f>
        <v>6.09</v>
      </c>
      <c r="Z90" s="22">
        <v>6</v>
      </c>
      <c r="AA90" s="22" t="s">
        <v>22</v>
      </c>
      <c r="AB90" s="22" t="s">
        <v>1265</v>
      </c>
      <c r="AC90" s="26">
        <v>43935</v>
      </c>
      <c r="AD90" s="26">
        <v>43938</v>
      </c>
      <c r="AE90" s="26">
        <v>43938</v>
      </c>
      <c r="AF90" s="26">
        <v>43938</v>
      </c>
      <c r="AG90" s="28" t="s">
        <v>202</v>
      </c>
      <c r="AH90" s="52">
        <v>0.97</v>
      </c>
      <c r="AI90" s="52">
        <v>0.97</v>
      </c>
      <c r="AJ90" s="52">
        <v>0.81</v>
      </c>
      <c r="AK90" s="28" t="s">
        <v>852</v>
      </c>
      <c r="AL90" s="22" t="s">
        <v>1271</v>
      </c>
      <c r="AM90" s="22"/>
      <c r="AN90" s="22"/>
    </row>
    <row r="91" spans="2:40" x14ac:dyDescent="0.25">
      <c r="B91" s="128">
        <v>44</v>
      </c>
      <c r="C91" s="23">
        <v>20200414</v>
      </c>
      <c r="D91" s="22" t="s">
        <v>3</v>
      </c>
      <c r="E91" s="22" t="s">
        <v>999</v>
      </c>
      <c r="F91" s="24" t="s">
        <v>1000</v>
      </c>
      <c r="G91" s="24">
        <v>1417493</v>
      </c>
      <c r="H91" s="134" t="s">
        <v>67</v>
      </c>
      <c r="I91" s="22" t="s">
        <v>1004</v>
      </c>
      <c r="J91" s="134" t="s">
        <v>67</v>
      </c>
      <c r="K91" s="22" t="s">
        <v>972</v>
      </c>
      <c r="L91" s="24" t="s">
        <v>1077</v>
      </c>
      <c r="M91" s="22" t="s">
        <v>1015</v>
      </c>
      <c r="N91" s="22" t="s">
        <v>1014</v>
      </c>
      <c r="O91" s="24" t="s">
        <v>67</v>
      </c>
      <c r="P91" s="24" t="s">
        <v>1094</v>
      </c>
      <c r="Q91" s="25"/>
      <c r="R91" s="134" t="s">
        <v>67</v>
      </c>
      <c r="S91" s="22" t="s">
        <v>72</v>
      </c>
      <c r="T91" s="22"/>
      <c r="U91" s="22"/>
      <c r="V91" s="22">
        <v>36</v>
      </c>
      <c r="W91" s="22">
        <f t="shared" si="7"/>
        <v>36</v>
      </c>
      <c r="X91" s="22">
        <f t="shared" ref="X91:X98" si="12">W91</f>
        <v>36</v>
      </c>
      <c r="Y91" s="22">
        <f>ROUNDDOWN(W91/HLOOKUP(D91,Table!$C$3:$D$4,2,0)*8,2)</f>
        <v>0.64</v>
      </c>
      <c r="Z91" s="22">
        <v>1</v>
      </c>
      <c r="AA91" s="22" t="s">
        <v>22</v>
      </c>
      <c r="AB91" s="22" t="s">
        <v>1265</v>
      </c>
      <c r="AC91" s="26">
        <v>43935</v>
      </c>
      <c r="AD91" s="26">
        <v>43938</v>
      </c>
      <c r="AE91" s="26">
        <v>43936</v>
      </c>
      <c r="AF91" s="26">
        <v>43936</v>
      </c>
      <c r="AG91" s="28" t="s">
        <v>201</v>
      </c>
      <c r="AH91" s="52">
        <v>1</v>
      </c>
      <c r="AI91" s="52">
        <v>1</v>
      </c>
      <c r="AJ91" s="52">
        <v>1</v>
      </c>
      <c r="AK91" s="28" t="s">
        <v>1077</v>
      </c>
      <c r="AL91" s="22"/>
      <c r="AM91" s="22"/>
      <c r="AN91" s="22"/>
    </row>
    <row r="92" spans="2:40" x14ac:dyDescent="0.25">
      <c r="B92" s="128">
        <v>45</v>
      </c>
      <c r="C92" s="23">
        <v>20200414</v>
      </c>
      <c r="D92" s="22" t="s">
        <v>3</v>
      </c>
      <c r="E92" s="22" t="s">
        <v>999</v>
      </c>
      <c r="F92" s="24" t="s">
        <v>1000</v>
      </c>
      <c r="G92" s="24">
        <v>1417493</v>
      </c>
      <c r="H92" s="134" t="s">
        <v>67</v>
      </c>
      <c r="I92" s="22" t="s">
        <v>1005</v>
      </c>
      <c r="J92" s="134" t="s">
        <v>67</v>
      </c>
      <c r="K92" s="22" t="s">
        <v>972</v>
      </c>
      <c r="L92" s="24" t="s">
        <v>1077</v>
      </c>
      <c r="M92" s="22" t="s">
        <v>1015</v>
      </c>
      <c r="N92" s="22" t="s">
        <v>1014</v>
      </c>
      <c r="O92" s="24" t="s">
        <v>67</v>
      </c>
      <c r="P92" s="24" t="s">
        <v>1094</v>
      </c>
      <c r="Q92" s="25"/>
      <c r="R92" s="134" t="s">
        <v>67</v>
      </c>
      <c r="S92" s="22" t="s">
        <v>72</v>
      </c>
      <c r="T92" s="22"/>
      <c r="U92" s="22"/>
      <c r="V92" s="22">
        <v>225</v>
      </c>
      <c r="W92" s="22">
        <f t="shared" si="7"/>
        <v>225</v>
      </c>
      <c r="X92" s="22">
        <f t="shared" si="12"/>
        <v>225</v>
      </c>
      <c r="Y92" s="22">
        <f>ROUNDDOWN(W92/HLOOKUP(D92,Table!$C$3:$D$4,2,0)*8,2)</f>
        <v>4</v>
      </c>
      <c r="Z92" s="22">
        <v>5</v>
      </c>
      <c r="AA92" s="22" t="s">
        <v>22</v>
      </c>
      <c r="AB92" s="22" t="s">
        <v>1265</v>
      </c>
      <c r="AC92" s="26">
        <v>43935</v>
      </c>
      <c r="AD92" s="26">
        <v>43938</v>
      </c>
      <c r="AE92" s="26">
        <v>43936</v>
      </c>
      <c r="AF92" s="26">
        <v>43936</v>
      </c>
      <c r="AG92" s="28" t="s">
        <v>202</v>
      </c>
      <c r="AH92" s="52">
        <v>0.98</v>
      </c>
      <c r="AI92" s="52">
        <v>0.92</v>
      </c>
      <c r="AJ92" s="52">
        <v>0.33</v>
      </c>
      <c r="AK92" s="28" t="s">
        <v>852</v>
      </c>
      <c r="AL92" s="22"/>
      <c r="AM92" s="22"/>
      <c r="AN92" s="22"/>
    </row>
    <row r="93" spans="2:40" x14ac:dyDescent="0.25">
      <c r="B93" s="128">
        <v>46</v>
      </c>
      <c r="C93" s="23">
        <v>20200414</v>
      </c>
      <c r="D93" s="22" t="s">
        <v>3</v>
      </c>
      <c r="E93" s="22" t="s">
        <v>999</v>
      </c>
      <c r="F93" s="24" t="s">
        <v>1000</v>
      </c>
      <c r="G93" s="24">
        <v>1417493</v>
      </c>
      <c r="H93" s="134" t="s">
        <v>67</v>
      </c>
      <c r="I93" s="22" t="s">
        <v>1006</v>
      </c>
      <c r="J93" s="134" t="s">
        <v>67</v>
      </c>
      <c r="K93" s="22" t="s">
        <v>972</v>
      </c>
      <c r="L93" s="24" t="s">
        <v>1077</v>
      </c>
      <c r="M93" s="22" t="s">
        <v>1015</v>
      </c>
      <c r="N93" s="22" t="s">
        <v>1014</v>
      </c>
      <c r="O93" s="24" t="s">
        <v>67</v>
      </c>
      <c r="P93" s="24" t="s">
        <v>1094</v>
      </c>
      <c r="Q93" s="25"/>
      <c r="R93" s="134" t="s">
        <v>67</v>
      </c>
      <c r="S93" s="22" t="s">
        <v>71</v>
      </c>
      <c r="T93" s="22"/>
      <c r="U93" s="22"/>
      <c r="V93" s="22">
        <v>194</v>
      </c>
      <c r="W93" s="22">
        <f t="shared" si="7"/>
        <v>194</v>
      </c>
      <c r="X93" s="22">
        <f t="shared" si="12"/>
        <v>194</v>
      </c>
      <c r="Y93" s="22">
        <f>ROUNDDOWN(W93/HLOOKUP(D93,Table!$C$3:$D$4,2,0)*8,2)</f>
        <v>3.44</v>
      </c>
      <c r="Z93" s="22">
        <v>3</v>
      </c>
      <c r="AA93" s="22" t="s">
        <v>22</v>
      </c>
      <c r="AB93" s="22" t="s">
        <v>1265</v>
      </c>
      <c r="AC93" s="26">
        <v>43935</v>
      </c>
      <c r="AD93" s="26">
        <v>43938</v>
      </c>
      <c r="AE93" s="26">
        <v>43936</v>
      </c>
      <c r="AF93" s="26">
        <v>43936</v>
      </c>
      <c r="AG93" s="28" t="s">
        <v>201</v>
      </c>
      <c r="AH93" s="52">
        <v>1</v>
      </c>
      <c r="AI93" s="52">
        <v>1</v>
      </c>
      <c r="AJ93" s="52">
        <v>1</v>
      </c>
      <c r="AK93" s="28" t="s">
        <v>1077</v>
      </c>
      <c r="AL93" s="22"/>
      <c r="AM93" s="22"/>
      <c r="AN93" s="22"/>
    </row>
    <row r="94" spans="2:40" x14ac:dyDescent="0.25">
      <c r="B94" s="128">
        <v>47</v>
      </c>
      <c r="C94" s="23">
        <v>20200414</v>
      </c>
      <c r="D94" s="22" t="s">
        <v>3</v>
      </c>
      <c r="E94" s="22" t="s">
        <v>999</v>
      </c>
      <c r="F94" s="24" t="s">
        <v>1000</v>
      </c>
      <c r="G94" s="24">
        <v>1417493</v>
      </c>
      <c r="H94" s="134" t="s">
        <v>67</v>
      </c>
      <c r="I94" s="22" t="s">
        <v>1007</v>
      </c>
      <c r="J94" s="134" t="s">
        <v>67</v>
      </c>
      <c r="K94" s="22" t="s">
        <v>972</v>
      </c>
      <c r="L94" s="24" t="s">
        <v>1077</v>
      </c>
      <c r="M94" s="22" t="s">
        <v>1015</v>
      </c>
      <c r="N94" s="22" t="s">
        <v>1014</v>
      </c>
      <c r="O94" s="24" t="s">
        <v>67</v>
      </c>
      <c r="P94" s="24" t="s">
        <v>1094</v>
      </c>
      <c r="Q94" s="25"/>
      <c r="R94" s="134" t="s">
        <v>67</v>
      </c>
      <c r="S94" s="22" t="s">
        <v>71</v>
      </c>
      <c r="T94" s="22"/>
      <c r="U94" s="22"/>
      <c r="V94" s="22">
        <v>321</v>
      </c>
      <c r="W94" s="22">
        <f t="shared" si="7"/>
        <v>321</v>
      </c>
      <c r="X94" s="22">
        <f t="shared" si="12"/>
        <v>321</v>
      </c>
      <c r="Y94" s="22">
        <f>ROUNDDOWN(W94/HLOOKUP(D94,Table!$C$3:$D$4,2,0)*8,2)</f>
        <v>5.7</v>
      </c>
      <c r="Z94" s="22">
        <v>6</v>
      </c>
      <c r="AA94" s="22" t="s">
        <v>22</v>
      </c>
      <c r="AB94" s="22" t="s">
        <v>1265</v>
      </c>
      <c r="AC94" s="26">
        <v>43935</v>
      </c>
      <c r="AD94" s="26">
        <v>43938</v>
      </c>
      <c r="AE94" s="26">
        <v>43937</v>
      </c>
      <c r="AF94" s="26">
        <v>43937</v>
      </c>
      <c r="AG94" s="28" t="s">
        <v>201</v>
      </c>
      <c r="AH94" s="52">
        <v>1</v>
      </c>
      <c r="AI94" s="52">
        <v>1</v>
      </c>
      <c r="AJ94" s="52">
        <v>1</v>
      </c>
      <c r="AK94" s="28" t="s">
        <v>1077</v>
      </c>
      <c r="AL94" s="22"/>
      <c r="AM94" s="22"/>
      <c r="AN94" s="22"/>
    </row>
    <row r="95" spans="2:40" x14ac:dyDescent="0.25">
      <c r="B95" s="128">
        <v>48</v>
      </c>
      <c r="C95" s="23">
        <v>20200414</v>
      </c>
      <c r="D95" s="22" t="s">
        <v>3</v>
      </c>
      <c r="E95" s="22" t="s">
        <v>999</v>
      </c>
      <c r="F95" s="24" t="s">
        <v>1000</v>
      </c>
      <c r="G95" s="24">
        <v>1417493</v>
      </c>
      <c r="H95" s="134" t="s">
        <v>67</v>
      </c>
      <c r="I95" s="22" t="s">
        <v>1008</v>
      </c>
      <c r="J95" s="134" t="s">
        <v>67</v>
      </c>
      <c r="K95" s="22" t="s">
        <v>972</v>
      </c>
      <c r="L95" s="24" t="s">
        <v>1077</v>
      </c>
      <c r="M95" s="22" t="s">
        <v>1015</v>
      </c>
      <c r="N95" s="22" t="s">
        <v>1014</v>
      </c>
      <c r="O95" s="24" t="s">
        <v>67</v>
      </c>
      <c r="P95" s="24" t="s">
        <v>1094</v>
      </c>
      <c r="Q95" s="25"/>
      <c r="R95" s="134" t="s">
        <v>67</v>
      </c>
      <c r="S95" s="22" t="s">
        <v>71</v>
      </c>
      <c r="T95" s="22"/>
      <c r="U95" s="22"/>
      <c r="V95" s="22">
        <v>52</v>
      </c>
      <c r="W95" s="22">
        <f t="shared" si="7"/>
        <v>52</v>
      </c>
      <c r="X95" s="22">
        <f t="shared" si="12"/>
        <v>52</v>
      </c>
      <c r="Y95" s="22">
        <f>ROUNDDOWN(W95/HLOOKUP(D95,Table!$C$3:$D$4,2,0)*8,2)</f>
        <v>0.92</v>
      </c>
      <c r="Z95" s="22">
        <v>1</v>
      </c>
      <c r="AA95" s="22" t="s">
        <v>22</v>
      </c>
      <c r="AB95" s="22" t="s">
        <v>1265</v>
      </c>
      <c r="AC95" s="26">
        <v>43935</v>
      </c>
      <c r="AD95" s="26">
        <v>43938</v>
      </c>
      <c r="AE95" s="26">
        <v>43938</v>
      </c>
      <c r="AF95" s="26">
        <v>43938</v>
      </c>
      <c r="AG95" s="28" t="s">
        <v>201</v>
      </c>
      <c r="AH95" s="52">
        <v>1</v>
      </c>
      <c r="AI95" s="52">
        <v>1</v>
      </c>
      <c r="AJ95" s="52">
        <v>1</v>
      </c>
      <c r="AK95" s="28" t="s">
        <v>1077</v>
      </c>
      <c r="AL95" s="22"/>
      <c r="AM95" s="22"/>
      <c r="AN95" s="22"/>
    </row>
    <row r="96" spans="2:40" x14ac:dyDescent="0.25">
      <c r="B96" s="128">
        <v>49</v>
      </c>
      <c r="C96" s="23">
        <v>20200414</v>
      </c>
      <c r="D96" s="22" t="s">
        <v>3</v>
      </c>
      <c r="E96" s="22" t="s">
        <v>999</v>
      </c>
      <c r="F96" s="24" t="s">
        <v>1000</v>
      </c>
      <c r="G96" s="24">
        <v>1417493</v>
      </c>
      <c r="H96" s="134" t="s">
        <v>67</v>
      </c>
      <c r="I96" s="22" t="s">
        <v>1009</v>
      </c>
      <c r="J96" s="134" t="s">
        <v>67</v>
      </c>
      <c r="K96" s="22" t="s">
        <v>972</v>
      </c>
      <c r="L96" s="24" t="s">
        <v>1077</v>
      </c>
      <c r="M96" s="22" t="s">
        <v>1015</v>
      </c>
      <c r="N96" s="22" t="s">
        <v>1014</v>
      </c>
      <c r="O96" s="24" t="s">
        <v>67</v>
      </c>
      <c r="P96" s="24" t="s">
        <v>1094</v>
      </c>
      <c r="Q96" s="25"/>
      <c r="R96" s="134" t="s">
        <v>67</v>
      </c>
      <c r="S96" s="22" t="s">
        <v>71</v>
      </c>
      <c r="T96" s="22"/>
      <c r="U96" s="22"/>
      <c r="V96" s="22">
        <v>209</v>
      </c>
      <c r="W96" s="22">
        <f t="shared" si="7"/>
        <v>209</v>
      </c>
      <c r="X96" s="22">
        <f t="shared" si="12"/>
        <v>209</v>
      </c>
      <c r="Y96" s="22">
        <f>ROUNDDOWN(W96/HLOOKUP(D96,Table!$C$3:$D$4,2,0)*8,2)</f>
        <v>3.71</v>
      </c>
      <c r="Z96" s="22">
        <v>3</v>
      </c>
      <c r="AA96" s="22" t="s">
        <v>22</v>
      </c>
      <c r="AB96" s="22" t="s">
        <v>1265</v>
      </c>
      <c r="AC96" s="26">
        <v>43935</v>
      </c>
      <c r="AD96" s="26">
        <v>43938</v>
      </c>
      <c r="AE96" s="26">
        <v>43938</v>
      </c>
      <c r="AF96" s="26">
        <v>43938</v>
      </c>
      <c r="AG96" s="28" t="s">
        <v>201</v>
      </c>
      <c r="AH96" s="52">
        <v>1</v>
      </c>
      <c r="AI96" s="52">
        <v>1</v>
      </c>
      <c r="AJ96" s="52">
        <v>0.75</v>
      </c>
      <c r="AK96" s="28" t="s">
        <v>1077</v>
      </c>
      <c r="AL96" s="22"/>
      <c r="AM96" s="22"/>
      <c r="AN96" s="22"/>
    </row>
    <row r="97" spans="2:40" x14ac:dyDescent="0.25">
      <c r="B97" s="128">
        <v>50</v>
      </c>
      <c r="C97" s="23">
        <v>20200414</v>
      </c>
      <c r="D97" s="22" t="s">
        <v>3</v>
      </c>
      <c r="E97" s="22" t="s">
        <v>999</v>
      </c>
      <c r="F97" s="24" t="s">
        <v>1000</v>
      </c>
      <c r="G97" s="24">
        <v>1417493</v>
      </c>
      <c r="H97" s="134" t="s">
        <v>67</v>
      </c>
      <c r="I97" s="22" t="s">
        <v>1010</v>
      </c>
      <c r="J97" s="134" t="s">
        <v>67</v>
      </c>
      <c r="K97" s="22" t="s">
        <v>972</v>
      </c>
      <c r="L97" s="24" t="s">
        <v>1077</v>
      </c>
      <c r="M97" s="22" t="s">
        <v>1015</v>
      </c>
      <c r="N97" s="22" t="s">
        <v>1014</v>
      </c>
      <c r="O97" s="24" t="s">
        <v>67</v>
      </c>
      <c r="P97" s="24" t="s">
        <v>1094</v>
      </c>
      <c r="Q97" s="25"/>
      <c r="R97" s="134" t="s">
        <v>67</v>
      </c>
      <c r="S97" s="22" t="s">
        <v>71</v>
      </c>
      <c r="T97" s="22"/>
      <c r="U97" s="22"/>
      <c r="V97" s="22">
        <v>67</v>
      </c>
      <c r="W97" s="22">
        <f t="shared" si="7"/>
        <v>67</v>
      </c>
      <c r="X97" s="22">
        <f t="shared" si="12"/>
        <v>67</v>
      </c>
      <c r="Y97" s="22">
        <f>ROUNDDOWN(W97/HLOOKUP(D97,Table!$C$3:$D$4,2,0)*8,2)</f>
        <v>1.19</v>
      </c>
      <c r="Z97" s="22">
        <v>2</v>
      </c>
      <c r="AA97" s="22" t="s">
        <v>22</v>
      </c>
      <c r="AB97" s="22" t="s">
        <v>1265</v>
      </c>
      <c r="AC97" s="26">
        <v>43935</v>
      </c>
      <c r="AD97" s="26">
        <v>43938</v>
      </c>
      <c r="AE97" s="26">
        <v>43938</v>
      </c>
      <c r="AF97" s="26">
        <v>43938</v>
      </c>
      <c r="AG97" s="28" t="s">
        <v>201</v>
      </c>
      <c r="AH97" s="52">
        <v>1</v>
      </c>
      <c r="AI97" s="52">
        <v>1</v>
      </c>
      <c r="AJ97" s="52">
        <v>1</v>
      </c>
      <c r="AK97" s="28" t="s">
        <v>1077</v>
      </c>
      <c r="AL97" s="22"/>
      <c r="AM97" s="22"/>
      <c r="AN97" s="22"/>
    </row>
    <row r="98" spans="2:40" x14ac:dyDescent="0.25">
      <c r="B98" s="128">
        <v>51</v>
      </c>
      <c r="C98" s="23">
        <v>20200414</v>
      </c>
      <c r="D98" s="22" t="s">
        <v>3</v>
      </c>
      <c r="E98" s="22" t="s">
        <v>999</v>
      </c>
      <c r="F98" s="24" t="s">
        <v>1000</v>
      </c>
      <c r="G98" s="24">
        <v>1417493</v>
      </c>
      <c r="H98" s="134" t="s">
        <v>67</v>
      </c>
      <c r="I98" s="22" t="s">
        <v>1011</v>
      </c>
      <c r="J98" s="134" t="s">
        <v>67</v>
      </c>
      <c r="K98" s="22" t="s">
        <v>972</v>
      </c>
      <c r="L98" s="24" t="s">
        <v>1077</v>
      </c>
      <c r="M98" s="22" t="s">
        <v>1015</v>
      </c>
      <c r="N98" s="22" t="s">
        <v>1014</v>
      </c>
      <c r="O98" s="24" t="s">
        <v>67</v>
      </c>
      <c r="P98" s="24" t="s">
        <v>1094</v>
      </c>
      <c r="Q98" s="25"/>
      <c r="R98" s="134" t="s">
        <v>67</v>
      </c>
      <c r="S98" s="22" t="s">
        <v>71</v>
      </c>
      <c r="T98" s="22"/>
      <c r="U98" s="22"/>
      <c r="V98" s="22">
        <v>202</v>
      </c>
      <c r="W98" s="22">
        <f t="shared" si="7"/>
        <v>202</v>
      </c>
      <c r="X98" s="22">
        <f t="shared" si="12"/>
        <v>202</v>
      </c>
      <c r="Y98" s="22">
        <f>ROUNDDOWN(W98/HLOOKUP(D98,Table!$C$3:$D$4,2,0)*8,2)</f>
        <v>3.59</v>
      </c>
      <c r="Z98" s="22">
        <v>3</v>
      </c>
      <c r="AA98" s="22" t="s">
        <v>22</v>
      </c>
      <c r="AB98" s="22" t="s">
        <v>1265</v>
      </c>
      <c r="AC98" s="26">
        <v>43935</v>
      </c>
      <c r="AD98" s="26">
        <v>43938</v>
      </c>
      <c r="AE98" s="26">
        <v>43938</v>
      </c>
      <c r="AF98" s="26">
        <v>43938</v>
      </c>
      <c r="AG98" s="28" t="s">
        <v>201</v>
      </c>
      <c r="AH98" s="52">
        <v>1</v>
      </c>
      <c r="AI98" s="52">
        <v>1</v>
      </c>
      <c r="AJ98" s="52">
        <v>1</v>
      </c>
      <c r="AK98" s="28" t="s">
        <v>1077</v>
      </c>
      <c r="AL98" s="22"/>
      <c r="AM98" s="22"/>
      <c r="AN98" s="22"/>
    </row>
    <row r="99" spans="2:40" x14ac:dyDescent="0.25">
      <c r="B99" s="128">
        <v>52</v>
      </c>
      <c r="C99" s="23">
        <v>20200414</v>
      </c>
      <c r="D99" s="22" t="s">
        <v>3</v>
      </c>
      <c r="E99" s="22" t="s">
        <v>999</v>
      </c>
      <c r="F99" s="24" t="s">
        <v>1000</v>
      </c>
      <c r="G99" s="24">
        <v>1417493</v>
      </c>
      <c r="H99" s="134" t="s">
        <v>67</v>
      </c>
      <c r="I99" s="22" t="s">
        <v>1012</v>
      </c>
      <c r="J99" s="134" t="s">
        <v>67</v>
      </c>
      <c r="K99" s="22" t="s">
        <v>972</v>
      </c>
      <c r="L99" s="24" t="s">
        <v>1077</v>
      </c>
      <c r="M99" s="22" t="s">
        <v>1015</v>
      </c>
      <c r="N99" s="22" t="s">
        <v>1014</v>
      </c>
      <c r="O99" s="24" t="s">
        <v>67</v>
      </c>
      <c r="P99" s="24" t="s">
        <v>1094</v>
      </c>
      <c r="Q99" s="25"/>
      <c r="R99" s="134" t="s">
        <v>67</v>
      </c>
      <c r="S99" s="22" t="s">
        <v>70</v>
      </c>
      <c r="T99" s="22"/>
      <c r="U99" s="22"/>
      <c r="V99" s="22">
        <v>133</v>
      </c>
      <c r="W99" s="22">
        <f t="shared" si="7"/>
        <v>133</v>
      </c>
      <c r="X99" s="22">
        <f t="shared" ref="X99:X112" si="13">W99</f>
        <v>133</v>
      </c>
      <c r="Y99" s="22">
        <f>ROUNDDOWN(W99/HLOOKUP(D99,Table!$C$3:$D$4,2,0)*8,2)</f>
        <v>2.36</v>
      </c>
      <c r="Z99" s="22">
        <v>2</v>
      </c>
      <c r="AA99" s="22" t="s">
        <v>22</v>
      </c>
      <c r="AB99" s="22" t="s">
        <v>1265</v>
      </c>
      <c r="AC99" s="26">
        <v>43935</v>
      </c>
      <c r="AD99" s="26">
        <v>43938</v>
      </c>
      <c r="AE99" s="26">
        <v>43937</v>
      </c>
      <c r="AF99" s="26">
        <v>43937</v>
      </c>
      <c r="AG99" s="28" t="s">
        <v>201</v>
      </c>
      <c r="AH99" s="52">
        <v>1</v>
      </c>
      <c r="AI99" s="52">
        <v>1</v>
      </c>
      <c r="AJ99" s="52">
        <v>1</v>
      </c>
      <c r="AK99" s="28" t="s">
        <v>1077</v>
      </c>
      <c r="AL99" s="22"/>
      <c r="AM99" s="22"/>
      <c r="AN99" s="22"/>
    </row>
    <row r="100" spans="2:40" x14ac:dyDescent="0.25">
      <c r="B100" s="128">
        <v>53</v>
      </c>
      <c r="C100" s="23">
        <v>20200414</v>
      </c>
      <c r="D100" s="22" t="s">
        <v>3</v>
      </c>
      <c r="E100" s="22" t="s">
        <v>999</v>
      </c>
      <c r="F100" s="24" t="s">
        <v>1000</v>
      </c>
      <c r="G100" s="24">
        <v>1417493</v>
      </c>
      <c r="H100" s="134" t="s">
        <v>67</v>
      </c>
      <c r="I100" s="22" t="s">
        <v>1013</v>
      </c>
      <c r="J100" s="134" t="s">
        <v>67</v>
      </c>
      <c r="K100" s="22" t="s">
        <v>972</v>
      </c>
      <c r="L100" s="24" t="s">
        <v>1077</v>
      </c>
      <c r="M100" s="22" t="s">
        <v>1015</v>
      </c>
      <c r="N100" s="22" t="s">
        <v>1014</v>
      </c>
      <c r="O100" s="24" t="s">
        <v>67</v>
      </c>
      <c r="P100" s="24" t="s">
        <v>1094</v>
      </c>
      <c r="Q100" s="25"/>
      <c r="R100" s="134" t="s">
        <v>67</v>
      </c>
      <c r="S100" s="22" t="s">
        <v>70</v>
      </c>
      <c r="T100" s="22"/>
      <c r="U100" s="22"/>
      <c r="V100" s="22">
        <v>141</v>
      </c>
      <c r="W100" s="22">
        <f t="shared" si="7"/>
        <v>141</v>
      </c>
      <c r="X100" s="22">
        <f t="shared" si="13"/>
        <v>141</v>
      </c>
      <c r="Y100" s="22">
        <f>ROUNDDOWN(W100/HLOOKUP(D100,Table!$C$3:$D$4,2,0)*8,2)</f>
        <v>2.5</v>
      </c>
      <c r="Z100" s="22">
        <v>1</v>
      </c>
      <c r="AA100" s="22" t="s">
        <v>22</v>
      </c>
      <c r="AB100" s="22" t="s">
        <v>1265</v>
      </c>
      <c r="AC100" s="26">
        <v>43935</v>
      </c>
      <c r="AD100" s="26">
        <v>43938</v>
      </c>
      <c r="AE100" s="26">
        <v>43937</v>
      </c>
      <c r="AF100" s="26">
        <v>43937</v>
      </c>
      <c r="AG100" s="28" t="s">
        <v>201</v>
      </c>
      <c r="AH100" s="52">
        <v>1</v>
      </c>
      <c r="AI100" s="52">
        <v>1</v>
      </c>
      <c r="AJ100" s="52">
        <v>1</v>
      </c>
      <c r="AK100" s="28" t="s">
        <v>1077</v>
      </c>
      <c r="AL100" s="22"/>
      <c r="AM100" s="22"/>
      <c r="AN100" s="22"/>
    </row>
    <row r="101" spans="2:40" x14ac:dyDescent="0.25">
      <c r="B101" s="104">
        <v>54</v>
      </c>
      <c r="C101" s="23">
        <v>20200414</v>
      </c>
      <c r="D101" s="22" t="s">
        <v>3</v>
      </c>
      <c r="E101" s="22" t="s">
        <v>1016</v>
      </c>
      <c r="F101" s="24" t="s">
        <v>1018</v>
      </c>
      <c r="G101" s="24">
        <v>1416608</v>
      </c>
      <c r="H101" s="134" t="s">
        <v>67</v>
      </c>
      <c r="I101" s="22" t="s">
        <v>1019</v>
      </c>
      <c r="J101" s="134" t="s">
        <v>67</v>
      </c>
      <c r="K101" s="22" t="s">
        <v>972</v>
      </c>
      <c r="L101" s="24">
        <v>81003</v>
      </c>
      <c r="M101" s="22" t="s">
        <v>1017</v>
      </c>
      <c r="N101" s="22" t="s">
        <v>971</v>
      </c>
      <c r="O101" s="24" t="s">
        <v>67</v>
      </c>
      <c r="P101" s="24" t="s">
        <v>1093</v>
      </c>
      <c r="Q101" s="25"/>
      <c r="R101" s="134" t="s">
        <v>67</v>
      </c>
      <c r="S101" s="22" t="s">
        <v>70</v>
      </c>
      <c r="T101" s="22"/>
      <c r="U101" s="22"/>
      <c r="V101" s="22">
        <v>84</v>
      </c>
      <c r="W101" s="22">
        <f t="shared" si="7"/>
        <v>84</v>
      </c>
      <c r="X101" s="22">
        <f t="shared" si="13"/>
        <v>84</v>
      </c>
      <c r="Y101" s="22">
        <f>ROUNDDOWN(W101/HLOOKUP(D101,Table!$C$3:$D$4,2,0)*8,2)</f>
        <v>1.49</v>
      </c>
      <c r="Z101" s="22">
        <v>0.5</v>
      </c>
      <c r="AA101" s="22" t="s">
        <v>22</v>
      </c>
      <c r="AB101" s="22" t="s">
        <v>1265</v>
      </c>
      <c r="AC101" s="26">
        <v>43935</v>
      </c>
      <c r="AD101" s="26">
        <v>43938</v>
      </c>
      <c r="AE101" s="26">
        <v>43936</v>
      </c>
      <c r="AF101" s="26">
        <v>43936</v>
      </c>
      <c r="AG101" s="28" t="s">
        <v>201</v>
      </c>
      <c r="AH101" s="52">
        <v>1</v>
      </c>
      <c r="AI101" s="52">
        <v>1</v>
      </c>
      <c r="AJ101" s="52">
        <v>1</v>
      </c>
      <c r="AK101" s="28" t="s">
        <v>1077</v>
      </c>
      <c r="AL101" s="22"/>
      <c r="AM101" s="22"/>
      <c r="AN101" s="22"/>
    </row>
    <row r="102" spans="2:40" x14ac:dyDescent="0.25">
      <c r="B102" s="104">
        <v>55</v>
      </c>
      <c r="C102" s="23">
        <v>20200414</v>
      </c>
      <c r="D102" s="22" t="s">
        <v>3</v>
      </c>
      <c r="E102" s="22" t="s">
        <v>1016</v>
      </c>
      <c r="F102" s="24" t="s">
        <v>1018</v>
      </c>
      <c r="G102" s="24">
        <v>1416608</v>
      </c>
      <c r="H102" s="134" t="s">
        <v>67</v>
      </c>
      <c r="I102" s="22" t="s">
        <v>1020</v>
      </c>
      <c r="J102" s="134" t="s">
        <v>67</v>
      </c>
      <c r="K102" s="22" t="s">
        <v>972</v>
      </c>
      <c r="L102" s="24">
        <v>81003</v>
      </c>
      <c r="M102" s="22" t="s">
        <v>1017</v>
      </c>
      <c r="N102" s="22" t="s">
        <v>971</v>
      </c>
      <c r="O102" s="24" t="s">
        <v>67</v>
      </c>
      <c r="P102" s="24" t="s">
        <v>1093</v>
      </c>
      <c r="Q102" s="25"/>
      <c r="R102" s="134" t="s">
        <v>67</v>
      </c>
      <c r="S102" s="22" t="s">
        <v>70</v>
      </c>
      <c r="T102" s="22"/>
      <c r="U102" s="22"/>
      <c r="V102" s="22">
        <v>106</v>
      </c>
      <c r="W102" s="22">
        <f t="shared" si="7"/>
        <v>106</v>
      </c>
      <c r="X102" s="22">
        <f t="shared" si="13"/>
        <v>106</v>
      </c>
      <c r="Y102" s="22">
        <f>ROUNDDOWN(W102/HLOOKUP(D102,Table!$C$3:$D$4,2,0)*8,2)</f>
        <v>1.88</v>
      </c>
      <c r="Z102" s="22">
        <v>0.5</v>
      </c>
      <c r="AA102" s="22" t="s">
        <v>22</v>
      </c>
      <c r="AB102" s="22" t="s">
        <v>1265</v>
      </c>
      <c r="AC102" s="26">
        <v>43935</v>
      </c>
      <c r="AD102" s="26">
        <v>43938</v>
      </c>
      <c r="AE102" s="26">
        <v>43936</v>
      </c>
      <c r="AF102" s="26">
        <v>43936</v>
      </c>
      <c r="AG102" s="28" t="s">
        <v>201</v>
      </c>
      <c r="AH102" s="52">
        <v>1</v>
      </c>
      <c r="AI102" s="52">
        <v>1</v>
      </c>
      <c r="AJ102" s="52">
        <v>1</v>
      </c>
      <c r="AK102" s="28" t="s">
        <v>1077</v>
      </c>
      <c r="AL102" s="22"/>
      <c r="AM102" s="22"/>
      <c r="AN102" s="22"/>
    </row>
    <row r="103" spans="2:40" x14ac:dyDescent="0.25">
      <c r="B103" s="104">
        <v>56</v>
      </c>
      <c r="C103" s="23">
        <v>20200414</v>
      </c>
      <c r="D103" s="22" t="s">
        <v>3</v>
      </c>
      <c r="E103" s="22" t="s">
        <v>1016</v>
      </c>
      <c r="F103" s="24" t="s">
        <v>1018</v>
      </c>
      <c r="G103" s="24">
        <v>1416608</v>
      </c>
      <c r="H103" s="134" t="s">
        <v>67</v>
      </c>
      <c r="I103" s="22" t="s">
        <v>1021</v>
      </c>
      <c r="J103" s="134" t="s">
        <v>67</v>
      </c>
      <c r="K103" s="22" t="s">
        <v>972</v>
      </c>
      <c r="L103" s="24">
        <v>81003</v>
      </c>
      <c r="M103" s="22" t="s">
        <v>1017</v>
      </c>
      <c r="N103" s="22" t="s">
        <v>971</v>
      </c>
      <c r="O103" s="24" t="s">
        <v>67</v>
      </c>
      <c r="P103" s="24" t="s">
        <v>1093</v>
      </c>
      <c r="Q103" s="25"/>
      <c r="R103" s="134" t="s">
        <v>67</v>
      </c>
      <c r="S103" s="22" t="s">
        <v>70</v>
      </c>
      <c r="T103" s="22"/>
      <c r="U103" s="22"/>
      <c r="V103" s="22">
        <v>259</v>
      </c>
      <c r="W103" s="22">
        <f t="shared" si="7"/>
        <v>259</v>
      </c>
      <c r="X103" s="22">
        <f t="shared" si="13"/>
        <v>259</v>
      </c>
      <c r="Y103" s="22">
        <f>ROUNDDOWN(W103/HLOOKUP(D103,Table!$C$3:$D$4,2,0)*8,2)</f>
        <v>4.5999999999999996</v>
      </c>
      <c r="Z103" s="22">
        <v>1</v>
      </c>
      <c r="AA103" s="22" t="s">
        <v>22</v>
      </c>
      <c r="AB103" s="22" t="s">
        <v>1265</v>
      </c>
      <c r="AC103" s="26">
        <v>43935</v>
      </c>
      <c r="AD103" s="26">
        <v>43938</v>
      </c>
      <c r="AE103" s="26">
        <v>43937</v>
      </c>
      <c r="AF103" s="26">
        <v>43937</v>
      </c>
      <c r="AG103" s="28" t="s">
        <v>202</v>
      </c>
      <c r="AH103" s="52">
        <v>1</v>
      </c>
      <c r="AI103" s="52">
        <v>1</v>
      </c>
      <c r="AJ103" s="52">
        <v>0.94</v>
      </c>
      <c r="AK103" s="28" t="s">
        <v>852</v>
      </c>
      <c r="AL103" s="22" t="s">
        <v>1116</v>
      </c>
      <c r="AM103" s="22"/>
      <c r="AN103" s="22"/>
    </row>
    <row r="104" spans="2:40" x14ac:dyDescent="0.25">
      <c r="B104" s="104">
        <v>57</v>
      </c>
      <c r="C104" s="23">
        <v>20200414</v>
      </c>
      <c r="D104" s="22" t="s">
        <v>3</v>
      </c>
      <c r="E104" s="22" t="s">
        <v>1016</v>
      </c>
      <c r="F104" s="24" t="s">
        <v>1018</v>
      </c>
      <c r="G104" s="24">
        <v>1416608</v>
      </c>
      <c r="H104" s="134" t="s">
        <v>67</v>
      </c>
      <c r="I104" s="22" t="s">
        <v>1022</v>
      </c>
      <c r="J104" s="134" t="s">
        <v>67</v>
      </c>
      <c r="K104" s="22" t="s">
        <v>972</v>
      </c>
      <c r="L104" s="24">
        <v>81003</v>
      </c>
      <c r="M104" s="22" t="s">
        <v>1017</v>
      </c>
      <c r="N104" s="22" t="s">
        <v>971</v>
      </c>
      <c r="O104" s="24" t="s">
        <v>67</v>
      </c>
      <c r="P104" s="24" t="s">
        <v>1093</v>
      </c>
      <c r="Q104" s="25"/>
      <c r="R104" s="134" t="s">
        <v>67</v>
      </c>
      <c r="S104" s="22" t="s">
        <v>70</v>
      </c>
      <c r="T104" s="22"/>
      <c r="U104" s="22"/>
      <c r="V104" s="22">
        <v>140</v>
      </c>
      <c r="W104" s="22">
        <f t="shared" si="7"/>
        <v>140</v>
      </c>
      <c r="X104" s="22">
        <f t="shared" si="13"/>
        <v>140</v>
      </c>
      <c r="Y104" s="22">
        <f>ROUNDDOWN(W104/HLOOKUP(D104,Table!$C$3:$D$4,2,0)*8,2)</f>
        <v>2.48</v>
      </c>
      <c r="Z104" s="22">
        <v>1</v>
      </c>
      <c r="AA104" s="22" t="s">
        <v>22</v>
      </c>
      <c r="AB104" s="22" t="s">
        <v>1265</v>
      </c>
      <c r="AC104" s="26">
        <v>43935</v>
      </c>
      <c r="AD104" s="26">
        <v>43938</v>
      </c>
      <c r="AE104" s="26">
        <v>43937</v>
      </c>
      <c r="AF104" s="26">
        <v>43937</v>
      </c>
      <c r="AG104" s="28" t="s">
        <v>201</v>
      </c>
      <c r="AH104" s="52">
        <v>1</v>
      </c>
      <c r="AI104" s="52">
        <v>1</v>
      </c>
      <c r="AJ104" s="52">
        <v>1</v>
      </c>
      <c r="AK104" s="28" t="s">
        <v>1077</v>
      </c>
      <c r="AL104" s="22"/>
      <c r="AM104" s="22"/>
      <c r="AN104" s="22"/>
    </row>
    <row r="105" spans="2:40" x14ac:dyDescent="0.25">
      <c r="B105" s="104">
        <v>58</v>
      </c>
      <c r="C105" s="23">
        <v>20200414</v>
      </c>
      <c r="D105" s="22" t="s">
        <v>3</v>
      </c>
      <c r="E105" s="22" t="s">
        <v>1016</v>
      </c>
      <c r="F105" s="24" t="s">
        <v>1018</v>
      </c>
      <c r="G105" s="24">
        <v>1416608</v>
      </c>
      <c r="H105" s="134" t="s">
        <v>67</v>
      </c>
      <c r="I105" s="22" t="s">
        <v>1023</v>
      </c>
      <c r="J105" s="134" t="s">
        <v>67</v>
      </c>
      <c r="K105" s="22" t="s">
        <v>972</v>
      </c>
      <c r="L105" s="24">
        <v>81003</v>
      </c>
      <c r="M105" s="22" t="s">
        <v>1017</v>
      </c>
      <c r="N105" s="22" t="s">
        <v>971</v>
      </c>
      <c r="O105" s="24" t="s">
        <v>67</v>
      </c>
      <c r="P105" s="24" t="s">
        <v>1093</v>
      </c>
      <c r="Q105" s="25"/>
      <c r="R105" s="134" t="s">
        <v>67</v>
      </c>
      <c r="S105" s="22" t="s">
        <v>70</v>
      </c>
      <c r="T105" s="22"/>
      <c r="U105" s="22"/>
      <c r="V105" s="22">
        <v>77</v>
      </c>
      <c r="W105" s="22">
        <f t="shared" si="7"/>
        <v>77</v>
      </c>
      <c r="X105" s="22">
        <f t="shared" si="13"/>
        <v>77</v>
      </c>
      <c r="Y105" s="22">
        <f>ROUNDDOWN(W105/HLOOKUP(D105,Table!$C$3:$D$4,2,0)*8,2)</f>
        <v>1.36</v>
      </c>
      <c r="Z105" s="22">
        <v>1</v>
      </c>
      <c r="AA105" s="22" t="s">
        <v>22</v>
      </c>
      <c r="AB105" s="22" t="s">
        <v>1265</v>
      </c>
      <c r="AC105" s="26">
        <v>43935</v>
      </c>
      <c r="AD105" s="26">
        <v>43938</v>
      </c>
      <c r="AE105" s="26">
        <v>43937</v>
      </c>
      <c r="AF105" s="26">
        <v>43937</v>
      </c>
      <c r="AG105" s="28" t="s">
        <v>201</v>
      </c>
      <c r="AH105" s="52">
        <v>1</v>
      </c>
      <c r="AI105" s="52">
        <v>1</v>
      </c>
      <c r="AJ105" s="52">
        <v>1</v>
      </c>
      <c r="AK105" s="28" t="s">
        <v>1077</v>
      </c>
      <c r="AL105" s="22"/>
      <c r="AM105" s="22"/>
      <c r="AN105" s="22"/>
    </row>
    <row r="106" spans="2:40" x14ac:dyDescent="0.25">
      <c r="B106" s="104">
        <v>59</v>
      </c>
      <c r="C106" s="23">
        <v>20200414</v>
      </c>
      <c r="D106" s="22" t="s">
        <v>3</v>
      </c>
      <c r="E106" s="22" t="s">
        <v>1016</v>
      </c>
      <c r="F106" s="24" t="s">
        <v>1018</v>
      </c>
      <c r="G106" s="24">
        <v>1416608</v>
      </c>
      <c r="H106" s="134" t="s">
        <v>67</v>
      </c>
      <c r="I106" s="22" t="s">
        <v>1024</v>
      </c>
      <c r="J106" s="134" t="s">
        <v>67</v>
      </c>
      <c r="K106" s="22" t="s">
        <v>972</v>
      </c>
      <c r="L106" s="24">
        <v>81003</v>
      </c>
      <c r="M106" s="22" t="s">
        <v>1017</v>
      </c>
      <c r="N106" s="22" t="s">
        <v>971</v>
      </c>
      <c r="O106" s="24" t="s">
        <v>67</v>
      </c>
      <c r="P106" s="24" t="s">
        <v>1093</v>
      </c>
      <c r="Q106" s="25"/>
      <c r="R106" s="134" t="s">
        <v>67</v>
      </c>
      <c r="S106" s="22" t="s">
        <v>70</v>
      </c>
      <c r="T106" s="22"/>
      <c r="U106" s="22"/>
      <c r="V106" s="22">
        <v>53</v>
      </c>
      <c r="W106" s="22">
        <f t="shared" si="7"/>
        <v>53</v>
      </c>
      <c r="X106" s="22">
        <f t="shared" si="13"/>
        <v>53</v>
      </c>
      <c r="Y106" s="22">
        <f>ROUNDDOWN(W106/HLOOKUP(D106,Table!$C$3:$D$4,2,0)*8,2)</f>
        <v>0.94</v>
      </c>
      <c r="Z106" s="22">
        <v>1</v>
      </c>
      <c r="AA106" s="22" t="s">
        <v>22</v>
      </c>
      <c r="AB106" s="22" t="s">
        <v>1265</v>
      </c>
      <c r="AC106" s="26">
        <v>43935</v>
      </c>
      <c r="AD106" s="26">
        <v>43938</v>
      </c>
      <c r="AE106" s="26">
        <v>43937</v>
      </c>
      <c r="AF106" s="26">
        <v>43937</v>
      </c>
      <c r="AG106" s="28" t="s">
        <v>202</v>
      </c>
      <c r="AH106" s="52">
        <v>1</v>
      </c>
      <c r="AI106" s="52">
        <v>1</v>
      </c>
      <c r="AJ106" s="52">
        <v>1</v>
      </c>
      <c r="AK106" s="28" t="s">
        <v>852</v>
      </c>
      <c r="AL106" s="22"/>
      <c r="AM106" s="22"/>
      <c r="AN106" s="22" t="s">
        <v>1117</v>
      </c>
    </row>
    <row r="107" spans="2:40" x14ac:dyDescent="0.25">
      <c r="B107" s="104">
        <v>60</v>
      </c>
      <c r="C107" s="23">
        <v>20200414</v>
      </c>
      <c r="D107" s="22" t="s">
        <v>3</v>
      </c>
      <c r="E107" s="22" t="s">
        <v>1016</v>
      </c>
      <c r="F107" s="24" t="s">
        <v>1018</v>
      </c>
      <c r="G107" s="24">
        <v>1416608</v>
      </c>
      <c r="H107" s="134" t="s">
        <v>67</v>
      </c>
      <c r="I107" s="22" t="s">
        <v>1025</v>
      </c>
      <c r="J107" s="134" t="s">
        <v>67</v>
      </c>
      <c r="K107" s="22" t="s">
        <v>972</v>
      </c>
      <c r="L107" s="24">
        <v>81003</v>
      </c>
      <c r="M107" s="22" t="s">
        <v>1017</v>
      </c>
      <c r="N107" s="22" t="s">
        <v>971</v>
      </c>
      <c r="O107" s="24" t="s">
        <v>67</v>
      </c>
      <c r="P107" s="24" t="s">
        <v>1093</v>
      </c>
      <c r="Q107" s="25"/>
      <c r="R107" s="134" t="s">
        <v>67</v>
      </c>
      <c r="S107" s="22" t="s">
        <v>70</v>
      </c>
      <c r="T107" s="22"/>
      <c r="U107" s="22"/>
      <c r="V107" s="22">
        <v>160</v>
      </c>
      <c r="W107" s="22">
        <f t="shared" si="7"/>
        <v>160</v>
      </c>
      <c r="X107" s="22">
        <f t="shared" si="13"/>
        <v>160</v>
      </c>
      <c r="Y107" s="22">
        <f>ROUNDDOWN(W107/HLOOKUP(D107,Table!$C$3:$D$4,2,0)*8,2)</f>
        <v>2.84</v>
      </c>
      <c r="Z107" s="22">
        <v>1</v>
      </c>
      <c r="AA107" s="22" t="s">
        <v>22</v>
      </c>
      <c r="AB107" s="22" t="s">
        <v>1265</v>
      </c>
      <c r="AC107" s="26">
        <v>43935</v>
      </c>
      <c r="AD107" s="26">
        <v>43938</v>
      </c>
      <c r="AE107" s="26">
        <v>43937</v>
      </c>
      <c r="AF107" s="26">
        <v>43937</v>
      </c>
      <c r="AG107" s="28" t="s">
        <v>201</v>
      </c>
      <c r="AH107" s="52">
        <v>1</v>
      </c>
      <c r="AI107" s="52">
        <v>1</v>
      </c>
      <c r="AJ107" s="52">
        <v>1</v>
      </c>
      <c r="AK107" s="28" t="s">
        <v>1077</v>
      </c>
      <c r="AL107" s="22"/>
      <c r="AM107" s="22"/>
      <c r="AN107" s="22"/>
    </row>
    <row r="108" spans="2:40" x14ac:dyDescent="0.25">
      <c r="B108" s="104">
        <v>61</v>
      </c>
      <c r="C108" s="23">
        <v>20200414</v>
      </c>
      <c r="D108" s="22" t="s">
        <v>3</v>
      </c>
      <c r="E108" s="22" t="s">
        <v>1016</v>
      </c>
      <c r="F108" s="24" t="s">
        <v>1018</v>
      </c>
      <c r="G108" s="24">
        <v>1416608</v>
      </c>
      <c r="H108" s="134" t="s">
        <v>67</v>
      </c>
      <c r="I108" s="22" t="s">
        <v>1026</v>
      </c>
      <c r="J108" s="134" t="s">
        <v>67</v>
      </c>
      <c r="K108" s="22" t="s">
        <v>972</v>
      </c>
      <c r="L108" s="24">
        <v>81003</v>
      </c>
      <c r="M108" s="22" t="s">
        <v>1017</v>
      </c>
      <c r="N108" s="22" t="s">
        <v>971</v>
      </c>
      <c r="O108" s="24" t="s">
        <v>67</v>
      </c>
      <c r="P108" s="24" t="s">
        <v>1093</v>
      </c>
      <c r="Q108" s="25"/>
      <c r="R108" s="134" t="s">
        <v>67</v>
      </c>
      <c r="S108" s="22" t="s">
        <v>6</v>
      </c>
      <c r="T108" s="22"/>
      <c r="U108" s="22"/>
      <c r="V108" s="22">
        <v>436</v>
      </c>
      <c r="W108" s="22">
        <f t="shared" si="7"/>
        <v>436</v>
      </c>
      <c r="X108" s="22">
        <f t="shared" si="13"/>
        <v>436</v>
      </c>
      <c r="Y108" s="22">
        <f>ROUNDDOWN(W108/HLOOKUP(D108,Table!$C$3:$D$4,2,0)*8,2)</f>
        <v>7.75</v>
      </c>
      <c r="Z108" s="22">
        <v>1</v>
      </c>
      <c r="AA108" s="22" t="s">
        <v>22</v>
      </c>
      <c r="AB108" s="22" t="s">
        <v>1265</v>
      </c>
      <c r="AC108" s="26">
        <v>43935</v>
      </c>
      <c r="AD108" s="26">
        <v>43938</v>
      </c>
      <c r="AE108" s="26">
        <v>43937</v>
      </c>
      <c r="AF108" s="26">
        <v>43937</v>
      </c>
      <c r="AG108" s="28" t="s">
        <v>201</v>
      </c>
      <c r="AH108" s="52">
        <v>1</v>
      </c>
      <c r="AI108" s="52">
        <v>1</v>
      </c>
      <c r="AJ108" s="52">
        <v>1</v>
      </c>
      <c r="AK108" s="28" t="s">
        <v>1077</v>
      </c>
      <c r="AL108" s="22"/>
      <c r="AM108" s="22"/>
      <c r="AN108" s="22"/>
    </row>
    <row r="109" spans="2:40" x14ac:dyDescent="0.25">
      <c r="B109" s="104">
        <v>62</v>
      </c>
      <c r="C109" s="23">
        <v>20200414</v>
      </c>
      <c r="D109" s="22" t="s">
        <v>3</v>
      </c>
      <c r="E109" s="22" t="s">
        <v>1016</v>
      </c>
      <c r="F109" s="24" t="s">
        <v>1018</v>
      </c>
      <c r="G109" s="24">
        <v>1416608</v>
      </c>
      <c r="H109" s="134" t="s">
        <v>67</v>
      </c>
      <c r="I109" s="22" t="s">
        <v>1027</v>
      </c>
      <c r="J109" s="134" t="s">
        <v>67</v>
      </c>
      <c r="K109" s="22" t="s">
        <v>972</v>
      </c>
      <c r="L109" s="24">
        <v>81003</v>
      </c>
      <c r="M109" s="22" t="s">
        <v>1017</v>
      </c>
      <c r="N109" s="22" t="s">
        <v>971</v>
      </c>
      <c r="O109" s="24" t="s">
        <v>67</v>
      </c>
      <c r="P109" s="24" t="s">
        <v>1093</v>
      </c>
      <c r="Q109" s="25"/>
      <c r="R109" s="134" t="s">
        <v>67</v>
      </c>
      <c r="S109" s="22" t="s">
        <v>6</v>
      </c>
      <c r="T109" s="22"/>
      <c r="U109" s="22"/>
      <c r="V109" s="22">
        <v>55</v>
      </c>
      <c r="W109" s="22">
        <f t="shared" si="7"/>
        <v>55</v>
      </c>
      <c r="X109" s="22">
        <f t="shared" si="13"/>
        <v>55</v>
      </c>
      <c r="Y109" s="22">
        <f>ROUNDDOWN(W109/HLOOKUP(D109,Table!$C$3:$D$4,2,0)*8,2)</f>
        <v>0.97</v>
      </c>
      <c r="Z109" s="22">
        <v>1</v>
      </c>
      <c r="AA109" s="22" t="s">
        <v>22</v>
      </c>
      <c r="AB109" s="22" t="s">
        <v>1265</v>
      </c>
      <c r="AC109" s="26">
        <v>43935</v>
      </c>
      <c r="AD109" s="26">
        <v>43938</v>
      </c>
      <c r="AE109" s="26">
        <v>43937</v>
      </c>
      <c r="AF109" s="26">
        <v>43937</v>
      </c>
      <c r="AG109" s="28" t="s">
        <v>201</v>
      </c>
      <c r="AH109" s="52">
        <v>1</v>
      </c>
      <c r="AI109" s="52">
        <v>1</v>
      </c>
      <c r="AJ109" s="52">
        <v>1</v>
      </c>
      <c r="AK109" s="28" t="s">
        <v>1077</v>
      </c>
      <c r="AL109" s="22"/>
      <c r="AM109" s="22"/>
      <c r="AN109" s="22"/>
    </row>
    <row r="110" spans="2:40" x14ac:dyDescent="0.25">
      <c r="B110" s="104">
        <v>63</v>
      </c>
      <c r="C110" s="23">
        <v>20200414</v>
      </c>
      <c r="D110" s="22" t="s">
        <v>3</v>
      </c>
      <c r="E110" s="22" t="s">
        <v>1016</v>
      </c>
      <c r="F110" s="24" t="s">
        <v>1018</v>
      </c>
      <c r="G110" s="24">
        <v>1416608</v>
      </c>
      <c r="H110" s="134" t="s">
        <v>67</v>
      </c>
      <c r="I110" s="22" t="s">
        <v>1028</v>
      </c>
      <c r="J110" s="134" t="s">
        <v>67</v>
      </c>
      <c r="K110" s="22" t="s">
        <v>972</v>
      </c>
      <c r="L110" s="24">
        <v>81003</v>
      </c>
      <c r="M110" s="22" t="s">
        <v>1017</v>
      </c>
      <c r="N110" s="22" t="s">
        <v>971</v>
      </c>
      <c r="O110" s="24" t="s">
        <v>67</v>
      </c>
      <c r="P110" s="24" t="s">
        <v>1093</v>
      </c>
      <c r="Q110" s="25"/>
      <c r="R110" s="134" t="s">
        <v>67</v>
      </c>
      <c r="S110" s="22" t="s">
        <v>6</v>
      </c>
      <c r="T110" s="22"/>
      <c r="U110" s="22"/>
      <c r="V110" s="22">
        <v>200</v>
      </c>
      <c r="W110" s="22">
        <f t="shared" si="7"/>
        <v>200</v>
      </c>
      <c r="X110" s="22">
        <f t="shared" si="13"/>
        <v>200</v>
      </c>
      <c r="Y110" s="22">
        <f>ROUNDDOWN(W110/HLOOKUP(D110,Table!$C$3:$D$4,2,0)*8,2)</f>
        <v>3.55</v>
      </c>
      <c r="Z110" s="22">
        <v>1</v>
      </c>
      <c r="AA110" s="22" t="s">
        <v>22</v>
      </c>
      <c r="AB110" s="22" t="s">
        <v>1265</v>
      </c>
      <c r="AC110" s="26">
        <v>43935</v>
      </c>
      <c r="AD110" s="26">
        <v>43938</v>
      </c>
      <c r="AE110" s="26">
        <v>43937</v>
      </c>
      <c r="AF110" s="26">
        <v>43937</v>
      </c>
      <c r="AG110" s="28" t="s">
        <v>201</v>
      </c>
      <c r="AH110" s="52">
        <v>1</v>
      </c>
      <c r="AI110" s="52">
        <v>1</v>
      </c>
      <c r="AJ110" s="52">
        <v>1</v>
      </c>
      <c r="AK110" s="28" t="s">
        <v>1077</v>
      </c>
      <c r="AL110" s="22"/>
      <c r="AM110" s="22"/>
      <c r="AN110" s="22"/>
    </row>
    <row r="111" spans="2:40" x14ac:dyDescent="0.25">
      <c r="B111" s="104">
        <v>64</v>
      </c>
      <c r="C111" s="23">
        <v>20200414</v>
      </c>
      <c r="D111" s="22" t="s">
        <v>3</v>
      </c>
      <c r="E111" s="22" t="s">
        <v>1016</v>
      </c>
      <c r="F111" s="24" t="s">
        <v>1018</v>
      </c>
      <c r="G111" s="24">
        <v>1416608</v>
      </c>
      <c r="H111" s="134" t="s">
        <v>67</v>
      </c>
      <c r="I111" s="22" t="s">
        <v>1029</v>
      </c>
      <c r="J111" s="134" t="s">
        <v>67</v>
      </c>
      <c r="K111" s="22" t="s">
        <v>972</v>
      </c>
      <c r="L111" s="24">
        <v>81003</v>
      </c>
      <c r="M111" s="22" t="s">
        <v>1017</v>
      </c>
      <c r="N111" s="22" t="s">
        <v>971</v>
      </c>
      <c r="O111" s="24" t="s">
        <v>67</v>
      </c>
      <c r="P111" s="24" t="s">
        <v>1093</v>
      </c>
      <c r="Q111" s="25"/>
      <c r="R111" s="134" t="s">
        <v>67</v>
      </c>
      <c r="S111" s="22" t="s">
        <v>6</v>
      </c>
      <c r="T111" s="22"/>
      <c r="U111" s="22"/>
      <c r="V111" s="22">
        <v>130</v>
      </c>
      <c r="W111" s="22">
        <f t="shared" si="7"/>
        <v>130</v>
      </c>
      <c r="X111" s="22">
        <f t="shared" si="13"/>
        <v>130</v>
      </c>
      <c r="Y111" s="22">
        <f>ROUNDDOWN(W111/HLOOKUP(D111,Table!$C$3:$D$4,2,0)*8,2)</f>
        <v>2.31</v>
      </c>
      <c r="Z111" s="22">
        <v>1</v>
      </c>
      <c r="AA111" s="22" t="s">
        <v>22</v>
      </c>
      <c r="AB111" s="22" t="s">
        <v>1265</v>
      </c>
      <c r="AC111" s="26">
        <v>43935</v>
      </c>
      <c r="AD111" s="26">
        <v>43938</v>
      </c>
      <c r="AE111" s="26">
        <v>43937</v>
      </c>
      <c r="AF111" s="26">
        <v>43937</v>
      </c>
      <c r="AG111" s="28" t="s">
        <v>201</v>
      </c>
      <c r="AH111" s="52">
        <v>1</v>
      </c>
      <c r="AI111" s="52">
        <v>1</v>
      </c>
      <c r="AJ111" s="52">
        <v>1</v>
      </c>
      <c r="AK111" s="28" t="s">
        <v>1077</v>
      </c>
      <c r="AL111" s="22"/>
      <c r="AM111" s="22"/>
      <c r="AN111" s="22"/>
    </row>
    <row r="112" spans="2:40" x14ac:dyDescent="0.25">
      <c r="B112" s="104">
        <v>65</v>
      </c>
      <c r="C112" s="23">
        <v>20200414</v>
      </c>
      <c r="D112" s="22" t="s">
        <v>3</v>
      </c>
      <c r="E112" s="22" t="s">
        <v>1016</v>
      </c>
      <c r="F112" s="24" t="s">
        <v>1018</v>
      </c>
      <c r="G112" s="24">
        <v>1416608</v>
      </c>
      <c r="H112" s="134" t="s">
        <v>67</v>
      </c>
      <c r="I112" s="22" t="s">
        <v>1030</v>
      </c>
      <c r="J112" s="134" t="s">
        <v>67</v>
      </c>
      <c r="K112" s="22" t="s">
        <v>972</v>
      </c>
      <c r="L112" s="24">
        <v>81003</v>
      </c>
      <c r="M112" s="22" t="s">
        <v>1017</v>
      </c>
      <c r="N112" s="22" t="s">
        <v>971</v>
      </c>
      <c r="O112" s="24" t="s">
        <v>67</v>
      </c>
      <c r="P112" s="24" t="s">
        <v>1093</v>
      </c>
      <c r="Q112" s="25"/>
      <c r="R112" s="134" t="s">
        <v>67</v>
      </c>
      <c r="S112" s="22" t="s">
        <v>6</v>
      </c>
      <c r="T112" s="22"/>
      <c r="U112" s="22"/>
      <c r="V112" s="22">
        <v>199</v>
      </c>
      <c r="W112" s="22">
        <f t="shared" si="7"/>
        <v>199</v>
      </c>
      <c r="X112" s="22">
        <f t="shared" si="13"/>
        <v>199</v>
      </c>
      <c r="Y112" s="22">
        <f>ROUNDDOWN(W112/HLOOKUP(D112,Table!$C$3:$D$4,2,0)*8,2)</f>
        <v>3.53</v>
      </c>
      <c r="Z112" s="22">
        <v>1</v>
      </c>
      <c r="AA112" s="22" t="s">
        <v>22</v>
      </c>
      <c r="AB112" s="22" t="s">
        <v>1265</v>
      </c>
      <c r="AC112" s="26">
        <v>43935</v>
      </c>
      <c r="AD112" s="26">
        <v>43938</v>
      </c>
      <c r="AE112" s="26">
        <v>43937</v>
      </c>
      <c r="AF112" s="26">
        <v>43937</v>
      </c>
      <c r="AG112" s="28" t="s">
        <v>201</v>
      </c>
      <c r="AH112" s="52">
        <v>1</v>
      </c>
      <c r="AI112" s="52">
        <v>1</v>
      </c>
      <c r="AJ112" s="52">
        <v>1</v>
      </c>
      <c r="AK112" s="28" t="s">
        <v>1077</v>
      </c>
      <c r="AL112" s="22"/>
      <c r="AM112" s="22"/>
      <c r="AN112" s="22"/>
    </row>
    <row r="113" spans="2:40" x14ac:dyDescent="0.25">
      <c r="B113" s="104">
        <v>66</v>
      </c>
      <c r="C113" s="23">
        <v>20200414</v>
      </c>
      <c r="D113" s="22" t="s">
        <v>3</v>
      </c>
      <c r="E113" s="22" t="s">
        <v>1016</v>
      </c>
      <c r="F113" s="24" t="s">
        <v>1018</v>
      </c>
      <c r="G113" s="24">
        <v>1416608</v>
      </c>
      <c r="H113" s="134" t="s">
        <v>67</v>
      </c>
      <c r="I113" s="22" t="s">
        <v>1031</v>
      </c>
      <c r="J113" s="134" t="s">
        <v>67</v>
      </c>
      <c r="K113" s="22" t="s">
        <v>972</v>
      </c>
      <c r="L113" s="24">
        <v>81003</v>
      </c>
      <c r="M113" s="22" t="s">
        <v>1017</v>
      </c>
      <c r="N113" s="22" t="s">
        <v>971</v>
      </c>
      <c r="O113" s="24" t="s">
        <v>67</v>
      </c>
      <c r="P113" s="24" t="s">
        <v>1093</v>
      </c>
      <c r="Q113" s="25"/>
      <c r="R113" s="134" t="s">
        <v>67</v>
      </c>
      <c r="S113" s="22" t="s">
        <v>6</v>
      </c>
      <c r="T113" s="22"/>
      <c r="U113" s="22"/>
      <c r="V113" s="22">
        <v>6</v>
      </c>
      <c r="W113" s="22">
        <f t="shared" ref="W113:X122" si="14">V113</f>
        <v>6</v>
      </c>
      <c r="X113" s="22">
        <f t="shared" si="14"/>
        <v>6</v>
      </c>
      <c r="Y113" s="22">
        <f>ROUNDDOWN(W113/HLOOKUP(D113,Table!$C$3:$D$4,2,0)*8,2)</f>
        <v>0.1</v>
      </c>
      <c r="Z113" s="22">
        <v>0</v>
      </c>
      <c r="AA113" s="22" t="s">
        <v>22</v>
      </c>
      <c r="AB113" s="22" t="s">
        <v>1265</v>
      </c>
      <c r="AC113" s="26">
        <v>43935</v>
      </c>
      <c r="AD113" s="26">
        <v>43938</v>
      </c>
      <c r="AE113" s="26">
        <v>43937</v>
      </c>
      <c r="AF113" s="26">
        <v>43937</v>
      </c>
      <c r="AG113" s="28" t="s">
        <v>201</v>
      </c>
      <c r="AH113" s="58" t="s">
        <v>67</v>
      </c>
      <c r="AI113" s="58" t="s">
        <v>67</v>
      </c>
      <c r="AJ113" s="58" t="s">
        <v>67</v>
      </c>
      <c r="AK113" s="28" t="s">
        <v>1077</v>
      </c>
      <c r="AL113" s="22"/>
      <c r="AM113" s="22"/>
      <c r="AN113" s="22" t="s">
        <v>1266</v>
      </c>
    </row>
    <row r="114" spans="2:40" x14ac:dyDescent="0.25">
      <c r="B114" s="129">
        <v>67</v>
      </c>
      <c r="C114" s="23">
        <v>20200414</v>
      </c>
      <c r="D114" s="22" t="s">
        <v>3</v>
      </c>
      <c r="E114" s="22" t="s">
        <v>1032</v>
      </c>
      <c r="F114" s="24" t="s">
        <v>1033</v>
      </c>
      <c r="G114" s="24">
        <v>1390624</v>
      </c>
      <c r="H114" s="134" t="s">
        <v>67</v>
      </c>
      <c r="I114" s="22" t="s">
        <v>1042</v>
      </c>
      <c r="J114" s="134" t="s">
        <v>67</v>
      </c>
      <c r="K114" s="22" t="s">
        <v>972</v>
      </c>
      <c r="L114" s="22">
        <v>81728</v>
      </c>
      <c r="M114" s="22" t="s">
        <v>67</v>
      </c>
      <c r="N114" s="22" t="s">
        <v>1072</v>
      </c>
      <c r="O114" s="24" t="s">
        <v>67</v>
      </c>
      <c r="P114" s="24" t="s">
        <v>1095</v>
      </c>
      <c r="Q114" s="25"/>
      <c r="R114" s="134" t="s">
        <v>67</v>
      </c>
      <c r="S114" s="22" t="s">
        <v>931</v>
      </c>
      <c r="T114" s="22"/>
      <c r="U114" s="22"/>
      <c r="V114" s="22">
        <v>60</v>
      </c>
      <c r="W114" s="22">
        <f t="shared" ref="W114:X155" si="15">V114</f>
        <v>60</v>
      </c>
      <c r="X114" s="22">
        <f t="shared" si="14"/>
        <v>60</v>
      </c>
      <c r="Y114" s="22">
        <f>ROUNDDOWN(W114/HLOOKUP(D114,Table!$C$3:$D$4,2,0)*8,2)</f>
        <v>1.06</v>
      </c>
      <c r="Z114" s="22">
        <v>0.25</v>
      </c>
      <c r="AA114" s="22" t="s">
        <v>22</v>
      </c>
      <c r="AB114" s="22" t="s">
        <v>1265</v>
      </c>
      <c r="AC114" s="26">
        <v>43935</v>
      </c>
      <c r="AD114" s="26">
        <v>43938</v>
      </c>
      <c r="AE114" s="26">
        <v>43935</v>
      </c>
      <c r="AF114" s="26">
        <v>43935</v>
      </c>
      <c r="AG114" s="28" t="s">
        <v>201</v>
      </c>
      <c r="AH114" s="52">
        <v>1</v>
      </c>
      <c r="AI114" s="52">
        <v>1</v>
      </c>
      <c r="AJ114" s="52">
        <v>1</v>
      </c>
      <c r="AK114" s="28" t="s">
        <v>1077</v>
      </c>
      <c r="AL114" s="22"/>
      <c r="AM114" s="22"/>
      <c r="AN114" s="22"/>
    </row>
    <row r="115" spans="2:40" x14ac:dyDescent="0.25">
      <c r="B115" s="129">
        <v>68</v>
      </c>
      <c r="C115" s="23">
        <v>20200414</v>
      </c>
      <c r="D115" s="22" t="s">
        <v>3</v>
      </c>
      <c r="E115" s="22" t="s">
        <v>1032</v>
      </c>
      <c r="F115" s="24" t="s">
        <v>1034</v>
      </c>
      <c r="G115" s="24">
        <v>1390624</v>
      </c>
      <c r="H115" s="134" t="s">
        <v>67</v>
      </c>
      <c r="I115" s="22" t="s">
        <v>1043</v>
      </c>
      <c r="J115" s="134" t="s">
        <v>67</v>
      </c>
      <c r="K115" s="22" t="s">
        <v>972</v>
      </c>
      <c r="L115" s="22">
        <v>81728</v>
      </c>
      <c r="M115" s="22" t="s">
        <v>67</v>
      </c>
      <c r="N115" s="22" t="s">
        <v>1072</v>
      </c>
      <c r="O115" s="24" t="s">
        <v>67</v>
      </c>
      <c r="P115" s="24" t="s">
        <v>1095</v>
      </c>
      <c r="Q115" s="25"/>
      <c r="R115" s="134" t="s">
        <v>67</v>
      </c>
      <c r="S115" s="22" t="s">
        <v>931</v>
      </c>
      <c r="T115" s="22"/>
      <c r="U115" s="22"/>
      <c r="V115" s="22">
        <v>0</v>
      </c>
      <c r="W115" s="22">
        <f t="shared" si="15"/>
        <v>0</v>
      </c>
      <c r="X115" s="22">
        <f t="shared" si="14"/>
        <v>0</v>
      </c>
      <c r="Y115" s="22">
        <f>ROUNDDOWN(W115/HLOOKUP(D115,Table!$C$3:$D$4,2,0)*8,2)</f>
        <v>0</v>
      </c>
      <c r="Z115" s="22">
        <v>0</v>
      </c>
      <c r="AA115" s="22" t="s">
        <v>80</v>
      </c>
      <c r="AB115" s="22" t="s">
        <v>1265</v>
      </c>
      <c r="AC115" s="26">
        <v>43935</v>
      </c>
      <c r="AD115" s="26">
        <v>43938</v>
      </c>
      <c r="AE115" s="26">
        <v>43935</v>
      </c>
      <c r="AF115" s="26">
        <v>43935</v>
      </c>
      <c r="AG115" s="28" t="s">
        <v>201</v>
      </c>
      <c r="AH115" s="58" t="s">
        <v>67</v>
      </c>
      <c r="AI115" s="58" t="s">
        <v>67</v>
      </c>
      <c r="AJ115" s="58" t="s">
        <v>67</v>
      </c>
      <c r="AK115" s="28" t="s">
        <v>1077</v>
      </c>
      <c r="AL115" s="22"/>
      <c r="AM115" s="22"/>
      <c r="AN115" s="22" t="s">
        <v>1266</v>
      </c>
    </row>
    <row r="116" spans="2:40" x14ac:dyDescent="0.25">
      <c r="B116" s="129">
        <v>69</v>
      </c>
      <c r="C116" s="23">
        <v>20200414</v>
      </c>
      <c r="D116" s="22" t="s">
        <v>3</v>
      </c>
      <c r="E116" s="22" t="s">
        <v>1032</v>
      </c>
      <c r="F116" s="24" t="s">
        <v>1034</v>
      </c>
      <c r="G116" s="24">
        <v>1390624</v>
      </c>
      <c r="H116" s="134" t="s">
        <v>67</v>
      </c>
      <c r="I116" s="22" t="s">
        <v>1044</v>
      </c>
      <c r="J116" s="134" t="s">
        <v>67</v>
      </c>
      <c r="K116" s="22" t="s">
        <v>972</v>
      </c>
      <c r="L116" s="22">
        <v>81728</v>
      </c>
      <c r="M116" s="22" t="s">
        <v>67</v>
      </c>
      <c r="N116" s="22" t="s">
        <v>1072</v>
      </c>
      <c r="O116" s="24" t="s">
        <v>67</v>
      </c>
      <c r="P116" s="24" t="s">
        <v>1095</v>
      </c>
      <c r="Q116" s="25"/>
      <c r="R116" s="134" t="s">
        <v>67</v>
      </c>
      <c r="S116" s="22" t="s">
        <v>931</v>
      </c>
      <c r="T116" s="22"/>
      <c r="U116" s="22"/>
      <c r="V116" s="22">
        <v>0</v>
      </c>
      <c r="W116" s="22">
        <f t="shared" si="15"/>
        <v>0</v>
      </c>
      <c r="X116" s="22">
        <f t="shared" si="14"/>
        <v>0</v>
      </c>
      <c r="Y116" s="22">
        <f>ROUNDDOWN(W116/HLOOKUP(D116,Table!$C$3:$D$4,2,0)*8,2)</f>
        <v>0</v>
      </c>
      <c r="Z116" s="22">
        <v>0</v>
      </c>
      <c r="AA116" s="22" t="s">
        <v>80</v>
      </c>
      <c r="AB116" s="22" t="s">
        <v>1265</v>
      </c>
      <c r="AC116" s="26">
        <v>43936</v>
      </c>
      <c r="AD116" s="26">
        <v>43938</v>
      </c>
      <c r="AE116" s="26">
        <v>43935</v>
      </c>
      <c r="AF116" s="26">
        <v>43935</v>
      </c>
      <c r="AG116" s="28" t="s">
        <v>201</v>
      </c>
      <c r="AH116" s="58" t="s">
        <v>67</v>
      </c>
      <c r="AI116" s="58" t="s">
        <v>67</v>
      </c>
      <c r="AJ116" s="58" t="s">
        <v>67</v>
      </c>
      <c r="AK116" s="28" t="s">
        <v>1077</v>
      </c>
      <c r="AL116" s="22"/>
      <c r="AM116" s="22"/>
      <c r="AN116" s="22" t="s">
        <v>1266</v>
      </c>
    </row>
    <row r="117" spans="2:40" x14ac:dyDescent="0.25">
      <c r="B117" s="129">
        <v>70</v>
      </c>
      <c r="C117" s="23">
        <v>20200414</v>
      </c>
      <c r="D117" s="22" t="s">
        <v>3</v>
      </c>
      <c r="E117" s="22" t="s">
        <v>1032</v>
      </c>
      <c r="F117" s="24" t="s">
        <v>1035</v>
      </c>
      <c r="G117" s="24">
        <v>1390624</v>
      </c>
      <c r="H117" s="134" t="s">
        <v>67</v>
      </c>
      <c r="I117" s="22" t="s">
        <v>1045</v>
      </c>
      <c r="J117" s="134" t="s">
        <v>67</v>
      </c>
      <c r="K117" s="22" t="s">
        <v>972</v>
      </c>
      <c r="L117" s="22">
        <v>81728</v>
      </c>
      <c r="M117" s="22" t="s">
        <v>67</v>
      </c>
      <c r="N117" s="22" t="s">
        <v>1072</v>
      </c>
      <c r="O117" s="24" t="s">
        <v>67</v>
      </c>
      <c r="P117" s="24" t="s">
        <v>1095</v>
      </c>
      <c r="Q117" s="25"/>
      <c r="R117" s="134" t="s">
        <v>67</v>
      </c>
      <c r="S117" s="22" t="s">
        <v>931</v>
      </c>
      <c r="T117" s="22"/>
      <c r="U117" s="22"/>
      <c r="V117" s="22">
        <v>0</v>
      </c>
      <c r="W117" s="22">
        <f t="shared" si="15"/>
        <v>0</v>
      </c>
      <c r="X117" s="22">
        <f t="shared" si="14"/>
        <v>0</v>
      </c>
      <c r="Y117" s="22">
        <f>ROUNDDOWN(W117/HLOOKUP(D117,Table!$C$3:$D$4,2,0)*8,2)</f>
        <v>0</v>
      </c>
      <c r="Z117" s="22">
        <v>0</v>
      </c>
      <c r="AA117" s="22" t="s">
        <v>80</v>
      </c>
      <c r="AB117" s="22" t="s">
        <v>1265</v>
      </c>
      <c r="AC117" s="26">
        <v>43937</v>
      </c>
      <c r="AD117" s="26">
        <v>43938</v>
      </c>
      <c r="AE117" s="26">
        <v>43935</v>
      </c>
      <c r="AF117" s="26">
        <v>43935</v>
      </c>
      <c r="AG117" s="28" t="s">
        <v>201</v>
      </c>
      <c r="AH117" s="58" t="s">
        <v>67</v>
      </c>
      <c r="AI117" s="58" t="s">
        <v>67</v>
      </c>
      <c r="AJ117" s="58" t="s">
        <v>67</v>
      </c>
      <c r="AK117" s="28" t="s">
        <v>1077</v>
      </c>
      <c r="AL117" s="22"/>
      <c r="AM117" s="22"/>
      <c r="AN117" s="22" t="s">
        <v>1266</v>
      </c>
    </row>
    <row r="118" spans="2:40" x14ac:dyDescent="0.25">
      <c r="B118" s="129">
        <v>71</v>
      </c>
      <c r="C118" s="23">
        <v>20200414</v>
      </c>
      <c r="D118" s="22" t="s">
        <v>3</v>
      </c>
      <c r="E118" s="22" t="s">
        <v>1032</v>
      </c>
      <c r="F118" s="24" t="s">
        <v>1035</v>
      </c>
      <c r="G118" s="24">
        <v>1390624</v>
      </c>
      <c r="H118" s="134" t="s">
        <v>67</v>
      </c>
      <c r="I118" s="22" t="s">
        <v>1046</v>
      </c>
      <c r="J118" s="134" t="s">
        <v>67</v>
      </c>
      <c r="K118" s="22" t="s">
        <v>972</v>
      </c>
      <c r="L118" s="22">
        <v>81728</v>
      </c>
      <c r="M118" s="22" t="s">
        <v>67</v>
      </c>
      <c r="N118" s="22" t="s">
        <v>1072</v>
      </c>
      <c r="O118" s="24" t="s">
        <v>67</v>
      </c>
      <c r="P118" s="24" t="s">
        <v>1095</v>
      </c>
      <c r="Q118" s="25"/>
      <c r="R118" s="134" t="s">
        <v>67</v>
      </c>
      <c r="S118" s="22" t="s">
        <v>931</v>
      </c>
      <c r="T118" s="22"/>
      <c r="U118" s="22"/>
      <c r="V118" s="22">
        <v>5</v>
      </c>
      <c r="W118" s="22">
        <f t="shared" si="15"/>
        <v>5</v>
      </c>
      <c r="X118" s="22">
        <f t="shared" si="14"/>
        <v>5</v>
      </c>
      <c r="Y118" s="22">
        <f>ROUNDDOWN(W118/HLOOKUP(D118,Table!$C$3:$D$4,2,0)*8,2)</f>
        <v>0.08</v>
      </c>
      <c r="Z118" s="22">
        <v>0.25</v>
      </c>
      <c r="AA118" s="22" t="s">
        <v>22</v>
      </c>
      <c r="AB118" s="22" t="s">
        <v>1265</v>
      </c>
      <c r="AC118" s="26">
        <v>43935</v>
      </c>
      <c r="AD118" s="26">
        <v>43938</v>
      </c>
      <c r="AE118" s="26">
        <v>43935</v>
      </c>
      <c r="AF118" s="26">
        <v>43935</v>
      </c>
      <c r="AG118" s="28" t="s">
        <v>201</v>
      </c>
      <c r="AH118" s="52">
        <v>1</v>
      </c>
      <c r="AI118" s="52">
        <v>1</v>
      </c>
      <c r="AJ118" s="52">
        <v>1</v>
      </c>
      <c r="AK118" s="28" t="s">
        <v>1077</v>
      </c>
      <c r="AL118" s="22"/>
      <c r="AM118" s="22"/>
      <c r="AN118" s="22"/>
    </row>
    <row r="119" spans="2:40" x14ac:dyDescent="0.25">
      <c r="B119" s="129">
        <v>72</v>
      </c>
      <c r="C119" s="23">
        <v>20200414</v>
      </c>
      <c r="D119" s="22" t="s">
        <v>3</v>
      </c>
      <c r="E119" s="22" t="s">
        <v>1032</v>
      </c>
      <c r="F119" s="24" t="s">
        <v>1035</v>
      </c>
      <c r="G119" s="24">
        <v>1390624</v>
      </c>
      <c r="H119" s="134" t="s">
        <v>67</v>
      </c>
      <c r="I119" s="22" t="s">
        <v>1047</v>
      </c>
      <c r="J119" s="134" t="s">
        <v>67</v>
      </c>
      <c r="K119" s="22" t="s">
        <v>972</v>
      </c>
      <c r="L119" s="22">
        <v>81728</v>
      </c>
      <c r="M119" s="22" t="s">
        <v>67</v>
      </c>
      <c r="N119" s="22" t="s">
        <v>1072</v>
      </c>
      <c r="O119" s="24" t="s">
        <v>67</v>
      </c>
      <c r="P119" s="24" t="s">
        <v>1095</v>
      </c>
      <c r="Q119" s="25"/>
      <c r="R119" s="134" t="s">
        <v>67</v>
      </c>
      <c r="S119" s="22" t="s">
        <v>931</v>
      </c>
      <c r="T119" s="22"/>
      <c r="U119" s="22"/>
      <c r="V119" s="22">
        <v>13</v>
      </c>
      <c r="W119" s="22">
        <f t="shared" si="15"/>
        <v>13</v>
      </c>
      <c r="X119" s="22">
        <f t="shared" si="14"/>
        <v>13</v>
      </c>
      <c r="Y119" s="22">
        <f>ROUNDDOWN(W119/HLOOKUP(D119,Table!$C$3:$D$4,2,0)*8,2)</f>
        <v>0.23</v>
      </c>
      <c r="Z119" s="22">
        <v>0.25</v>
      </c>
      <c r="AA119" s="22" t="s">
        <v>22</v>
      </c>
      <c r="AB119" s="22" t="s">
        <v>1265</v>
      </c>
      <c r="AC119" s="26">
        <v>43935</v>
      </c>
      <c r="AD119" s="26">
        <v>43938</v>
      </c>
      <c r="AE119" s="26">
        <v>43935</v>
      </c>
      <c r="AF119" s="26">
        <v>43935</v>
      </c>
      <c r="AG119" s="28" t="s">
        <v>201</v>
      </c>
      <c r="AH119" s="52">
        <v>1</v>
      </c>
      <c r="AI119" s="52">
        <v>1</v>
      </c>
      <c r="AJ119" s="52">
        <v>1</v>
      </c>
      <c r="AK119" s="28" t="s">
        <v>1077</v>
      </c>
      <c r="AL119" s="22"/>
      <c r="AM119" s="22"/>
      <c r="AN119" s="22"/>
    </row>
    <row r="120" spans="2:40" x14ac:dyDescent="0.25">
      <c r="B120" s="129">
        <v>73</v>
      </c>
      <c r="C120" s="23">
        <v>20200414</v>
      </c>
      <c r="D120" s="22" t="s">
        <v>3</v>
      </c>
      <c r="E120" s="22" t="s">
        <v>1032</v>
      </c>
      <c r="F120" s="24" t="s">
        <v>1035</v>
      </c>
      <c r="G120" s="24">
        <v>1390624</v>
      </c>
      <c r="H120" s="134" t="s">
        <v>67</v>
      </c>
      <c r="I120" s="22" t="s">
        <v>1048</v>
      </c>
      <c r="J120" s="134" t="s">
        <v>67</v>
      </c>
      <c r="K120" s="22" t="s">
        <v>972</v>
      </c>
      <c r="L120" s="22">
        <v>81728</v>
      </c>
      <c r="M120" s="22" t="s">
        <v>67</v>
      </c>
      <c r="N120" s="22" t="s">
        <v>1072</v>
      </c>
      <c r="O120" s="24" t="s">
        <v>67</v>
      </c>
      <c r="P120" s="24" t="s">
        <v>1095</v>
      </c>
      <c r="Q120" s="25"/>
      <c r="R120" s="134" t="s">
        <v>67</v>
      </c>
      <c r="S120" s="22" t="s">
        <v>931</v>
      </c>
      <c r="T120" s="22"/>
      <c r="U120" s="22"/>
      <c r="V120" s="22">
        <v>4</v>
      </c>
      <c r="W120" s="22">
        <f t="shared" si="15"/>
        <v>4</v>
      </c>
      <c r="X120" s="22">
        <f t="shared" si="14"/>
        <v>4</v>
      </c>
      <c r="Y120" s="22">
        <f>ROUNDDOWN(W120/HLOOKUP(D120,Table!$C$3:$D$4,2,0)*8,2)</f>
        <v>7.0000000000000007E-2</v>
      </c>
      <c r="Z120" s="22">
        <v>0.25</v>
      </c>
      <c r="AA120" s="22" t="s">
        <v>22</v>
      </c>
      <c r="AB120" s="22" t="s">
        <v>1265</v>
      </c>
      <c r="AC120" s="26">
        <v>43935</v>
      </c>
      <c r="AD120" s="26">
        <v>43938</v>
      </c>
      <c r="AE120" s="26">
        <v>43935</v>
      </c>
      <c r="AF120" s="26">
        <v>43935</v>
      </c>
      <c r="AG120" s="28" t="s">
        <v>201</v>
      </c>
      <c r="AH120" s="52">
        <v>1</v>
      </c>
      <c r="AI120" s="52">
        <v>1</v>
      </c>
      <c r="AJ120" s="52">
        <v>1</v>
      </c>
      <c r="AK120" s="28" t="s">
        <v>1077</v>
      </c>
      <c r="AL120" s="22"/>
      <c r="AM120" s="22"/>
      <c r="AN120" s="22"/>
    </row>
    <row r="121" spans="2:40" x14ac:dyDescent="0.25">
      <c r="B121" s="129">
        <v>74</v>
      </c>
      <c r="C121" s="23">
        <v>20200414</v>
      </c>
      <c r="D121" s="22" t="s">
        <v>3</v>
      </c>
      <c r="E121" s="22" t="s">
        <v>1032</v>
      </c>
      <c r="F121" s="24" t="s">
        <v>1036</v>
      </c>
      <c r="G121" s="24">
        <v>1390624</v>
      </c>
      <c r="H121" s="134" t="s">
        <v>67</v>
      </c>
      <c r="I121" s="22" t="s">
        <v>1049</v>
      </c>
      <c r="J121" s="134" t="s">
        <v>67</v>
      </c>
      <c r="K121" s="22" t="s">
        <v>972</v>
      </c>
      <c r="L121" s="22">
        <v>81728</v>
      </c>
      <c r="M121" s="22" t="s">
        <v>67</v>
      </c>
      <c r="N121" s="22" t="s">
        <v>1072</v>
      </c>
      <c r="O121" s="24" t="s">
        <v>67</v>
      </c>
      <c r="P121" s="24" t="s">
        <v>1095</v>
      </c>
      <c r="Q121" s="25"/>
      <c r="R121" s="134" t="s">
        <v>67</v>
      </c>
      <c r="S121" s="22" t="s">
        <v>931</v>
      </c>
      <c r="T121" s="22"/>
      <c r="U121" s="22"/>
      <c r="V121" s="22">
        <v>329</v>
      </c>
      <c r="W121" s="22">
        <f t="shared" si="15"/>
        <v>329</v>
      </c>
      <c r="X121" s="22">
        <f t="shared" si="14"/>
        <v>329</v>
      </c>
      <c r="Y121" s="22">
        <f>ROUNDDOWN(W121/HLOOKUP(D121,Table!$C$3:$D$4,2,0)*8,2)</f>
        <v>5.84</v>
      </c>
      <c r="Z121" s="22">
        <v>0.25</v>
      </c>
      <c r="AA121" s="22" t="s">
        <v>22</v>
      </c>
      <c r="AB121" s="22" t="s">
        <v>1265</v>
      </c>
      <c r="AC121" s="26">
        <v>43935</v>
      </c>
      <c r="AD121" s="26">
        <v>43938</v>
      </c>
      <c r="AE121" s="26">
        <v>43935</v>
      </c>
      <c r="AF121" s="26">
        <v>43935</v>
      </c>
      <c r="AG121" s="28" t="s">
        <v>201</v>
      </c>
      <c r="AH121" s="52">
        <v>1</v>
      </c>
      <c r="AI121" s="52">
        <v>1</v>
      </c>
      <c r="AJ121" s="52">
        <v>1</v>
      </c>
      <c r="AK121" s="28" t="s">
        <v>1077</v>
      </c>
      <c r="AL121" s="22"/>
      <c r="AM121" s="22"/>
      <c r="AN121" s="22"/>
    </row>
    <row r="122" spans="2:40" x14ac:dyDescent="0.25">
      <c r="B122" s="129">
        <v>75</v>
      </c>
      <c r="C122" s="23">
        <v>20200414</v>
      </c>
      <c r="D122" s="22" t="s">
        <v>3</v>
      </c>
      <c r="E122" s="22" t="s">
        <v>1032</v>
      </c>
      <c r="F122" s="24" t="s">
        <v>1036</v>
      </c>
      <c r="G122" s="24">
        <v>1390624</v>
      </c>
      <c r="H122" s="134" t="s">
        <v>67</v>
      </c>
      <c r="I122" s="22" t="s">
        <v>1050</v>
      </c>
      <c r="J122" s="134" t="s">
        <v>67</v>
      </c>
      <c r="K122" s="22" t="s">
        <v>972</v>
      </c>
      <c r="L122" s="22">
        <v>81728</v>
      </c>
      <c r="M122" s="22" t="s">
        <v>67</v>
      </c>
      <c r="N122" s="22" t="s">
        <v>1072</v>
      </c>
      <c r="O122" s="24" t="s">
        <v>67</v>
      </c>
      <c r="P122" s="24" t="s">
        <v>1095</v>
      </c>
      <c r="Q122" s="25"/>
      <c r="R122" s="134" t="s">
        <v>67</v>
      </c>
      <c r="S122" s="22" t="s">
        <v>931</v>
      </c>
      <c r="T122" s="22"/>
      <c r="U122" s="22"/>
      <c r="V122" s="22">
        <v>96</v>
      </c>
      <c r="W122" s="22">
        <f t="shared" si="15"/>
        <v>96</v>
      </c>
      <c r="X122" s="22">
        <f t="shared" si="14"/>
        <v>96</v>
      </c>
      <c r="Y122" s="22">
        <f>ROUNDDOWN(W122/HLOOKUP(D122,Table!$C$3:$D$4,2,0)*8,2)</f>
        <v>1.7</v>
      </c>
      <c r="Z122" s="22">
        <v>0.25</v>
      </c>
      <c r="AA122" s="22" t="s">
        <v>22</v>
      </c>
      <c r="AB122" s="22" t="s">
        <v>1265</v>
      </c>
      <c r="AC122" s="26">
        <v>43935</v>
      </c>
      <c r="AD122" s="26">
        <v>43938</v>
      </c>
      <c r="AE122" s="26">
        <v>43935</v>
      </c>
      <c r="AF122" s="26">
        <v>43935</v>
      </c>
      <c r="AG122" s="28" t="s">
        <v>201</v>
      </c>
      <c r="AH122" s="52">
        <v>1</v>
      </c>
      <c r="AI122" s="52">
        <v>1</v>
      </c>
      <c r="AJ122" s="52">
        <v>1</v>
      </c>
      <c r="AK122" s="28" t="s">
        <v>1077</v>
      </c>
      <c r="AL122" s="22"/>
      <c r="AM122" s="22"/>
      <c r="AN122" s="22"/>
    </row>
    <row r="123" spans="2:40" x14ac:dyDescent="0.25">
      <c r="B123" s="129">
        <v>76</v>
      </c>
      <c r="C123" s="23">
        <v>20200414</v>
      </c>
      <c r="D123" s="22" t="s">
        <v>3</v>
      </c>
      <c r="E123" s="22" t="s">
        <v>1032</v>
      </c>
      <c r="F123" s="24" t="s">
        <v>1036</v>
      </c>
      <c r="G123" s="24">
        <v>1390624</v>
      </c>
      <c r="H123" s="134" t="s">
        <v>67</v>
      </c>
      <c r="I123" s="22" t="s">
        <v>1051</v>
      </c>
      <c r="J123" s="134" t="s">
        <v>67</v>
      </c>
      <c r="K123" s="22" t="s">
        <v>972</v>
      </c>
      <c r="L123" s="22">
        <v>81728</v>
      </c>
      <c r="M123" s="22" t="s">
        <v>67</v>
      </c>
      <c r="N123" s="22" t="s">
        <v>1072</v>
      </c>
      <c r="O123" s="24" t="s">
        <v>67</v>
      </c>
      <c r="P123" s="24" t="s">
        <v>1095</v>
      </c>
      <c r="Q123" s="25"/>
      <c r="R123" s="134" t="s">
        <v>67</v>
      </c>
      <c r="S123" s="22" t="s">
        <v>931</v>
      </c>
      <c r="T123" s="22"/>
      <c r="U123" s="22"/>
      <c r="V123" s="22">
        <v>518</v>
      </c>
      <c r="W123" s="22">
        <f t="shared" si="15"/>
        <v>518</v>
      </c>
      <c r="X123" s="22">
        <v>518</v>
      </c>
      <c r="Y123" s="22">
        <f>ROUNDDOWN(W123/HLOOKUP(D123,Table!$C$3:$D$4,2,0)*8,2)</f>
        <v>9.1999999999999993</v>
      </c>
      <c r="Z123" s="22">
        <v>26</v>
      </c>
      <c r="AA123" s="22" t="s">
        <v>22</v>
      </c>
      <c r="AB123" s="22" t="s">
        <v>1265</v>
      </c>
      <c r="AC123" s="26">
        <v>43935</v>
      </c>
      <c r="AD123" s="26">
        <v>43938</v>
      </c>
      <c r="AE123" s="26">
        <v>43935</v>
      </c>
      <c r="AF123" s="26">
        <v>43938</v>
      </c>
      <c r="AG123" s="28" t="s">
        <v>202</v>
      </c>
      <c r="AH123" s="52">
        <v>0.98</v>
      </c>
      <c r="AI123" s="52">
        <v>0.99</v>
      </c>
      <c r="AJ123" s="52">
        <v>1</v>
      </c>
      <c r="AK123" s="28" t="s">
        <v>852</v>
      </c>
      <c r="AL123" s="22" t="s">
        <v>1272</v>
      </c>
      <c r="AM123" s="22"/>
      <c r="AN123" s="22"/>
    </row>
    <row r="124" spans="2:40" x14ac:dyDescent="0.25">
      <c r="B124" s="129">
        <v>77</v>
      </c>
      <c r="C124" s="23">
        <v>20200414</v>
      </c>
      <c r="D124" s="22" t="s">
        <v>3</v>
      </c>
      <c r="E124" s="22" t="s">
        <v>1032</v>
      </c>
      <c r="F124" s="24" t="s">
        <v>1036</v>
      </c>
      <c r="G124" s="24">
        <v>1390624</v>
      </c>
      <c r="H124" s="134" t="s">
        <v>67</v>
      </c>
      <c r="I124" s="22" t="s">
        <v>1052</v>
      </c>
      <c r="J124" s="134" t="s">
        <v>67</v>
      </c>
      <c r="K124" s="22" t="s">
        <v>972</v>
      </c>
      <c r="L124" s="22">
        <v>81728</v>
      </c>
      <c r="M124" s="22" t="s">
        <v>67</v>
      </c>
      <c r="N124" s="22" t="s">
        <v>1072</v>
      </c>
      <c r="O124" s="24" t="s">
        <v>67</v>
      </c>
      <c r="P124" s="24" t="s">
        <v>1095</v>
      </c>
      <c r="Q124" s="25"/>
      <c r="R124" s="134" t="s">
        <v>67</v>
      </c>
      <c r="S124" s="22" t="s">
        <v>931</v>
      </c>
      <c r="T124" s="22"/>
      <c r="U124" s="22"/>
      <c r="V124" s="22">
        <v>51</v>
      </c>
      <c r="W124" s="22">
        <f t="shared" si="15"/>
        <v>51</v>
      </c>
      <c r="X124" s="22">
        <f t="shared" si="15"/>
        <v>51</v>
      </c>
      <c r="Y124" s="22">
        <f>ROUNDDOWN(W124/HLOOKUP(D124,Table!$C$3:$D$4,2,0)*8,2)</f>
        <v>0.9</v>
      </c>
      <c r="Z124" s="22">
        <v>0.25</v>
      </c>
      <c r="AA124" s="22" t="s">
        <v>22</v>
      </c>
      <c r="AB124" s="22" t="s">
        <v>1265</v>
      </c>
      <c r="AC124" s="26">
        <v>43935</v>
      </c>
      <c r="AD124" s="26">
        <v>43938</v>
      </c>
      <c r="AE124" s="26">
        <v>43935</v>
      </c>
      <c r="AF124" s="26">
        <v>43935</v>
      </c>
      <c r="AG124" s="28" t="s">
        <v>201</v>
      </c>
      <c r="AH124" s="52">
        <v>1</v>
      </c>
      <c r="AI124" s="52">
        <v>1</v>
      </c>
      <c r="AJ124" s="52">
        <v>1</v>
      </c>
      <c r="AK124" s="28" t="s">
        <v>1077</v>
      </c>
      <c r="AL124" s="22"/>
      <c r="AM124" s="22"/>
      <c r="AN124" s="22"/>
    </row>
    <row r="125" spans="2:40" x14ac:dyDescent="0.25">
      <c r="B125" s="129">
        <v>78</v>
      </c>
      <c r="C125" s="23">
        <v>20200414</v>
      </c>
      <c r="D125" s="22" t="s">
        <v>3</v>
      </c>
      <c r="E125" s="22" t="s">
        <v>1032</v>
      </c>
      <c r="F125" s="24" t="s">
        <v>1036</v>
      </c>
      <c r="G125" s="24">
        <v>1390624</v>
      </c>
      <c r="H125" s="134" t="s">
        <v>67</v>
      </c>
      <c r="I125" s="22" t="s">
        <v>1053</v>
      </c>
      <c r="J125" s="134" t="s">
        <v>67</v>
      </c>
      <c r="K125" s="22" t="s">
        <v>972</v>
      </c>
      <c r="L125" s="22">
        <v>81728</v>
      </c>
      <c r="M125" s="22" t="s">
        <v>67</v>
      </c>
      <c r="N125" s="22" t="s">
        <v>1072</v>
      </c>
      <c r="O125" s="24" t="s">
        <v>67</v>
      </c>
      <c r="P125" s="24" t="s">
        <v>1095</v>
      </c>
      <c r="Q125" s="25"/>
      <c r="R125" s="134" t="s">
        <v>67</v>
      </c>
      <c r="S125" s="22" t="s">
        <v>931</v>
      </c>
      <c r="T125" s="22"/>
      <c r="U125" s="22"/>
      <c r="V125" s="22">
        <v>0</v>
      </c>
      <c r="W125" s="22">
        <f t="shared" si="15"/>
        <v>0</v>
      </c>
      <c r="X125" s="22">
        <f>W125</f>
        <v>0</v>
      </c>
      <c r="Y125" s="22">
        <f>ROUNDDOWN(W125/HLOOKUP(D125,Table!$C$3:$D$4,2,0)*8,2)</f>
        <v>0</v>
      </c>
      <c r="Z125" s="22">
        <v>0</v>
      </c>
      <c r="AA125" s="22" t="s">
        <v>80</v>
      </c>
      <c r="AB125" s="22" t="s">
        <v>1265</v>
      </c>
      <c r="AC125" s="26">
        <v>43935</v>
      </c>
      <c r="AD125" s="26">
        <v>43938</v>
      </c>
      <c r="AE125" s="26">
        <v>43935</v>
      </c>
      <c r="AF125" s="26">
        <v>43935</v>
      </c>
      <c r="AG125" s="28" t="s">
        <v>201</v>
      </c>
      <c r="AH125" s="58" t="s">
        <v>67</v>
      </c>
      <c r="AI125" s="58" t="s">
        <v>67</v>
      </c>
      <c r="AJ125" s="58" t="s">
        <v>67</v>
      </c>
      <c r="AK125" s="28" t="s">
        <v>1077</v>
      </c>
      <c r="AL125" s="97"/>
      <c r="AM125" s="22"/>
      <c r="AN125" s="22" t="s">
        <v>1266</v>
      </c>
    </row>
    <row r="126" spans="2:40" x14ac:dyDescent="0.25">
      <c r="B126" s="129">
        <v>79</v>
      </c>
      <c r="C126" s="23">
        <v>20200414</v>
      </c>
      <c r="D126" s="22" t="s">
        <v>3</v>
      </c>
      <c r="E126" s="22" t="s">
        <v>1032</v>
      </c>
      <c r="F126" s="24" t="s">
        <v>1036</v>
      </c>
      <c r="G126" s="24">
        <v>1390624</v>
      </c>
      <c r="H126" s="134" t="s">
        <v>67</v>
      </c>
      <c r="I126" s="22" t="s">
        <v>1054</v>
      </c>
      <c r="J126" s="134" t="s">
        <v>67</v>
      </c>
      <c r="K126" s="22" t="s">
        <v>972</v>
      </c>
      <c r="L126" s="22">
        <v>81728</v>
      </c>
      <c r="M126" s="22" t="s">
        <v>67</v>
      </c>
      <c r="N126" s="22" t="s">
        <v>1072</v>
      </c>
      <c r="O126" s="24" t="s">
        <v>67</v>
      </c>
      <c r="P126" s="24" t="s">
        <v>1095</v>
      </c>
      <c r="Q126" s="25"/>
      <c r="R126" s="134" t="s">
        <v>67</v>
      </c>
      <c r="S126" s="22" t="s">
        <v>932</v>
      </c>
      <c r="T126" s="22"/>
      <c r="U126" s="22"/>
      <c r="V126" s="22">
        <v>7</v>
      </c>
      <c r="W126" s="22">
        <f t="shared" si="15"/>
        <v>7</v>
      </c>
      <c r="X126" s="22">
        <f t="shared" ref="X126:X143" si="16">W126</f>
        <v>7</v>
      </c>
      <c r="Y126" s="22">
        <f>ROUNDDOWN(W126/HLOOKUP(D126,Table!$C$3:$D$4,2,0)*8,2)</f>
        <v>0.12</v>
      </c>
      <c r="Z126" s="22">
        <v>0.1</v>
      </c>
      <c r="AA126" s="22" t="s">
        <v>22</v>
      </c>
      <c r="AB126" s="22" t="s">
        <v>1265</v>
      </c>
      <c r="AC126" s="26">
        <v>43935</v>
      </c>
      <c r="AD126" s="26">
        <v>43938</v>
      </c>
      <c r="AE126" s="26">
        <v>43935</v>
      </c>
      <c r="AF126" s="26">
        <v>43935</v>
      </c>
      <c r="AG126" s="28" t="s">
        <v>201</v>
      </c>
      <c r="AH126" s="52">
        <v>1</v>
      </c>
      <c r="AI126" s="52">
        <v>1</v>
      </c>
      <c r="AJ126" s="52">
        <v>1</v>
      </c>
      <c r="AK126" s="28" t="s">
        <v>1077</v>
      </c>
      <c r="AL126" s="22"/>
      <c r="AM126" s="22"/>
      <c r="AN126" s="22"/>
    </row>
    <row r="127" spans="2:40" x14ac:dyDescent="0.25">
      <c r="B127" s="129">
        <v>80</v>
      </c>
      <c r="C127" s="23">
        <v>20200414</v>
      </c>
      <c r="D127" s="22" t="s">
        <v>3</v>
      </c>
      <c r="E127" s="22" t="s">
        <v>1032</v>
      </c>
      <c r="F127" s="24" t="s">
        <v>1036</v>
      </c>
      <c r="G127" s="24">
        <v>1390624</v>
      </c>
      <c r="H127" s="134" t="s">
        <v>67</v>
      </c>
      <c r="I127" s="22" t="s">
        <v>1055</v>
      </c>
      <c r="J127" s="134" t="s">
        <v>67</v>
      </c>
      <c r="K127" s="22" t="s">
        <v>972</v>
      </c>
      <c r="L127" s="22">
        <v>81728</v>
      </c>
      <c r="M127" s="22" t="s">
        <v>67</v>
      </c>
      <c r="N127" s="22" t="s">
        <v>1072</v>
      </c>
      <c r="O127" s="24" t="s">
        <v>67</v>
      </c>
      <c r="P127" s="24" t="s">
        <v>1095</v>
      </c>
      <c r="Q127" s="25"/>
      <c r="R127" s="134" t="s">
        <v>67</v>
      </c>
      <c r="S127" s="22" t="s">
        <v>932</v>
      </c>
      <c r="T127" s="22"/>
      <c r="U127" s="22"/>
      <c r="V127" s="22">
        <v>78</v>
      </c>
      <c r="W127" s="22">
        <f t="shared" si="15"/>
        <v>78</v>
      </c>
      <c r="X127" s="22">
        <f t="shared" si="16"/>
        <v>78</v>
      </c>
      <c r="Y127" s="22">
        <f>ROUNDDOWN(W127/HLOOKUP(D127,Table!$C$3:$D$4,2,0)*8,2)</f>
        <v>1.38</v>
      </c>
      <c r="Z127" s="22">
        <v>1</v>
      </c>
      <c r="AA127" s="22" t="s">
        <v>22</v>
      </c>
      <c r="AB127" s="22" t="s">
        <v>1265</v>
      </c>
      <c r="AC127" s="26">
        <v>43935</v>
      </c>
      <c r="AD127" s="26">
        <v>43938</v>
      </c>
      <c r="AE127" s="26">
        <v>43935</v>
      </c>
      <c r="AF127" s="26">
        <v>43935</v>
      </c>
      <c r="AG127" s="28" t="s">
        <v>201</v>
      </c>
      <c r="AH127" s="52">
        <v>1</v>
      </c>
      <c r="AI127" s="52">
        <v>1</v>
      </c>
      <c r="AJ127" s="52">
        <v>1</v>
      </c>
      <c r="AK127" s="28" t="s">
        <v>1077</v>
      </c>
      <c r="AL127" s="22"/>
      <c r="AM127" s="22"/>
      <c r="AN127" s="22"/>
    </row>
    <row r="128" spans="2:40" x14ac:dyDescent="0.25">
      <c r="B128" s="129">
        <v>81</v>
      </c>
      <c r="C128" s="23">
        <v>20200414</v>
      </c>
      <c r="D128" s="22" t="s">
        <v>3</v>
      </c>
      <c r="E128" s="22" t="s">
        <v>1032</v>
      </c>
      <c r="F128" s="24" t="s">
        <v>1036</v>
      </c>
      <c r="G128" s="24">
        <v>1390624</v>
      </c>
      <c r="H128" s="134" t="s">
        <v>67</v>
      </c>
      <c r="I128" s="22" t="s">
        <v>1056</v>
      </c>
      <c r="J128" s="134" t="s">
        <v>67</v>
      </c>
      <c r="K128" s="22" t="s">
        <v>972</v>
      </c>
      <c r="L128" s="22">
        <v>81728</v>
      </c>
      <c r="M128" s="22" t="s">
        <v>67</v>
      </c>
      <c r="N128" s="22" t="s">
        <v>1072</v>
      </c>
      <c r="O128" s="24" t="s">
        <v>67</v>
      </c>
      <c r="P128" s="24" t="s">
        <v>1095</v>
      </c>
      <c r="Q128" s="25"/>
      <c r="R128" s="134" t="s">
        <v>67</v>
      </c>
      <c r="S128" s="22" t="s">
        <v>932</v>
      </c>
      <c r="T128" s="22"/>
      <c r="U128" s="22"/>
      <c r="V128" s="22">
        <v>24</v>
      </c>
      <c r="W128" s="22">
        <f t="shared" si="15"/>
        <v>24</v>
      </c>
      <c r="X128" s="22">
        <f t="shared" si="16"/>
        <v>24</v>
      </c>
      <c r="Y128" s="22">
        <f>ROUNDDOWN(W128/HLOOKUP(D128,Table!$C$3:$D$4,2,0)*8,2)</f>
        <v>0.42</v>
      </c>
      <c r="Z128" s="22">
        <v>0.5</v>
      </c>
      <c r="AA128" s="22" t="s">
        <v>22</v>
      </c>
      <c r="AB128" s="22" t="s">
        <v>1265</v>
      </c>
      <c r="AC128" s="26">
        <v>43935</v>
      </c>
      <c r="AD128" s="26">
        <v>43938</v>
      </c>
      <c r="AE128" s="26">
        <v>43935</v>
      </c>
      <c r="AF128" s="26">
        <v>43935</v>
      </c>
      <c r="AG128" s="28" t="s">
        <v>201</v>
      </c>
      <c r="AH128" s="52">
        <v>1</v>
      </c>
      <c r="AI128" s="52">
        <v>1</v>
      </c>
      <c r="AJ128" s="52">
        <v>1</v>
      </c>
      <c r="AK128" s="28" t="s">
        <v>1077</v>
      </c>
      <c r="AL128" s="22"/>
      <c r="AM128" s="22"/>
      <c r="AN128" s="22"/>
    </row>
    <row r="129" spans="2:40" x14ac:dyDescent="0.25">
      <c r="B129" s="129">
        <v>82</v>
      </c>
      <c r="C129" s="23">
        <v>20200414</v>
      </c>
      <c r="D129" s="22" t="s">
        <v>3</v>
      </c>
      <c r="E129" s="22" t="s">
        <v>1032</v>
      </c>
      <c r="F129" s="24" t="s">
        <v>1037</v>
      </c>
      <c r="G129" s="24">
        <v>1390624</v>
      </c>
      <c r="H129" s="134" t="s">
        <v>67</v>
      </c>
      <c r="I129" s="22" t="s">
        <v>1057</v>
      </c>
      <c r="J129" s="134" t="s">
        <v>67</v>
      </c>
      <c r="K129" s="22" t="s">
        <v>972</v>
      </c>
      <c r="L129" s="22">
        <v>81728</v>
      </c>
      <c r="M129" s="22" t="s">
        <v>67</v>
      </c>
      <c r="N129" s="22" t="s">
        <v>1072</v>
      </c>
      <c r="O129" s="24" t="s">
        <v>67</v>
      </c>
      <c r="P129" s="24" t="s">
        <v>1095</v>
      </c>
      <c r="Q129" s="25"/>
      <c r="R129" s="134" t="s">
        <v>67</v>
      </c>
      <c r="S129" s="22" t="s">
        <v>932</v>
      </c>
      <c r="T129" s="22"/>
      <c r="U129" s="22"/>
      <c r="V129" s="22">
        <v>12</v>
      </c>
      <c r="W129" s="22">
        <f t="shared" si="15"/>
        <v>12</v>
      </c>
      <c r="X129" s="22">
        <f t="shared" si="16"/>
        <v>12</v>
      </c>
      <c r="Y129" s="22">
        <f>ROUNDDOWN(W129/HLOOKUP(D129,Table!$C$3:$D$4,2,0)*8,2)</f>
        <v>0.21</v>
      </c>
      <c r="Z129" s="22">
        <v>0.25</v>
      </c>
      <c r="AA129" s="22" t="s">
        <v>22</v>
      </c>
      <c r="AB129" s="22" t="s">
        <v>1265</v>
      </c>
      <c r="AC129" s="26">
        <v>43935</v>
      </c>
      <c r="AD129" s="26">
        <v>43938</v>
      </c>
      <c r="AE129" s="26">
        <v>43935</v>
      </c>
      <c r="AF129" s="26">
        <v>43935</v>
      </c>
      <c r="AG129" s="28" t="s">
        <v>201</v>
      </c>
      <c r="AH129" s="52">
        <v>1</v>
      </c>
      <c r="AI129" s="52">
        <v>1</v>
      </c>
      <c r="AJ129" s="52">
        <v>1</v>
      </c>
      <c r="AK129" s="28" t="s">
        <v>1077</v>
      </c>
      <c r="AL129" s="22"/>
      <c r="AM129" s="22"/>
      <c r="AN129" s="22"/>
    </row>
    <row r="130" spans="2:40" x14ac:dyDescent="0.25">
      <c r="B130" s="129">
        <v>83</v>
      </c>
      <c r="C130" s="23">
        <v>20200414</v>
      </c>
      <c r="D130" s="22" t="s">
        <v>3</v>
      </c>
      <c r="E130" s="22" t="s">
        <v>1032</v>
      </c>
      <c r="F130" s="24" t="s">
        <v>1037</v>
      </c>
      <c r="G130" s="24">
        <v>1390624</v>
      </c>
      <c r="H130" s="134" t="s">
        <v>67</v>
      </c>
      <c r="I130" s="22" t="s">
        <v>1058</v>
      </c>
      <c r="J130" s="134" t="s">
        <v>67</v>
      </c>
      <c r="K130" s="22" t="s">
        <v>972</v>
      </c>
      <c r="L130" s="22">
        <v>81728</v>
      </c>
      <c r="M130" s="22" t="s">
        <v>67</v>
      </c>
      <c r="N130" s="22" t="s">
        <v>1072</v>
      </c>
      <c r="O130" s="24" t="s">
        <v>67</v>
      </c>
      <c r="P130" s="24" t="s">
        <v>1095</v>
      </c>
      <c r="Q130" s="25"/>
      <c r="R130" s="134" t="s">
        <v>67</v>
      </c>
      <c r="S130" s="22" t="s">
        <v>932</v>
      </c>
      <c r="T130" s="22"/>
      <c r="U130" s="22"/>
      <c r="V130" s="22">
        <v>0</v>
      </c>
      <c r="W130" s="22">
        <f t="shared" si="15"/>
        <v>0</v>
      </c>
      <c r="X130" s="22">
        <f t="shared" si="16"/>
        <v>0</v>
      </c>
      <c r="Y130" s="22">
        <f>ROUNDDOWN(W130/HLOOKUP(D130,Table!$C$3:$D$4,2,0)*8,2)</f>
        <v>0</v>
      </c>
      <c r="Z130" s="22">
        <v>0</v>
      </c>
      <c r="AA130" s="22" t="s">
        <v>22</v>
      </c>
      <c r="AB130" s="22" t="s">
        <v>1265</v>
      </c>
      <c r="AC130" s="26">
        <v>43935</v>
      </c>
      <c r="AD130" s="26">
        <v>43938</v>
      </c>
      <c r="AE130" s="26">
        <v>43935</v>
      </c>
      <c r="AF130" s="26">
        <v>43935</v>
      </c>
      <c r="AG130" s="28" t="s">
        <v>201</v>
      </c>
      <c r="AH130" s="58" t="s">
        <v>67</v>
      </c>
      <c r="AI130" s="58" t="s">
        <v>67</v>
      </c>
      <c r="AJ130" s="58" t="s">
        <v>67</v>
      </c>
      <c r="AK130" s="28" t="s">
        <v>1077</v>
      </c>
      <c r="AL130" s="22"/>
      <c r="AM130" s="22"/>
      <c r="AN130" s="22" t="s">
        <v>1266</v>
      </c>
    </row>
    <row r="131" spans="2:40" x14ac:dyDescent="0.25">
      <c r="B131" s="129">
        <v>84</v>
      </c>
      <c r="C131" s="23">
        <v>20200414</v>
      </c>
      <c r="D131" s="22" t="s">
        <v>3</v>
      </c>
      <c r="E131" s="22" t="s">
        <v>1032</v>
      </c>
      <c r="F131" s="24" t="s">
        <v>1037</v>
      </c>
      <c r="G131" s="24">
        <v>1390624</v>
      </c>
      <c r="H131" s="134" t="s">
        <v>67</v>
      </c>
      <c r="I131" s="22" t="s">
        <v>1059</v>
      </c>
      <c r="J131" s="134" t="s">
        <v>67</v>
      </c>
      <c r="K131" s="22" t="s">
        <v>972</v>
      </c>
      <c r="L131" s="22">
        <v>81728</v>
      </c>
      <c r="M131" s="22" t="s">
        <v>67</v>
      </c>
      <c r="N131" s="22" t="s">
        <v>1072</v>
      </c>
      <c r="O131" s="24" t="s">
        <v>67</v>
      </c>
      <c r="P131" s="24" t="s">
        <v>1095</v>
      </c>
      <c r="Q131" s="25"/>
      <c r="R131" s="134" t="s">
        <v>67</v>
      </c>
      <c r="S131" s="22" t="s">
        <v>932</v>
      </c>
      <c r="T131" s="22"/>
      <c r="U131" s="22"/>
      <c r="V131" s="22">
        <v>5</v>
      </c>
      <c r="W131" s="22">
        <f t="shared" si="15"/>
        <v>5</v>
      </c>
      <c r="X131" s="22">
        <f t="shared" si="16"/>
        <v>5</v>
      </c>
      <c r="Y131" s="22">
        <f>ROUNDDOWN(W131/HLOOKUP(D131,Table!$C$3:$D$4,2,0)*8,2)</f>
        <v>0.08</v>
      </c>
      <c r="Z131" s="22">
        <v>0.08</v>
      </c>
      <c r="AA131" s="22" t="s">
        <v>22</v>
      </c>
      <c r="AB131" s="22" t="s">
        <v>1265</v>
      </c>
      <c r="AC131" s="26">
        <v>43935</v>
      </c>
      <c r="AD131" s="26">
        <v>43938</v>
      </c>
      <c r="AE131" s="26">
        <v>43935</v>
      </c>
      <c r="AF131" s="26">
        <v>43935</v>
      </c>
      <c r="AG131" s="28" t="s">
        <v>201</v>
      </c>
      <c r="AH131" s="52">
        <v>1</v>
      </c>
      <c r="AI131" s="52">
        <v>1</v>
      </c>
      <c r="AJ131" s="52">
        <v>1</v>
      </c>
      <c r="AK131" s="28" t="s">
        <v>1077</v>
      </c>
      <c r="AL131" s="22"/>
      <c r="AM131" s="22"/>
      <c r="AN131" s="22"/>
    </row>
    <row r="132" spans="2:40" x14ac:dyDescent="0.25">
      <c r="B132" s="129">
        <v>85</v>
      </c>
      <c r="C132" s="23">
        <v>20200414</v>
      </c>
      <c r="D132" s="22" t="s">
        <v>3</v>
      </c>
      <c r="E132" s="22" t="s">
        <v>1032</v>
      </c>
      <c r="F132" s="24" t="s">
        <v>1038</v>
      </c>
      <c r="G132" s="24">
        <v>1390624</v>
      </c>
      <c r="H132" s="134" t="s">
        <v>67</v>
      </c>
      <c r="I132" s="22" t="s">
        <v>1060</v>
      </c>
      <c r="J132" s="134" t="s">
        <v>67</v>
      </c>
      <c r="K132" s="22" t="s">
        <v>972</v>
      </c>
      <c r="L132" s="22">
        <v>81728</v>
      </c>
      <c r="M132" s="22" t="s">
        <v>67</v>
      </c>
      <c r="N132" s="22" t="s">
        <v>1072</v>
      </c>
      <c r="O132" s="24" t="s">
        <v>67</v>
      </c>
      <c r="P132" s="24" t="s">
        <v>1095</v>
      </c>
      <c r="Q132" s="25"/>
      <c r="R132" s="134" t="s">
        <v>67</v>
      </c>
      <c r="S132" s="22" t="s">
        <v>932</v>
      </c>
      <c r="T132" s="22"/>
      <c r="U132" s="22"/>
      <c r="V132" s="22">
        <v>8</v>
      </c>
      <c r="W132" s="22">
        <f t="shared" si="15"/>
        <v>8</v>
      </c>
      <c r="X132" s="22">
        <f t="shared" si="16"/>
        <v>8</v>
      </c>
      <c r="Y132" s="22">
        <f>ROUNDDOWN(W132/HLOOKUP(D132,Table!$C$3:$D$4,2,0)*8,2)</f>
        <v>0.14000000000000001</v>
      </c>
      <c r="Z132" s="22">
        <v>0.12</v>
      </c>
      <c r="AA132" s="22" t="s">
        <v>22</v>
      </c>
      <c r="AB132" s="22" t="s">
        <v>1265</v>
      </c>
      <c r="AC132" s="26">
        <v>43935</v>
      </c>
      <c r="AD132" s="26">
        <v>43938</v>
      </c>
      <c r="AE132" s="26">
        <v>43935</v>
      </c>
      <c r="AF132" s="26">
        <v>43935</v>
      </c>
      <c r="AG132" s="28" t="s">
        <v>201</v>
      </c>
      <c r="AH132" s="52">
        <v>1</v>
      </c>
      <c r="AI132" s="52">
        <v>1</v>
      </c>
      <c r="AJ132" s="52">
        <v>1</v>
      </c>
      <c r="AK132" s="28" t="s">
        <v>1077</v>
      </c>
      <c r="AL132" s="22"/>
      <c r="AM132" s="22"/>
      <c r="AN132" s="22"/>
    </row>
    <row r="133" spans="2:40" x14ac:dyDescent="0.25">
      <c r="B133" s="129">
        <v>86</v>
      </c>
      <c r="C133" s="23">
        <v>20200414</v>
      </c>
      <c r="D133" s="22" t="s">
        <v>3</v>
      </c>
      <c r="E133" s="22" t="s">
        <v>1032</v>
      </c>
      <c r="F133" s="24" t="s">
        <v>1038</v>
      </c>
      <c r="G133" s="24">
        <v>1390624</v>
      </c>
      <c r="H133" s="134" t="s">
        <v>67</v>
      </c>
      <c r="I133" s="22" t="s">
        <v>1061</v>
      </c>
      <c r="J133" s="134" t="s">
        <v>67</v>
      </c>
      <c r="K133" s="22" t="s">
        <v>972</v>
      </c>
      <c r="L133" s="22">
        <v>81728</v>
      </c>
      <c r="M133" s="22" t="s">
        <v>67</v>
      </c>
      <c r="N133" s="22" t="s">
        <v>1072</v>
      </c>
      <c r="O133" s="24" t="s">
        <v>67</v>
      </c>
      <c r="P133" s="24" t="s">
        <v>1095</v>
      </c>
      <c r="Q133" s="25"/>
      <c r="R133" s="134" t="s">
        <v>67</v>
      </c>
      <c r="S133" s="22" t="s">
        <v>932</v>
      </c>
      <c r="T133" s="22"/>
      <c r="U133" s="22"/>
      <c r="V133" s="22">
        <v>5</v>
      </c>
      <c r="W133" s="22">
        <f t="shared" si="15"/>
        <v>5</v>
      </c>
      <c r="X133" s="22">
        <f t="shared" si="16"/>
        <v>5</v>
      </c>
      <c r="Y133" s="22">
        <f>ROUNDDOWN(W133/HLOOKUP(D133,Table!$C$3:$D$4,2,0)*8,2)</f>
        <v>0.08</v>
      </c>
      <c r="Z133" s="22">
        <v>0.12</v>
      </c>
      <c r="AA133" s="22" t="s">
        <v>22</v>
      </c>
      <c r="AB133" s="22" t="s">
        <v>1265</v>
      </c>
      <c r="AC133" s="26">
        <v>43935</v>
      </c>
      <c r="AD133" s="26">
        <v>43938</v>
      </c>
      <c r="AE133" s="26">
        <v>43935</v>
      </c>
      <c r="AF133" s="26">
        <v>43935</v>
      </c>
      <c r="AG133" s="28" t="s">
        <v>201</v>
      </c>
      <c r="AH133" s="52">
        <v>1</v>
      </c>
      <c r="AI133" s="52">
        <v>1</v>
      </c>
      <c r="AJ133" s="52">
        <v>1</v>
      </c>
      <c r="AK133" s="28" t="s">
        <v>1077</v>
      </c>
      <c r="AL133" s="22"/>
      <c r="AM133" s="22"/>
      <c r="AN133" s="22"/>
    </row>
    <row r="134" spans="2:40" x14ac:dyDescent="0.25">
      <c r="B134" s="129">
        <v>87</v>
      </c>
      <c r="C134" s="23">
        <v>20200414</v>
      </c>
      <c r="D134" s="22" t="s">
        <v>3</v>
      </c>
      <c r="E134" s="22" t="s">
        <v>1032</v>
      </c>
      <c r="F134" s="24" t="s">
        <v>1038</v>
      </c>
      <c r="G134" s="24">
        <v>1390624</v>
      </c>
      <c r="H134" s="134" t="s">
        <v>67</v>
      </c>
      <c r="I134" s="22" t="s">
        <v>1062</v>
      </c>
      <c r="J134" s="134" t="s">
        <v>67</v>
      </c>
      <c r="K134" s="22" t="s">
        <v>972</v>
      </c>
      <c r="L134" s="22">
        <v>81728</v>
      </c>
      <c r="M134" s="22" t="s">
        <v>67</v>
      </c>
      <c r="N134" s="22" t="s">
        <v>1072</v>
      </c>
      <c r="O134" s="24" t="s">
        <v>67</v>
      </c>
      <c r="P134" s="24" t="s">
        <v>1095</v>
      </c>
      <c r="Q134" s="25"/>
      <c r="R134" s="134" t="s">
        <v>67</v>
      </c>
      <c r="S134" s="22" t="s">
        <v>932</v>
      </c>
      <c r="T134" s="22"/>
      <c r="U134" s="22"/>
      <c r="V134" s="22">
        <v>10</v>
      </c>
      <c r="W134" s="22">
        <f t="shared" si="15"/>
        <v>10</v>
      </c>
      <c r="X134" s="22">
        <f t="shared" si="16"/>
        <v>10</v>
      </c>
      <c r="Y134" s="22">
        <f>ROUNDDOWN(W134/HLOOKUP(D134,Table!$C$3:$D$4,2,0)*8,2)</f>
        <v>0.17</v>
      </c>
      <c r="Z134" s="22">
        <v>0.12</v>
      </c>
      <c r="AA134" s="22" t="s">
        <v>22</v>
      </c>
      <c r="AB134" s="22" t="s">
        <v>1265</v>
      </c>
      <c r="AC134" s="26">
        <v>43935</v>
      </c>
      <c r="AD134" s="26">
        <v>43938</v>
      </c>
      <c r="AE134" s="26">
        <v>43935</v>
      </c>
      <c r="AF134" s="26">
        <v>43935</v>
      </c>
      <c r="AG134" s="28" t="s">
        <v>201</v>
      </c>
      <c r="AH134" s="52">
        <v>1</v>
      </c>
      <c r="AI134" s="52">
        <v>1</v>
      </c>
      <c r="AJ134" s="52">
        <v>1</v>
      </c>
      <c r="AK134" s="28" t="s">
        <v>1077</v>
      </c>
      <c r="AL134" s="22"/>
      <c r="AM134" s="22"/>
      <c r="AN134" s="22"/>
    </row>
    <row r="135" spans="2:40" x14ac:dyDescent="0.25">
      <c r="B135" s="129">
        <v>88</v>
      </c>
      <c r="C135" s="23">
        <v>20200414</v>
      </c>
      <c r="D135" s="22" t="s">
        <v>3</v>
      </c>
      <c r="E135" s="22" t="s">
        <v>1032</v>
      </c>
      <c r="F135" s="24" t="s">
        <v>1039</v>
      </c>
      <c r="G135" s="24">
        <v>1390624</v>
      </c>
      <c r="H135" s="134" t="s">
        <v>67</v>
      </c>
      <c r="I135" s="22" t="s">
        <v>1063</v>
      </c>
      <c r="J135" s="134" t="s">
        <v>67</v>
      </c>
      <c r="K135" s="22" t="s">
        <v>972</v>
      </c>
      <c r="L135" s="22">
        <v>81728</v>
      </c>
      <c r="M135" s="22" t="s">
        <v>67</v>
      </c>
      <c r="N135" s="22" t="s">
        <v>1072</v>
      </c>
      <c r="O135" s="24" t="s">
        <v>67</v>
      </c>
      <c r="P135" s="24" t="s">
        <v>1095</v>
      </c>
      <c r="Q135" s="25"/>
      <c r="R135" s="134" t="s">
        <v>67</v>
      </c>
      <c r="S135" s="22" t="s">
        <v>932</v>
      </c>
      <c r="T135" s="22"/>
      <c r="U135" s="22"/>
      <c r="V135" s="22">
        <v>52</v>
      </c>
      <c r="W135" s="22">
        <f t="shared" si="15"/>
        <v>52</v>
      </c>
      <c r="X135" s="22">
        <f t="shared" si="16"/>
        <v>52</v>
      </c>
      <c r="Y135" s="22">
        <f>ROUNDDOWN(W135/HLOOKUP(D135,Table!$C$3:$D$4,2,0)*8,2)</f>
        <v>0.92</v>
      </c>
      <c r="Z135" s="22">
        <v>1</v>
      </c>
      <c r="AA135" s="22" t="s">
        <v>22</v>
      </c>
      <c r="AB135" s="22" t="s">
        <v>1265</v>
      </c>
      <c r="AC135" s="26">
        <v>43935</v>
      </c>
      <c r="AD135" s="26">
        <v>43938</v>
      </c>
      <c r="AE135" s="26">
        <v>43935</v>
      </c>
      <c r="AF135" s="26">
        <v>43935</v>
      </c>
      <c r="AG135" s="28" t="s">
        <v>201</v>
      </c>
      <c r="AH135" s="52">
        <v>1</v>
      </c>
      <c r="AI135" s="52">
        <v>1</v>
      </c>
      <c r="AJ135" s="52">
        <v>1</v>
      </c>
      <c r="AK135" s="28" t="s">
        <v>1077</v>
      </c>
      <c r="AL135" s="22"/>
      <c r="AM135" s="22"/>
      <c r="AN135" s="22"/>
    </row>
    <row r="136" spans="2:40" x14ac:dyDescent="0.25">
      <c r="B136" s="129">
        <v>89</v>
      </c>
      <c r="C136" s="23">
        <v>20200414</v>
      </c>
      <c r="D136" s="22" t="s">
        <v>3</v>
      </c>
      <c r="E136" s="22" t="s">
        <v>1032</v>
      </c>
      <c r="F136" s="24" t="s">
        <v>1040</v>
      </c>
      <c r="G136" s="24">
        <v>1390624</v>
      </c>
      <c r="H136" s="134" t="s">
        <v>67</v>
      </c>
      <c r="I136" s="22" t="s">
        <v>1064</v>
      </c>
      <c r="J136" s="134" t="s">
        <v>67</v>
      </c>
      <c r="K136" s="22" t="s">
        <v>972</v>
      </c>
      <c r="L136" s="22">
        <v>81728</v>
      </c>
      <c r="M136" s="22" t="s">
        <v>67</v>
      </c>
      <c r="N136" s="22" t="s">
        <v>1072</v>
      </c>
      <c r="O136" s="24" t="s">
        <v>67</v>
      </c>
      <c r="P136" s="24" t="s">
        <v>1095</v>
      </c>
      <c r="Q136" s="25"/>
      <c r="R136" s="134" t="s">
        <v>67</v>
      </c>
      <c r="S136" s="22" t="s">
        <v>932</v>
      </c>
      <c r="T136" s="22"/>
      <c r="U136" s="22"/>
      <c r="V136" s="22">
        <v>18</v>
      </c>
      <c r="W136" s="22">
        <f t="shared" si="15"/>
        <v>18</v>
      </c>
      <c r="X136" s="22">
        <f t="shared" si="16"/>
        <v>18</v>
      </c>
      <c r="Y136" s="22">
        <f>ROUNDDOWN(W136/HLOOKUP(D136,Table!$C$3:$D$4,2,0)*8,2)</f>
        <v>0.32</v>
      </c>
      <c r="Z136" s="22">
        <v>0.25</v>
      </c>
      <c r="AA136" s="22" t="s">
        <v>22</v>
      </c>
      <c r="AB136" s="22" t="s">
        <v>1265</v>
      </c>
      <c r="AC136" s="26">
        <v>43935</v>
      </c>
      <c r="AD136" s="26">
        <v>43938</v>
      </c>
      <c r="AE136" s="26">
        <v>43935</v>
      </c>
      <c r="AF136" s="26">
        <v>43935</v>
      </c>
      <c r="AG136" s="28" t="s">
        <v>202</v>
      </c>
      <c r="AH136" s="52">
        <v>0.83</v>
      </c>
      <c r="AI136" s="52">
        <v>0.5</v>
      </c>
      <c r="AJ136" s="52">
        <v>1</v>
      </c>
      <c r="AK136" s="28" t="s">
        <v>852</v>
      </c>
      <c r="AL136" s="22" t="s">
        <v>1261</v>
      </c>
      <c r="AM136" s="22"/>
      <c r="AN136" s="22"/>
    </row>
    <row r="137" spans="2:40" x14ac:dyDescent="0.25">
      <c r="B137" s="129">
        <v>90</v>
      </c>
      <c r="C137" s="23">
        <v>20200414</v>
      </c>
      <c r="D137" s="22" t="s">
        <v>3</v>
      </c>
      <c r="E137" s="22" t="s">
        <v>1032</v>
      </c>
      <c r="F137" s="24" t="s">
        <v>1040</v>
      </c>
      <c r="G137" s="24">
        <v>1390624</v>
      </c>
      <c r="H137" s="134" t="s">
        <v>67</v>
      </c>
      <c r="I137" s="22" t="s">
        <v>1065</v>
      </c>
      <c r="J137" s="134" t="s">
        <v>67</v>
      </c>
      <c r="K137" s="22" t="s">
        <v>972</v>
      </c>
      <c r="L137" s="22">
        <v>81728</v>
      </c>
      <c r="M137" s="22" t="s">
        <v>67</v>
      </c>
      <c r="N137" s="22" t="s">
        <v>1072</v>
      </c>
      <c r="O137" s="24" t="s">
        <v>67</v>
      </c>
      <c r="P137" s="24" t="s">
        <v>1095</v>
      </c>
      <c r="Q137" s="25"/>
      <c r="R137" s="134" t="s">
        <v>67</v>
      </c>
      <c r="S137" s="22" t="s">
        <v>932</v>
      </c>
      <c r="T137" s="22"/>
      <c r="U137" s="22"/>
      <c r="V137" s="22">
        <v>0</v>
      </c>
      <c r="W137" s="22">
        <f t="shared" si="15"/>
        <v>0</v>
      </c>
      <c r="X137" s="22">
        <f t="shared" si="16"/>
        <v>0</v>
      </c>
      <c r="Y137" s="22">
        <f>ROUNDDOWN(W137/HLOOKUP(D137,Table!$C$3:$D$4,2,0)*8,2)</f>
        <v>0</v>
      </c>
      <c r="Z137" s="22">
        <v>0</v>
      </c>
      <c r="AA137" s="22" t="s">
        <v>22</v>
      </c>
      <c r="AB137" s="22" t="s">
        <v>1265</v>
      </c>
      <c r="AC137" s="26">
        <v>43935</v>
      </c>
      <c r="AD137" s="26">
        <v>43938</v>
      </c>
      <c r="AE137" s="26">
        <v>43935</v>
      </c>
      <c r="AF137" s="26">
        <v>43935</v>
      </c>
      <c r="AG137" s="28" t="s">
        <v>201</v>
      </c>
      <c r="AH137" s="58" t="s">
        <v>67</v>
      </c>
      <c r="AI137" s="58" t="s">
        <v>67</v>
      </c>
      <c r="AJ137" s="58" t="s">
        <v>67</v>
      </c>
      <c r="AK137" s="28" t="s">
        <v>1077</v>
      </c>
      <c r="AL137" s="22"/>
      <c r="AM137" s="22"/>
      <c r="AN137" s="22" t="s">
        <v>1266</v>
      </c>
    </row>
    <row r="138" spans="2:40" x14ac:dyDescent="0.25">
      <c r="B138" s="129">
        <v>91</v>
      </c>
      <c r="C138" s="23">
        <v>20200414</v>
      </c>
      <c r="D138" s="22" t="s">
        <v>3</v>
      </c>
      <c r="E138" s="22" t="s">
        <v>1032</v>
      </c>
      <c r="F138" s="24" t="s">
        <v>1041</v>
      </c>
      <c r="G138" s="24">
        <v>1390624</v>
      </c>
      <c r="H138" s="134" t="s">
        <v>67</v>
      </c>
      <c r="I138" s="22" t="s">
        <v>1066</v>
      </c>
      <c r="J138" s="134" t="s">
        <v>67</v>
      </c>
      <c r="K138" s="22" t="s">
        <v>972</v>
      </c>
      <c r="L138" s="22">
        <v>81728</v>
      </c>
      <c r="M138" s="22" t="s">
        <v>67</v>
      </c>
      <c r="N138" s="22" t="s">
        <v>1072</v>
      </c>
      <c r="O138" s="24" t="s">
        <v>67</v>
      </c>
      <c r="P138" s="24" t="s">
        <v>1095</v>
      </c>
      <c r="Q138" s="25"/>
      <c r="R138" s="134" t="s">
        <v>67</v>
      </c>
      <c r="S138" s="22" t="s">
        <v>932</v>
      </c>
      <c r="T138" s="22"/>
      <c r="U138" s="22"/>
      <c r="V138" s="22">
        <v>47</v>
      </c>
      <c r="W138" s="22">
        <f t="shared" si="15"/>
        <v>47</v>
      </c>
      <c r="X138" s="22">
        <f t="shared" si="16"/>
        <v>47</v>
      </c>
      <c r="Y138" s="22">
        <f>ROUNDDOWN(W138/HLOOKUP(D138,Table!$C$3:$D$4,2,0)*8,2)</f>
        <v>0.83</v>
      </c>
      <c r="Z138" s="22">
        <v>0.5</v>
      </c>
      <c r="AA138" s="22" t="s">
        <v>22</v>
      </c>
      <c r="AB138" s="22" t="s">
        <v>1265</v>
      </c>
      <c r="AC138" s="26">
        <v>43935</v>
      </c>
      <c r="AD138" s="26">
        <v>43938</v>
      </c>
      <c r="AE138" s="26">
        <v>43935</v>
      </c>
      <c r="AF138" s="26">
        <v>43935</v>
      </c>
      <c r="AG138" s="28" t="s">
        <v>202</v>
      </c>
      <c r="AH138" s="52">
        <v>1</v>
      </c>
      <c r="AI138" s="52">
        <v>0.91</v>
      </c>
      <c r="AJ138" s="52">
        <v>1</v>
      </c>
      <c r="AK138" s="28" t="s">
        <v>852</v>
      </c>
      <c r="AL138" s="22" t="s">
        <v>1262</v>
      </c>
      <c r="AM138" s="22"/>
      <c r="AN138" s="22"/>
    </row>
    <row r="139" spans="2:40" x14ac:dyDescent="0.25">
      <c r="B139" s="129">
        <v>92</v>
      </c>
      <c r="C139" s="23">
        <v>20200414</v>
      </c>
      <c r="D139" s="22" t="s">
        <v>3</v>
      </c>
      <c r="E139" s="22" t="s">
        <v>1032</v>
      </c>
      <c r="F139" s="24" t="s">
        <v>1041</v>
      </c>
      <c r="G139" s="24">
        <v>1390624</v>
      </c>
      <c r="H139" s="134" t="s">
        <v>67</v>
      </c>
      <c r="I139" s="22" t="s">
        <v>1067</v>
      </c>
      <c r="J139" s="134" t="s">
        <v>67</v>
      </c>
      <c r="K139" s="22" t="s">
        <v>972</v>
      </c>
      <c r="L139" s="22">
        <v>81728</v>
      </c>
      <c r="M139" s="22" t="s">
        <v>67</v>
      </c>
      <c r="N139" s="22" t="s">
        <v>1072</v>
      </c>
      <c r="O139" s="24" t="s">
        <v>67</v>
      </c>
      <c r="P139" s="24" t="s">
        <v>1095</v>
      </c>
      <c r="Q139" s="25"/>
      <c r="R139" s="134" t="s">
        <v>67</v>
      </c>
      <c r="S139" s="22" t="s">
        <v>932</v>
      </c>
      <c r="T139" s="22"/>
      <c r="U139" s="22"/>
      <c r="V139" s="22">
        <v>101</v>
      </c>
      <c r="W139" s="22">
        <f t="shared" si="15"/>
        <v>101</v>
      </c>
      <c r="X139" s="22">
        <f t="shared" si="16"/>
        <v>101</v>
      </c>
      <c r="Y139" s="22">
        <f>ROUNDDOWN(W139/HLOOKUP(D139,Table!$C$3:$D$4,2,0)*8,2)</f>
        <v>1.79</v>
      </c>
      <c r="Z139" s="22">
        <v>2</v>
      </c>
      <c r="AA139" s="22" t="s">
        <v>22</v>
      </c>
      <c r="AB139" s="22" t="s">
        <v>1265</v>
      </c>
      <c r="AC139" s="26">
        <v>43935</v>
      </c>
      <c r="AD139" s="26">
        <v>43938</v>
      </c>
      <c r="AE139" s="26">
        <v>43935</v>
      </c>
      <c r="AF139" s="26">
        <v>43936</v>
      </c>
      <c r="AG139" s="28" t="s">
        <v>202</v>
      </c>
      <c r="AH139" s="52">
        <v>0.95</v>
      </c>
      <c r="AI139" s="52">
        <v>1</v>
      </c>
      <c r="AJ139" s="52">
        <v>0.87</v>
      </c>
      <c r="AK139" s="28" t="s">
        <v>852</v>
      </c>
      <c r="AL139" s="22" t="s">
        <v>1264</v>
      </c>
      <c r="AM139" s="22"/>
      <c r="AN139" s="22"/>
    </row>
    <row r="140" spans="2:40" x14ac:dyDescent="0.25">
      <c r="B140" s="129">
        <v>93</v>
      </c>
      <c r="C140" s="23">
        <v>20200414</v>
      </c>
      <c r="D140" s="22" t="s">
        <v>3</v>
      </c>
      <c r="E140" s="22" t="s">
        <v>1032</v>
      </c>
      <c r="F140" s="24" t="s">
        <v>1041</v>
      </c>
      <c r="G140" s="24">
        <v>1390624</v>
      </c>
      <c r="H140" s="134" t="s">
        <v>67</v>
      </c>
      <c r="I140" s="22" t="s">
        <v>1068</v>
      </c>
      <c r="J140" s="134" t="s">
        <v>67</v>
      </c>
      <c r="K140" s="22" t="s">
        <v>972</v>
      </c>
      <c r="L140" s="22">
        <v>81728</v>
      </c>
      <c r="M140" s="22" t="s">
        <v>67</v>
      </c>
      <c r="N140" s="22" t="s">
        <v>1072</v>
      </c>
      <c r="O140" s="24" t="s">
        <v>67</v>
      </c>
      <c r="P140" s="24" t="s">
        <v>1095</v>
      </c>
      <c r="Q140" s="25"/>
      <c r="R140" s="134" t="s">
        <v>67</v>
      </c>
      <c r="S140" s="22" t="s">
        <v>932</v>
      </c>
      <c r="T140" s="22"/>
      <c r="U140" s="22"/>
      <c r="V140" s="22">
        <v>7</v>
      </c>
      <c r="W140" s="22">
        <f t="shared" si="15"/>
        <v>7</v>
      </c>
      <c r="X140" s="22">
        <f t="shared" si="16"/>
        <v>7</v>
      </c>
      <c r="Y140" s="22">
        <f>ROUNDDOWN(W140/HLOOKUP(D140,Table!$C$3:$D$4,2,0)*8,2)</f>
        <v>0.12</v>
      </c>
      <c r="Z140" s="22">
        <v>0.08</v>
      </c>
      <c r="AA140" s="22" t="s">
        <v>22</v>
      </c>
      <c r="AB140" s="22" t="s">
        <v>1265</v>
      </c>
      <c r="AC140" s="26">
        <v>43935</v>
      </c>
      <c r="AD140" s="26">
        <v>43938</v>
      </c>
      <c r="AE140" s="26">
        <v>43935</v>
      </c>
      <c r="AF140" s="26">
        <v>43936</v>
      </c>
      <c r="AG140" s="28" t="s">
        <v>201</v>
      </c>
      <c r="AH140" s="52">
        <v>1</v>
      </c>
      <c r="AI140" s="52">
        <v>1</v>
      </c>
      <c r="AJ140" s="52">
        <v>1</v>
      </c>
      <c r="AK140" s="28" t="s">
        <v>1077</v>
      </c>
      <c r="AL140" s="22"/>
      <c r="AM140" s="22"/>
      <c r="AN140" s="22"/>
    </row>
    <row r="141" spans="2:40" x14ac:dyDescent="0.25">
      <c r="B141" s="129">
        <v>94</v>
      </c>
      <c r="C141" s="23">
        <v>20200414</v>
      </c>
      <c r="D141" s="22" t="s">
        <v>3</v>
      </c>
      <c r="E141" s="22" t="s">
        <v>1032</v>
      </c>
      <c r="F141" s="24" t="s">
        <v>1041</v>
      </c>
      <c r="G141" s="24">
        <v>1390624</v>
      </c>
      <c r="H141" s="134" t="s">
        <v>67</v>
      </c>
      <c r="I141" s="22" t="s">
        <v>1069</v>
      </c>
      <c r="J141" s="134" t="s">
        <v>67</v>
      </c>
      <c r="K141" s="22" t="s">
        <v>972</v>
      </c>
      <c r="L141" s="22">
        <v>81728</v>
      </c>
      <c r="M141" s="22" t="s">
        <v>67</v>
      </c>
      <c r="N141" s="22" t="s">
        <v>1072</v>
      </c>
      <c r="O141" s="24" t="s">
        <v>67</v>
      </c>
      <c r="P141" s="24" t="s">
        <v>1095</v>
      </c>
      <c r="Q141" s="25"/>
      <c r="R141" s="134" t="s">
        <v>67</v>
      </c>
      <c r="S141" s="22" t="s">
        <v>932</v>
      </c>
      <c r="T141" s="22"/>
      <c r="U141" s="22"/>
      <c r="V141" s="22">
        <v>5</v>
      </c>
      <c r="W141" s="22">
        <f t="shared" si="15"/>
        <v>5</v>
      </c>
      <c r="X141" s="22">
        <f t="shared" si="16"/>
        <v>5</v>
      </c>
      <c r="Y141" s="22">
        <f>ROUNDDOWN(W141/HLOOKUP(D141,Table!$C$3:$D$4,2,0)*8,2)</f>
        <v>0.08</v>
      </c>
      <c r="Z141" s="22">
        <v>0.08</v>
      </c>
      <c r="AA141" s="22" t="s">
        <v>22</v>
      </c>
      <c r="AB141" s="22" t="s">
        <v>1265</v>
      </c>
      <c r="AC141" s="26">
        <v>43935</v>
      </c>
      <c r="AD141" s="26">
        <v>43938</v>
      </c>
      <c r="AE141" s="26">
        <v>43935</v>
      </c>
      <c r="AF141" s="26">
        <v>43936</v>
      </c>
      <c r="AG141" s="28" t="s">
        <v>201</v>
      </c>
      <c r="AH141" s="52">
        <v>1</v>
      </c>
      <c r="AI141" s="52">
        <v>1</v>
      </c>
      <c r="AJ141" s="52">
        <v>1</v>
      </c>
      <c r="AK141" s="28" t="s">
        <v>1077</v>
      </c>
      <c r="AL141" s="22"/>
      <c r="AM141" s="22"/>
      <c r="AN141" s="22"/>
    </row>
    <row r="142" spans="2:40" x14ac:dyDescent="0.25">
      <c r="B142" s="129">
        <v>95</v>
      </c>
      <c r="C142" s="23">
        <v>20200414</v>
      </c>
      <c r="D142" s="22" t="s">
        <v>3</v>
      </c>
      <c r="E142" s="22" t="s">
        <v>1032</v>
      </c>
      <c r="F142" s="24" t="s">
        <v>1041</v>
      </c>
      <c r="G142" s="24">
        <v>1390624</v>
      </c>
      <c r="H142" s="134" t="s">
        <v>67</v>
      </c>
      <c r="I142" s="22" t="s">
        <v>1070</v>
      </c>
      <c r="J142" s="134" t="s">
        <v>67</v>
      </c>
      <c r="K142" s="22" t="s">
        <v>972</v>
      </c>
      <c r="L142" s="22">
        <v>81728</v>
      </c>
      <c r="M142" s="22" t="s">
        <v>67</v>
      </c>
      <c r="N142" s="22" t="s">
        <v>1072</v>
      </c>
      <c r="O142" s="24" t="s">
        <v>67</v>
      </c>
      <c r="P142" s="24" t="s">
        <v>1095</v>
      </c>
      <c r="Q142" s="25"/>
      <c r="R142" s="134" t="s">
        <v>67</v>
      </c>
      <c r="S142" s="22" t="s">
        <v>932</v>
      </c>
      <c r="T142" s="22"/>
      <c r="U142" s="22"/>
      <c r="V142" s="22">
        <v>58</v>
      </c>
      <c r="W142" s="22">
        <f t="shared" si="15"/>
        <v>58</v>
      </c>
      <c r="X142" s="22">
        <f t="shared" si="16"/>
        <v>58</v>
      </c>
      <c r="Y142" s="22">
        <f>ROUNDDOWN(W142/HLOOKUP(D142,Table!$C$3:$D$4,2,0)*8,2)</f>
        <v>1.03</v>
      </c>
      <c r="Z142" s="22">
        <v>1</v>
      </c>
      <c r="AA142" s="22" t="s">
        <v>22</v>
      </c>
      <c r="AB142" s="22" t="s">
        <v>1265</v>
      </c>
      <c r="AC142" s="26">
        <v>43935</v>
      </c>
      <c r="AD142" s="26">
        <v>43938</v>
      </c>
      <c r="AE142" s="26">
        <v>43935</v>
      </c>
      <c r="AF142" s="26">
        <v>43936</v>
      </c>
      <c r="AG142" s="28" t="s">
        <v>201</v>
      </c>
      <c r="AH142" s="52">
        <v>1</v>
      </c>
      <c r="AI142" s="52">
        <v>1</v>
      </c>
      <c r="AJ142" s="52">
        <v>1</v>
      </c>
      <c r="AK142" s="28" t="s">
        <v>1077</v>
      </c>
      <c r="AL142" s="22"/>
      <c r="AM142" s="22"/>
      <c r="AN142" s="22"/>
    </row>
    <row r="143" spans="2:40" x14ac:dyDescent="0.25">
      <c r="B143" s="129">
        <v>96</v>
      </c>
      <c r="C143" s="23">
        <v>20200414</v>
      </c>
      <c r="D143" s="22" t="s">
        <v>3</v>
      </c>
      <c r="E143" s="22" t="s">
        <v>1032</v>
      </c>
      <c r="F143" s="24" t="s">
        <v>1041</v>
      </c>
      <c r="G143" s="24">
        <v>1390624</v>
      </c>
      <c r="H143" s="134" t="s">
        <v>67</v>
      </c>
      <c r="I143" s="22" t="s">
        <v>1071</v>
      </c>
      <c r="J143" s="134" t="s">
        <v>67</v>
      </c>
      <c r="K143" s="22" t="s">
        <v>972</v>
      </c>
      <c r="L143" s="22">
        <v>81728</v>
      </c>
      <c r="M143" s="22" t="s">
        <v>67</v>
      </c>
      <c r="N143" s="22" t="s">
        <v>1072</v>
      </c>
      <c r="O143" s="24" t="s">
        <v>67</v>
      </c>
      <c r="P143" s="24" t="s">
        <v>1095</v>
      </c>
      <c r="Q143" s="25"/>
      <c r="R143" s="134" t="s">
        <v>67</v>
      </c>
      <c r="S143" s="22" t="s">
        <v>932</v>
      </c>
      <c r="T143" s="22"/>
      <c r="U143" s="22"/>
      <c r="V143" s="22">
        <v>13</v>
      </c>
      <c r="W143" s="22">
        <f t="shared" si="15"/>
        <v>13</v>
      </c>
      <c r="X143" s="22">
        <f t="shared" si="16"/>
        <v>13</v>
      </c>
      <c r="Y143" s="22">
        <f>ROUNDDOWN(W143/HLOOKUP(D143,Table!$C$3:$D$4,2,0)*8,2)</f>
        <v>0.23</v>
      </c>
      <c r="Z143" s="22">
        <v>0.25</v>
      </c>
      <c r="AA143" s="22" t="s">
        <v>22</v>
      </c>
      <c r="AB143" s="22" t="s">
        <v>1265</v>
      </c>
      <c r="AC143" s="26">
        <v>43935</v>
      </c>
      <c r="AD143" s="26">
        <v>43938</v>
      </c>
      <c r="AE143" s="26">
        <v>43935</v>
      </c>
      <c r="AF143" s="26">
        <v>43936</v>
      </c>
      <c r="AG143" s="28" t="s">
        <v>201</v>
      </c>
      <c r="AH143" s="52">
        <v>1</v>
      </c>
      <c r="AI143" s="52">
        <v>1</v>
      </c>
      <c r="AJ143" s="52">
        <v>1</v>
      </c>
      <c r="AK143" s="28" t="s">
        <v>1077</v>
      </c>
      <c r="AL143" s="22"/>
      <c r="AM143" s="22"/>
      <c r="AN143" s="22"/>
    </row>
    <row r="144" spans="2:40" x14ac:dyDescent="0.25">
      <c r="B144" s="135">
        <v>97</v>
      </c>
      <c r="C144" s="23">
        <v>20200415</v>
      </c>
      <c r="D144" s="22" t="s">
        <v>3</v>
      </c>
      <c r="E144" s="22" t="s">
        <v>1079</v>
      </c>
      <c r="F144" s="24" t="s">
        <v>1080</v>
      </c>
      <c r="G144" s="24">
        <v>1420664</v>
      </c>
      <c r="H144" s="134" t="s">
        <v>67</v>
      </c>
      <c r="I144" s="22" t="s">
        <v>1081</v>
      </c>
      <c r="J144" s="134" t="s">
        <v>67</v>
      </c>
      <c r="K144" s="22" t="s">
        <v>972</v>
      </c>
      <c r="L144" s="22" t="s">
        <v>1082</v>
      </c>
      <c r="M144" s="22" t="s">
        <v>1015</v>
      </c>
      <c r="N144" s="22" t="s">
        <v>1083</v>
      </c>
      <c r="O144" s="24" t="s">
        <v>67</v>
      </c>
      <c r="P144" s="24" t="s">
        <v>1084</v>
      </c>
      <c r="Q144" s="25"/>
      <c r="R144" s="134" t="s">
        <v>67</v>
      </c>
      <c r="S144" s="22" t="s">
        <v>932</v>
      </c>
      <c r="T144" s="22"/>
      <c r="U144" s="22"/>
      <c r="V144" s="22">
        <v>74</v>
      </c>
      <c r="W144" s="22">
        <f t="shared" si="15"/>
        <v>74</v>
      </c>
      <c r="X144" s="22">
        <f t="shared" ref="X144:X150" si="17">W144</f>
        <v>74</v>
      </c>
      <c r="Y144" s="22">
        <f>ROUNDDOWN(W144/HLOOKUP(D144,Table!$C$3:$D$4,2,0)*8,2)</f>
        <v>1.31</v>
      </c>
      <c r="Z144" s="22">
        <v>0.75</v>
      </c>
      <c r="AA144" s="22" t="s">
        <v>22</v>
      </c>
      <c r="AB144" s="22" t="s">
        <v>1265</v>
      </c>
      <c r="AC144" s="26">
        <v>43936</v>
      </c>
      <c r="AD144" s="26">
        <v>43938</v>
      </c>
      <c r="AE144" s="26">
        <v>43936</v>
      </c>
      <c r="AF144" s="26">
        <v>43936</v>
      </c>
      <c r="AG144" s="28" t="s">
        <v>201</v>
      </c>
      <c r="AH144" s="52">
        <v>1</v>
      </c>
      <c r="AI144" s="52">
        <v>1</v>
      </c>
      <c r="AJ144" s="52">
        <v>1</v>
      </c>
      <c r="AK144" s="28" t="s">
        <v>1077</v>
      </c>
      <c r="AL144" s="22"/>
      <c r="AM144" s="22"/>
      <c r="AN144" s="22"/>
    </row>
    <row r="145" spans="2:40" x14ac:dyDescent="0.25">
      <c r="B145" s="136">
        <v>98</v>
      </c>
      <c r="C145" s="23">
        <v>20200416</v>
      </c>
      <c r="D145" s="22" t="s">
        <v>3</v>
      </c>
      <c r="E145" s="22" t="s">
        <v>1097</v>
      </c>
      <c r="F145" s="24" t="s">
        <v>1102</v>
      </c>
      <c r="G145" s="24">
        <v>1414211</v>
      </c>
      <c r="H145" s="134" t="s">
        <v>67</v>
      </c>
      <c r="I145" s="22" t="s">
        <v>1098</v>
      </c>
      <c r="J145" s="134" t="s">
        <v>67</v>
      </c>
      <c r="K145" s="22" t="s">
        <v>972</v>
      </c>
      <c r="L145" s="24" t="s">
        <v>1077</v>
      </c>
      <c r="M145" s="22" t="s">
        <v>1107</v>
      </c>
      <c r="N145" s="22" t="s">
        <v>1106</v>
      </c>
      <c r="O145" s="24" t="s">
        <v>67</v>
      </c>
      <c r="P145" s="24" t="s">
        <v>1096</v>
      </c>
      <c r="Q145" s="25"/>
      <c r="R145" s="134" t="s">
        <v>67</v>
      </c>
      <c r="S145" s="22" t="s">
        <v>932</v>
      </c>
      <c r="T145" s="22"/>
      <c r="U145" s="22"/>
      <c r="V145" s="22">
        <v>14</v>
      </c>
      <c r="W145" s="22">
        <f t="shared" si="15"/>
        <v>14</v>
      </c>
      <c r="X145" s="22">
        <f t="shared" si="17"/>
        <v>14</v>
      </c>
      <c r="Y145" s="22">
        <f>ROUNDDOWN(W145/HLOOKUP(D145,Table!$C$3:$D$4,2,0)*8,2)</f>
        <v>0.24</v>
      </c>
      <c r="Z145" s="22">
        <v>0.25</v>
      </c>
      <c r="AA145" s="22" t="s">
        <v>22</v>
      </c>
      <c r="AB145" s="22" t="s">
        <v>1265</v>
      </c>
      <c r="AC145" s="26">
        <v>43937</v>
      </c>
      <c r="AD145" s="26">
        <v>43938</v>
      </c>
      <c r="AE145" s="26">
        <v>43937</v>
      </c>
      <c r="AF145" s="26">
        <v>43937</v>
      </c>
      <c r="AG145" s="28" t="s">
        <v>201</v>
      </c>
      <c r="AH145" s="52">
        <v>1</v>
      </c>
      <c r="AI145" s="52">
        <v>1</v>
      </c>
      <c r="AJ145" s="52">
        <v>1</v>
      </c>
      <c r="AK145" s="28" t="s">
        <v>1077</v>
      </c>
      <c r="AL145" s="22"/>
      <c r="AM145" s="22"/>
      <c r="AN145" s="22"/>
    </row>
    <row r="146" spans="2:40" x14ac:dyDescent="0.25">
      <c r="B146" s="136">
        <v>99</v>
      </c>
      <c r="C146" s="23">
        <v>20200416</v>
      </c>
      <c r="D146" s="22" t="s">
        <v>3</v>
      </c>
      <c r="E146" s="22" t="s">
        <v>1097</v>
      </c>
      <c r="F146" s="24" t="s">
        <v>1103</v>
      </c>
      <c r="G146" s="24">
        <v>1414211</v>
      </c>
      <c r="H146" s="134" t="s">
        <v>67</v>
      </c>
      <c r="I146" s="22" t="s">
        <v>1099</v>
      </c>
      <c r="J146" s="134" t="s">
        <v>67</v>
      </c>
      <c r="K146" s="22" t="s">
        <v>972</v>
      </c>
      <c r="L146" s="24" t="s">
        <v>1077</v>
      </c>
      <c r="M146" s="22" t="s">
        <v>1107</v>
      </c>
      <c r="N146" s="22" t="s">
        <v>1106</v>
      </c>
      <c r="O146" s="24" t="s">
        <v>67</v>
      </c>
      <c r="P146" s="24" t="s">
        <v>1096</v>
      </c>
      <c r="Q146" s="25"/>
      <c r="R146" s="134" t="s">
        <v>67</v>
      </c>
      <c r="S146" s="22" t="s">
        <v>932</v>
      </c>
      <c r="T146" s="22"/>
      <c r="U146" s="22"/>
      <c r="V146" s="22">
        <v>14</v>
      </c>
      <c r="W146" s="22">
        <f t="shared" si="15"/>
        <v>14</v>
      </c>
      <c r="X146" s="22">
        <f t="shared" si="17"/>
        <v>14</v>
      </c>
      <c r="Y146" s="22">
        <f>ROUNDDOWN(W146/HLOOKUP(D146,Table!$C$3:$D$4,2,0)*8,2)</f>
        <v>0.24</v>
      </c>
      <c r="Z146" s="22">
        <v>0.12</v>
      </c>
      <c r="AA146" s="22" t="s">
        <v>22</v>
      </c>
      <c r="AB146" s="22" t="s">
        <v>1265</v>
      </c>
      <c r="AC146" s="26">
        <v>43937</v>
      </c>
      <c r="AD146" s="26">
        <v>43938</v>
      </c>
      <c r="AE146" s="26">
        <v>43937</v>
      </c>
      <c r="AF146" s="26">
        <v>43937</v>
      </c>
      <c r="AG146" s="28" t="s">
        <v>201</v>
      </c>
      <c r="AH146" s="52">
        <v>1</v>
      </c>
      <c r="AI146" s="52">
        <v>1</v>
      </c>
      <c r="AJ146" s="52">
        <v>1</v>
      </c>
      <c r="AK146" s="28" t="s">
        <v>1077</v>
      </c>
      <c r="AL146" s="22"/>
      <c r="AM146" s="22"/>
      <c r="AN146" s="22"/>
    </row>
    <row r="147" spans="2:40" x14ac:dyDescent="0.25">
      <c r="B147" s="136">
        <v>100</v>
      </c>
      <c r="C147" s="23">
        <v>20200416</v>
      </c>
      <c r="D147" s="22" t="s">
        <v>3</v>
      </c>
      <c r="E147" s="22" t="s">
        <v>1097</v>
      </c>
      <c r="F147" s="24" t="s">
        <v>1104</v>
      </c>
      <c r="G147" s="24">
        <v>1414211</v>
      </c>
      <c r="H147" s="134" t="s">
        <v>67</v>
      </c>
      <c r="I147" s="22" t="s">
        <v>1100</v>
      </c>
      <c r="J147" s="134" t="s">
        <v>67</v>
      </c>
      <c r="K147" s="22" t="s">
        <v>972</v>
      </c>
      <c r="L147" s="24" t="s">
        <v>1077</v>
      </c>
      <c r="M147" s="22" t="s">
        <v>1107</v>
      </c>
      <c r="N147" s="22" t="s">
        <v>1106</v>
      </c>
      <c r="O147" s="24" t="s">
        <v>67</v>
      </c>
      <c r="P147" s="24" t="s">
        <v>1096</v>
      </c>
      <c r="Q147" s="25"/>
      <c r="R147" s="134" t="s">
        <v>67</v>
      </c>
      <c r="S147" s="22" t="s">
        <v>932</v>
      </c>
      <c r="T147" s="22"/>
      <c r="U147" s="22"/>
      <c r="V147" s="22">
        <v>13</v>
      </c>
      <c r="W147" s="22">
        <f t="shared" si="15"/>
        <v>13</v>
      </c>
      <c r="X147" s="22">
        <f t="shared" si="17"/>
        <v>13</v>
      </c>
      <c r="Y147" s="22">
        <f>ROUNDDOWN(W147/HLOOKUP(D147,Table!$C$3:$D$4,2,0)*8,2)</f>
        <v>0.23</v>
      </c>
      <c r="Z147" s="22">
        <v>0.12</v>
      </c>
      <c r="AA147" s="22" t="s">
        <v>22</v>
      </c>
      <c r="AB147" s="22" t="s">
        <v>1265</v>
      </c>
      <c r="AC147" s="26">
        <v>43937</v>
      </c>
      <c r="AD147" s="26">
        <v>43938</v>
      </c>
      <c r="AE147" s="26">
        <v>43937</v>
      </c>
      <c r="AF147" s="26">
        <v>43937</v>
      </c>
      <c r="AG147" s="28" t="s">
        <v>201</v>
      </c>
      <c r="AH147" s="52">
        <v>1</v>
      </c>
      <c r="AI147" s="52">
        <v>1</v>
      </c>
      <c r="AJ147" s="52">
        <v>1</v>
      </c>
      <c r="AK147" s="28" t="s">
        <v>1077</v>
      </c>
      <c r="AL147" s="22"/>
      <c r="AM147" s="22"/>
      <c r="AN147" s="22"/>
    </row>
    <row r="148" spans="2:40" x14ac:dyDescent="0.25">
      <c r="B148" s="136">
        <v>101</v>
      </c>
      <c r="C148" s="23">
        <v>20200416</v>
      </c>
      <c r="D148" s="22" t="s">
        <v>3</v>
      </c>
      <c r="E148" s="22" t="s">
        <v>1097</v>
      </c>
      <c r="F148" s="24" t="s">
        <v>1105</v>
      </c>
      <c r="G148" s="24">
        <v>1414211</v>
      </c>
      <c r="H148" s="134" t="s">
        <v>67</v>
      </c>
      <c r="I148" s="22" t="s">
        <v>1101</v>
      </c>
      <c r="J148" s="134" t="s">
        <v>67</v>
      </c>
      <c r="K148" s="22" t="s">
        <v>972</v>
      </c>
      <c r="L148" s="24" t="s">
        <v>1077</v>
      </c>
      <c r="M148" s="22" t="s">
        <v>1107</v>
      </c>
      <c r="N148" s="22" t="s">
        <v>1106</v>
      </c>
      <c r="O148" s="24" t="s">
        <v>67</v>
      </c>
      <c r="P148" s="24" t="s">
        <v>1096</v>
      </c>
      <c r="Q148" s="25"/>
      <c r="R148" s="134" t="s">
        <v>67</v>
      </c>
      <c r="S148" s="22" t="s">
        <v>932</v>
      </c>
      <c r="T148" s="22"/>
      <c r="U148" s="22"/>
      <c r="V148" s="22">
        <v>13</v>
      </c>
      <c r="W148" s="22">
        <f t="shared" si="15"/>
        <v>13</v>
      </c>
      <c r="X148" s="22">
        <f t="shared" si="17"/>
        <v>13</v>
      </c>
      <c r="Y148" s="22">
        <f>ROUNDDOWN(W148/HLOOKUP(D148,Table!$C$3:$D$4,2,0)*8,2)</f>
        <v>0.23</v>
      </c>
      <c r="Z148" s="22">
        <v>0.12</v>
      </c>
      <c r="AA148" s="22" t="s">
        <v>22</v>
      </c>
      <c r="AB148" s="22" t="s">
        <v>1265</v>
      </c>
      <c r="AC148" s="26">
        <v>43937</v>
      </c>
      <c r="AD148" s="26">
        <v>43938</v>
      </c>
      <c r="AE148" s="26">
        <v>43937</v>
      </c>
      <c r="AF148" s="26">
        <v>43937</v>
      </c>
      <c r="AG148" s="28" t="s">
        <v>201</v>
      </c>
      <c r="AH148" s="52">
        <v>1</v>
      </c>
      <c r="AI148" s="52">
        <v>1</v>
      </c>
      <c r="AJ148" s="52">
        <v>1</v>
      </c>
      <c r="AK148" s="28" t="s">
        <v>1077</v>
      </c>
      <c r="AL148" s="22"/>
      <c r="AM148" s="22"/>
      <c r="AN148" s="22"/>
    </row>
    <row r="149" spans="2:40" x14ac:dyDescent="0.25">
      <c r="B149" s="137">
        <v>102</v>
      </c>
      <c r="C149" s="23">
        <v>20200416</v>
      </c>
      <c r="D149" s="22" t="s">
        <v>3</v>
      </c>
      <c r="E149" s="22" t="s">
        <v>1108</v>
      </c>
      <c r="F149" s="24" t="s">
        <v>1114</v>
      </c>
      <c r="G149" s="24">
        <v>1414361</v>
      </c>
      <c r="H149" s="134" t="s">
        <v>67</v>
      </c>
      <c r="I149" s="22" t="s">
        <v>1111</v>
      </c>
      <c r="J149" s="134" t="s">
        <v>67</v>
      </c>
      <c r="K149" s="139" t="s">
        <v>1118</v>
      </c>
      <c r="L149" s="24" t="s">
        <v>1077</v>
      </c>
      <c r="M149" s="22" t="s">
        <v>1109</v>
      </c>
      <c r="N149" s="22" t="s">
        <v>1113</v>
      </c>
      <c r="O149" s="24" t="s">
        <v>67</v>
      </c>
      <c r="P149" s="24" t="s">
        <v>1110</v>
      </c>
      <c r="Q149" s="25"/>
      <c r="R149" s="134" t="s">
        <v>67</v>
      </c>
      <c r="S149" s="22" t="s">
        <v>932</v>
      </c>
      <c r="T149" s="22"/>
      <c r="U149" s="22"/>
      <c r="V149" s="22">
        <v>28</v>
      </c>
      <c r="W149" s="22">
        <f t="shared" si="15"/>
        <v>28</v>
      </c>
      <c r="X149" s="22">
        <f t="shared" si="17"/>
        <v>28</v>
      </c>
      <c r="Y149" s="22">
        <f>ROUNDDOWN(W149/HLOOKUP(D149,Table!$C$3:$D$4,2,0)*8,2)</f>
        <v>0.49</v>
      </c>
      <c r="Z149" s="22">
        <v>0.5</v>
      </c>
      <c r="AA149" s="22" t="s">
        <v>22</v>
      </c>
      <c r="AB149" s="22" t="s">
        <v>1265</v>
      </c>
      <c r="AC149" s="26">
        <v>43937</v>
      </c>
      <c r="AD149" s="26">
        <v>43938</v>
      </c>
      <c r="AE149" s="26">
        <v>43937</v>
      </c>
      <c r="AF149" s="26">
        <v>43937</v>
      </c>
      <c r="AG149" s="28" t="s">
        <v>201</v>
      </c>
      <c r="AH149" s="52">
        <v>1</v>
      </c>
      <c r="AI149" s="52">
        <v>1</v>
      </c>
      <c r="AJ149" s="52">
        <v>1</v>
      </c>
      <c r="AK149" s="28" t="s">
        <v>1077</v>
      </c>
      <c r="AL149" s="22"/>
      <c r="AM149" s="22"/>
      <c r="AN149" s="22"/>
    </row>
    <row r="150" spans="2:40" x14ac:dyDescent="0.25">
      <c r="B150" s="137">
        <v>103</v>
      </c>
      <c r="C150" s="23">
        <v>20200416</v>
      </c>
      <c r="D150" s="22" t="s">
        <v>3</v>
      </c>
      <c r="E150" s="22" t="s">
        <v>1108</v>
      </c>
      <c r="F150" s="24" t="s">
        <v>1115</v>
      </c>
      <c r="G150" s="24">
        <v>1414361</v>
      </c>
      <c r="H150" s="134" t="s">
        <v>67</v>
      </c>
      <c r="I150" s="22" t="s">
        <v>1112</v>
      </c>
      <c r="J150" s="134" t="s">
        <v>67</v>
      </c>
      <c r="K150" s="139" t="s">
        <v>1118</v>
      </c>
      <c r="L150" s="24" t="s">
        <v>1077</v>
      </c>
      <c r="M150" s="22" t="s">
        <v>1109</v>
      </c>
      <c r="N150" s="22" t="s">
        <v>1113</v>
      </c>
      <c r="O150" s="24" t="s">
        <v>67</v>
      </c>
      <c r="P150" s="24" t="s">
        <v>1110</v>
      </c>
      <c r="Q150" s="25"/>
      <c r="R150" s="134" t="s">
        <v>67</v>
      </c>
      <c r="S150" s="22" t="s">
        <v>932</v>
      </c>
      <c r="T150" s="22"/>
      <c r="U150" s="22"/>
      <c r="V150" s="22">
        <v>50</v>
      </c>
      <c r="W150" s="22">
        <f t="shared" si="15"/>
        <v>50</v>
      </c>
      <c r="X150" s="22">
        <f t="shared" si="17"/>
        <v>50</v>
      </c>
      <c r="Y150" s="22">
        <f>ROUNDDOWN(W150/HLOOKUP(D150,Table!$C$3:$D$4,2,0)*8,2)</f>
        <v>0.88</v>
      </c>
      <c r="Z150" s="22">
        <v>1</v>
      </c>
      <c r="AA150" s="22" t="s">
        <v>22</v>
      </c>
      <c r="AB150" s="22" t="s">
        <v>1265</v>
      </c>
      <c r="AC150" s="26">
        <v>43937</v>
      </c>
      <c r="AD150" s="26">
        <v>43938</v>
      </c>
      <c r="AE150" s="26">
        <v>43937</v>
      </c>
      <c r="AF150" s="26">
        <v>43937</v>
      </c>
      <c r="AG150" s="28" t="s">
        <v>201</v>
      </c>
      <c r="AH150" s="52">
        <v>1</v>
      </c>
      <c r="AI150" s="52">
        <v>1</v>
      </c>
      <c r="AJ150" s="52">
        <v>1</v>
      </c>
      <c r="AK150" s="28" t="s">
        <v>1077</v>
      </c>
      <c r="AL150" s="22"/>
      <c r="AM150" s="22"/>
      <c r="AN150" s="22"/>
    </row>
    <row r="151" spans="2:40" x14ac:dyDescent="0.25">
      <c r="B151" s="140">
        <v>104</v>
      </c>
      <c r="C151" s="23">
        <v>20200416</v>
      </c>
      <c r="D151" s="22" t="s">
        <v>3</v>
      </c>
      <c r="E151" s="22" t="s">
        <v>1119</v>
      </c>
      <c r="F151" s="24" t="s">
        <v>1120</v>
      </c>
      <c r="G151" s="24">
        <v>1416225</v>
      </c>
      <c r="H151" s="134" t="s">
        <v>67</v>
      </c>
      <c r="I151" s="22" t="s">
        <v>1122</v>
      </c>
      <c r="J151" s="134" t="s">
        <v>67</v>
      </c>
      <c r="K151" s="22" t="s">
        <v>972</v>
      </c>
      <c r="L151" s="22">
        <v>80412</v>
      </c>
      <c r="M151" s="22" t="s">
        <v>67</v>
      </c>
      <c r="N151" s="22" t="s">
        <v>1125</v>
      </c>
      <c r="O151" s="24" t="s">
        <v>67</v>
      </c>
      <c r="P151" s="24" t="s">
        <v>1124</v>
      </c>
      <c r="Q151" s="25"/>
      <c r="R151" s="134" t="s">
        <v>67</v>
      </c>
      <c r="S151" s="22" t="s">
        <v>70</v>
      </c>
      <c r="T151" s="22"/>
      <c r="U151" s="22"/>
      <c r="V151" s="22">
        <v>116</v>
      </c>
      <c r="W151" s="22">
        <f t="shared" si="15"/>
        <v>116</v>
      </c>
      <c r="X151" s="22">
        <f>W151</f>
        <v>116</v>
      </c>
      <c r="Y151" s="22">
        <f>ROUNDDOWN(W151/HLOOKUP(D151,Table!$C$3:$D$4,2,0)*8,2)</f>
        <v>2.06</v>
      </c>
      <c r="Z151" s="22">
        <v>2</v>
      </c>
      <c r="AA151" s="22" t="s">
        <v>22</v>
      </c>
      <c r="AB151" s="22" t="s">
        <v>1265</v>
      </c>
      <c r="AC151" s="26">
        <v>43937</v>
      </c>
      <c r="AD151" s="26">
        <v>43938</v>
      </c>
      <c r="AE151" s="26">
        <v>43938</v>
      </c>
      <c r="AF151" s="26">
        <v>43938</v>
      </c>
      <c r="AG151" s="28" t="s">
        <v>201</v>
      </c>
      <c r="AH151" s="52">
        <v>1</v>
      </c>
      <c r="AI151" s="52">
        <v>1</v>
      </c>
      <c r="AJ151" s="52">
        <v>1</v>
      </c>
      <c r="AK151" s="28" t="s">
        <v>1077</v>
      </c>
      <c r="AL151" s="22"/>
      <c r="AM151" s="22"/>
      <c r="AN151" s="22"/>
    </row>
    <row r="152" spans="2:40" x14ac:dyDescent="0.25">
      <c r="B152" s="140">
        <v>105</v>
      </c>
      <c r="C152" s="23">
        <v>20200416</v>
      </c>
      <c r="D152" s="22" t="s">
        <v>3</v>
      </c>
      <c r="E152" s="22" t="s">
        <v>1119</v>
      </c>
      <c r="F152" s="24" t="s">
        <v>1121</v>
      </c>
      <c r="G152" s="24">
        <v>1416225</v>
      </c>
      <c r="H152" s="134" t="s">
        <v>67</v>
      </c>
      <c r="I152" s="22" t="s">
        <v>1123</v>
      </c>
      <c r="J152" s="134" t="s">
        <v>67</v>
      </c>
      <c r="K152" s="22" t="s">
        <v>972</v>
      </c>
      <c r="L152" s="22">
        <v>80412</v>
      </c>
      <c r="M152" s="22" t="s">
        <v>67</v>
      </c>
      <c r="N152" s="22" t="s">
        <v>1125</v>
      </c>
      <c r="O152" s="24" t="s">
        <v>67</v>
      </c>
      <c r="P152" s="24" t="s">
        <v>1124</v>
      </c>
      <c r="Q152" s="25"/>
      <c r="R152" s="134" t="s">
        <v>67</v>
      </c>
      <c r="S152" s="22" t="s">
        <v>70</v>
      </c>
      <c r="T152" s="22"/>
      <c r="U152" s="22"/>
      <c r="V152" s="22">
        <v>119</v>
      </c>
      <c r="W152" s="22">
        <f t="shared" si="15"/>
        <v>119</v>
      </c>
      <c r="X152" s="22">
        <f>W152</f>
        <v>119</v>
      </c>
      <c r="Y152" s="22">
        <f>ROUNDDOWN(W152/HLOOKUP(D152,Table!$C$3:$D$4,2,0)*8,2)</f>
        <v>2.11</v>
      </c>
      <c r="Z152" s="22">
        <v>2</v>
      </c>
      <c r="AA152" s="22" t="s">
        <v>22</v>
      </c>
      <c r="AB152" s="22" t="s">
        <v>1265</v>
      </c>
      <c r="AC152" s="26">
        <v>43937</v>
      </c>
      <c r="AD152" s="26">
        <v>43938</v>
      </c>
      <c r="AE152" s="26">
        <v>43938</v>
      </c>
      <c r="AF152" s="26">
        <v>43938</v>
      </c>
      <c r="AG152" s="28" t="s">
        <v>201</v>
      </c>
      <c r="AH152" s="52">
        <v>1</v>
      </c>
      <c r="AI152" s="52">
        <v>1</v>
      </c>
      <c r="AJ152" s="52">
        <v>1</v>
      </c>
      <c r="AK152" s="28" t="s">
        <v>1077</v>
      </c>
      <c r="AL152" s="22"/>
      <c r="AM152" s="22"/>
      <c r="AN152" s="22"/>
    </row>
    <row r="153" spans="2:40" x14ac:dyDescent="0.25">
      <c r="B153" s="140">
        <v>106</v>
      </c>
      <c r="C153" s="23">
        <v>20200416</v>
      </c>
      <c r="D153" s="22" t="s">
        <v>3</v>
      </c>
      <c r="E153" s="22" t="s">
        <v>1126</v>
      </c>
      <c r="F153" s="24" t="s">
        <v>1148</v>
      </c>
      <c r="G153" s="24">
        <v>1417633</v>
      </c>
      <c r="H153" s="134" t="s">
        <v>67</v>
      </c>
      <c r="I153" s="22" t="s">
        <v>1128</v>
      </c>
      <c r="J153" s="134" t="s">
        <v>67</v>
      </c>
      <c r="K153" s="22" t="s">
        <v>972</v>
      </c>
      <c r="L153" s="24">
        <v>82105</v>
      </c>
      <c r="M153" s="22" t="s">
        <v>1127</v>
      </c>
      <c r="N153" s="22" t="s">
        <v>1131</v>
      </c>
      <c r="O153" s="24" t="s">
        <v>67</v>
      </c>
      <c r="P153" s="24" t="s">
        <v>1130</v>
      </c>
      <c r="Q153" s="25"/>
      <c r="R153" s="134" t="s">
        <v>67</v>
      </c>
      <c r="S153" s="22" t="s">
        <v>70</v>
      </c>
      <c r="T153" s="22"/>
      <c r="U153" s="22"/>
      <c r="V153" s="22">
        <v>394</v>
      </c>
      <c r="W153" s="22">
        <f t="shared" si="15"/>
        <v>394</v>
      </c>
      <c r="X153" s="22">
        <f>W153</f>
        <v>394</v>
      </c>
      <c r="Y153" s="22">
        <f>ROUNDDOWN(W153/HLOOKUP(D153,Table!$C$3:$D$4,2,0)*8,2)</f>
        <v>7</v>
      </c>
      <c r="Z153" s="22">
        <v>2</v>
      </c>
      <c r="AA153" s="22" t="s">
        <v>22</v>
      </c>
      <c r="AB153" s="22" t="s">
        <v>1265</v>
      </c>
      <c r="AC153" s="26">
        <v>43937</v>
      </c>
      <c r="AD153" s="26">
        <v>43938</v>
      </c>
      <c r="AE153" s="26">
        <v>43938</v>
      </c>
      <c r="AF153" s="26">
        <v>43938</v>
      </c>
      <c r="AG153" s="28" t="s">
        <v>201</v>
      </c>
      <c r="AH153" s="52">
        <v>1</v>
      </c>
      <c r="AI153" s="52">
        <v>1</v>
      </c>
      <c r="AJ153" s="52">
        <v>1</v>
      </c>
      <c r="AK153" s="28" t="s">
        <v>1077</v>
      </c>
      <c r="AL153" s="22"/>
      <c r="AM153" s="22"/>
      <c r="AN153" s="22"/>
    </row>
    <row r="154" spans="2:40" x14ac:dyDescent="0.25">
      <c r="B154" s="140">
        <v>107</v>
      </c>
      <c r="C154" s="23">
        <v>20200416</v>
      </c>
      <c r="D154" s="22" t="s">
        <v>3</v>
      </c>
      <c r="E154" s="22" t="s">
        <v>1126</v>
      </c>
      <c r="F154" s="24" t="s">
        <v>1149</v>
      </c>
      <c r="G154" s="24">
        <v>1417633</v>
      </c>
      <c r="H154" s="134" t="s">
        <v>67</v>
      </c>
      <c r="I154" s="22" t="s">
        <v>1129</v>
      </c>
      <c r="J154" s="134" t="s">
        <v>67</v>
      </c>
      <c r="K154" s="22" t="s">
        <v>972</v>
      </c>
      <c r="L154" s="24">
        <v>82105</v>
      </c>
      <c r="M154" s="22" t="s">
        <v>1127</v>
      </c>
      <c r="N154" s="22" t="s">
        <v>1131</v>
      </c>
      <c r="O154" s="24" t="s">
        <v>67</v>
      </c>
      <c r="P154" s="24" t="s">
        <v>1130</v>
      </c>
      <c r="Q154" s="25"/>
      <c r="R154" s="134" t="s">
        <v>67</v>
      </c>
      <c r="S154" s="22" t="s">
        <v>70</v>
      </c>
      <c r="T154" s="22"/>
      <c r="U154" s="22"/>
      <c r="V154" s="22">
        <v>21</v>
      </c>
      <c r="W154" s="22">
        <f t="shared" si="15"/>
        <v>21</v>
      </c>
      <c r="X154" s="22">
        <f>W154</f>
        <v>21</v>
      </c>
      <c r="Y154" s="22">
        <f>ROUNDDOWN(W154/HLOOKUP(D154,Table!$C$3:$D$4,2,0)*8,2)</f>
        <v>0.37</v>
      </c>
      <c r="Z154" s="22">
        <v>2</v>
      </c>
      <c r="AA154" s="22" t="s">
        <v>22</v>
      </c>
      <c r="AB154" s="22" t="s">
        <v>1265</v>
      </c>
      <c r="AC154" s="26">
        <v>43937</v>
      </c>
      <c r="AD154" s="26">
        <v>43938</v>
      </c>
      <c r="AE154" s="26">
        <v>43938</v>
      </c>
      <c r="AF154" s="26">
        <v>43938</v>
      </c>
      <c r="AG154" s="28" t="s">
        <v>201</v>
      </c>
      <c r="AH154" s="52">
        <v>1</v>
      </c>
      <c r="AI154" s="52">
        <v>1</v>
      </c>
      <c r="AJ154" s="52">
        <v>1</v>
      </c>
      <c r="AK154" s="28" t="s">
        <v>1077</v>
      </c>
      <c r="AL154" s="22"/>
      <c r="AM154" s="22"/>
      <c r="AN154" s="22"/>
    </row>
    <row r="155" spans="2:40" x14ac:dyDescent="0.25">
      <c r="B155" s="146">
        <v>108</v>
      </c>
      <c r="C155" s="25">
        <v>20200416</v>
      </c>
      <c r="D155" s="25" t="s">
        <v>3</v>
      </c>
      <c r="E155" s="25" t="s">
        <v>1268</v>
      </c>
      <c r="F155" s="142" t="s">
        <v>1267</v>
      </c>
      <c r="G155" s="142">
        <v>1413225</v>
      </c>
      <c r="H155" s="134" t="s">
        <v>67</v>
      </c>
      <c r="I155" s="22" t="s">
        <v>1030</v>
      </c>
      <c r="J155" s="134" t="s">
        <v>67</v>
      </c>
      <c r="K155" s="22" t="s">
        <v>972</v>
      </c>
      <c r="L155" s="24">
        <v>80329</v>
      </c>
      <c r="M155" s="22" t="s">
        <v>1269</v>
      </c>
      <c r="N155" s="22" t="s">
        <v>1270</v>
      </c>
      <c r="O155" s="24"/>
      <c r="P155" s="24" t="s">
        <v>1233</v>
      </c>
      <c r="Q155" s="25"/>
      <c r="R155" s="134"/>
      <c r="S155" s="22" t="s">
        <v>72</v>
      </c>
      <c r="T155" s="22"/>
      <c r="U155" s="22"/>
      <c r="V155" s="22">
        <v>199</v>
      </c>
      <c r="W155" s="22">
        <f t="shared" si="15"/>
        <v>199</v>
      </c>
      <c r="X155" s="22">
        <f>W155</f>
        <v>199</v>
      </c>
      <c r="Y155" s="22">
        <f>ROUNDDOWN(W155/HLOOKUP(D155,Table!$C$3:$D$4,2,0)*8,2)</f>
        <v>3.53</v>
      </c>
      <c r="Z155" s="22">
        <v>2</v>
      </c>
      <c r="AA155" s="22" t="s">
        <v>22</v>
      </c>
      <c r="AB155" s="22" t="s">
        <v>1265</v>
      </c>
      <c r="AC155" s="26">
        <v>43937</v>
      </c>
      <c r="AD155" s="26">
        <v>43938</v>
      </c>
      <c r="AE155" s="26">
        <v>43938</v>
      </c>
      <c r="AF155" s="26">
        <v>43938</v>
      </c>
      <c r="AG155" s="28" t="s">
        <v>201</v>
      </c>
      <c r="AH155" s="52">
        <v>1</v>
      </c>
      <c r="AI155" s="52">
        <v>1</v>
      </c>
      <c r="AJ155" s="52">
        <v>1</v>
      </c>
      <c r="AK155" s="28" t="s">
        <v>1077</v>
      </c>
      <c r="AL155" s="22"/>
      <c r="AM155" s="22"/>
      <c r="AN155" s="22"/>
    </row>
    <row r="156" spans="2:40" x14ac:dyDescent="0.25">
      <c r="B156" s="146">
        <v>109</v>
      </c>
      <c r="C156" s="25">
        <v>20200416</v>
      </c>
      <c r="D156" s="25" t="s">
        <v>3</v>
      </c>
      <c r="E156" s="25" t="s">
        <v>1268</v>
      </c>
      <c r="F156" s="142" t="s">
        <v>1267</v>
      </c>
      <c r="G156" s="142">
        <v>1413225</v>
      </c>
      <c r="H156" s="134" t="s">
        <v>67</v>
      </c>
      <c r="I156" s="22" t="s">
        <v>1031</v>
      </c>
      <c r="J156" s="134" t="s">
        <v>67</v>
      </c>
      <c r="K156" s="22" t="s">
        <v>972</v>
      </c>
      <c r="L156" s="24">
        <v>80329</v>
      </c>
      <c r="M156" s="22" t="s">
        <v>1269</v>
      </c>
      <c r="N156" s="22" t="s">
        <v>1270</v>
      </c>
      <c r="O156" s="24"/>
      <c r="P156" s="24" t="s">
        <v>1233</v>
      </c>
      <c r="Q156" s="25"/>
      <c r="R156" s="134"/>
      <c r="S156" s="22" t="s">
        <v>72</v>
      </c>
      <c r="T156" s="22"/>
      <c r="U156" s="22"/>
      <c r="V156" s="22">
        <v>6</v>
      </c>
      <c r="W156" s="22">
        <f t="shared" ref="W156:W157" si="18">V156</f>
        <v>6</v>
      </c>
      <c r="X156" s="22">
        <f>W156</f>
        <v>6</v>
      </c>
      <c r="Y156" s="22">
        <f>ROUNDDOWN(W156/HLOOKUP(D156,Table!$C$3:$D$4,2,0)*8,2)</f>
        <v>0.1</v>
      </c>
      <c r="Z156" s="22">
        <v>1</v>
      </c>
      <c r="AA156" s="22" t="s">
        <v>22</v>
      </c>
      <c r="AB156" s="22" t="s">
        <v>1265</v>
      </c>
      <c r="AC156" s="26">
        <v>43937</v>
      </c>
      <c r="AD156" s="26">
        <v>43938</v>
      </c>
      <c r="AE156" s="26">
        <v>43938</v>
      </c>
      <c r="AF156" s="26">
        <v>43938</v>
      </c>
      <c r="AG156" s="28" t="s">
        <v>201</v>
      </c>
      <c r="AH156" s="58" t="s">
        <v>67</v>
      </c>
      <c r="AI156" s="58" t="s">
        <v>67</v>
      </c>
      <c r="AJ156" s="58" t="s">
        <v>67</v>
      </c>
      <c r="AK156" s="28" t="s">
        <v>1077</v>
      </c>
      <c r="AL156" s="22"/>
      <c r="AM156" s="22"/>
      <c r="AN156" s="22" t="s">
        <v>1266</v>
      </c>
    </row>
    <row r="157" spans="2:40" x14ac:dyDescent="0.25">
      <c r="B157" s="146">
        <v>110</v>
      </c>
      <c r="C157" s="25">
        <v>20200416</v>
      </c>
      <c r="D157" s="25" t="s">
        <v>3</v>
      </c>
      <c r="E157" s="25" t="s">
        <v>1268</v>
      </c>
      <c r="F157" s="142" t="s">
        <v>1267</v>
      </c>
      <c r="G157" s="142">
        <v>1413225</v>
      </c>
      <c r="H157" s="134" t="s">
        <v>67</v>
      </c>
      <c r="I157" s="22" t="s">
        <v>1023</v>
      </c>
      <c r="J157" s="134" t="s">
        <v>67</v>
      </c>
      <c r="K157" s="22" t="s">
        <v>972</v>
      </c>
      <c r="L157" s="24">
        <v>80329</v>
      </c>
      <c r="M157" s="22" t="s">
        <v>1269</v>
      </c>
      <c r="N157" s="22" t="s">
        <v>1270</v>
      </c>
      <c r="O157" s="24"/>
      <c r="P157" s="24" t="s">
        <v>1233</v>
      </c>
      <c r="Q157" s="25"/>
      <c r="R157" s="134"/>
      <c r="S157" s="22" t="s">
        <v>72</v>
      </c>
      <c r="T157" s="22"/>
      <c r="U157" s="22"/>
      <c r="V157" s="22">
        <v>72</v>
      </c>
      <c r="W157" s="22">
        <f t="shared" si="18"/>
        <v>72</v>
      </c>
      <c r="X157" s="22">
        <f>W157</f>
        <v>72</v>
      </c>
      <c r="Y157" s="22">
        <f>ROUNDDOWN(W157/HLOOKUP(D157,Table!$C$3:$D$4,2,0)*8,2)</f>
        <v>1.28</v>
      </c>
      <c r="Z157" s="22">
        <v>1</v>
      </c>
      <c r="AA157" s="22" t="s">
        <v>22</v>
      </c>
      <c r="AB157" s="22" t="s">
        <v>1265</v>
      </c>
      <c r="AC157" s="26">
        <v>43937</v>
      </c>
      <c r="AD157" s="26">
        <v>43938</v>
      </c>
      <c r="AE157" s="26">
        <v>43938</v>
      </c>
      <c r="AF157" s="26">
        <v>43938</v>
      </c>
      <c r="AG157" s="28" t="s">
        <v>201</v>
      </c>
      <c r="AH157" s="52">
        <v>1</v>
      </c>
      <c r="AI157" s="52">
        <v>1</v>
      </c>
      <c r="AJ157" s="52">
        <v>1</v>
      </c>
      <c r="AK157" s="28" t="s">
        <v>1077</v>
      </c>
      <c r="AL157" s="22"/>
      <c r="AM157" s="22"/>
      <c r="AN157" s="22"/>
    </row>
    <row r="158" spans="2:40" x14ac:dyDescent="0.25">
      <c r="B158" s="141">
        <v>111</v>
      </c>
      <c r="C158" s="23" t="s">
        <v>1259</v>
      </c>
      <c r="D158" s="22" t="s">
        <v>3</v>
      </c>
      <c r="E158" s="22" t="s">
        <v>1132</v>
      </c>
      <c r="F158" s="24" t="s">
        <v>1160</v>
      </c>
      <c r="G158" s="24">
        <v>1411690</v>
      </c>
      <c r="H158" s="134" t="s">
        <v>67</v>
      </c>
      <c r="I158" s="22" t="s">
        <v>1194</v>
      </c>
      <c r="J158" s="134" t="s">
        <v>67</v>
      </c>
      <c r="K158" s="22" t="s">
        <v>972</v>
      </c>
      <c r="L158" s="22">
        <v>81519</v>
      </c>
      <c r="M158" s="22" t="s">
        <v>67</v>
      </c>
      <c r="N158" s="22" t="s">
        <v>1243</v>
      </c>
      <c r="O158" s="24" t="s">
        <v>67</v>
      </c>
      <c r="P158" s="24" t="s">
        <v>1233</v>
      </c>
      <c r="Q158" s="25"/>
      <c r="R158" s="134" t="s">
        <v>67</v>
      </c>
      <c r="S158" s="22"/>
      <c r="T158" s="22"/>
      <c r="U158" s="22"/>
      <c r="V158" s="22">
        <v>1434</v>
      </c>
      <c r="W158" s="22">
        <f t="shared" ref="W158:W221" si="19">V158</f>
        <v>1434</v>
      </c>
      <c r="X158" s="22"/>
      <c r="Y158" s="22">
        <f>ROUNDDOWN(W158/HLOOKUP(D158,Table!$C$3:$D$4,2,0)*8,2)</f>
        <v>25.49</v>
      </c>
      <c r="Z158" s="22"/>
      <c r="AA158" s="22"/>
      <c r="AB158" s="22"/>
      <c r="AC158" s="26"/>
      <c r="AD158" s="26">
        <v>43945</v>
      </c>
      <c r="AE158" s="26"/>
      <c r="AF158" s="26"/>
      <c r="AG158" s="28"/>
      <c r="AH158" s="52"/>
      <c r="AI158" s="52"/>
      <c r="AJ158" s="52"/>
      <c r="AK158" s="28"/>
      <c r="AL158" s="22"/>
      <c r="AM158" s="22"/>
      <c r="AN158" s="22"/>
    </row>
    <row r="159" spans="2:40" x14ac:dyDescent="0.25">
      <c r="B159" s="141">
        <v>112</v>
      </c>
      <c r="C159" s="23" t="s">
        <v>1259</v>
      </c>
      <c r="D159" s="22" t="s">
        <v>3</v>
      </c>
      <c r="E159" s="22" t="s">
        <v>1132</v>
      </c>
      <c r="F159" s="24" t="s">
        <v>1160</v>
      </c>
      <c r="G159" s="24">
        <v>1411690</v>
      </c>
      <c r="H159" s="134" t="s">
        <v>67</v>
      </c>
      <c r="I159" s="22" t="s">
        <v>1195</v>
      </c>
      <c r="J159" s="134" t="s">
        <v>67</v>
      </c>
      <c r="K159" s="22" t="s">
        <v>972</v>
      </c>
      <c r="L159" s="22">
        <v>81519</v>
      </c>
      <c r="M159" s="22" t="s">
        <v>67</v>
      </c>
      <c r="N159" s="22" t="s">
        <v>1243</v>
      </c>
      <c r="O159" s="24" t="s">
        <v>67</v>
      </c>
      <c r="P159" s="24" t="s">
        <v>1233</v>
      </c>
      <c r="Q159" s="25"/>
      <c r="R159" s="134" t="s">
        <v>67</v>
      </c>
      <c r="S159" s="22"/>
      <c r="T159" s="22"/>
      <c r="U159" s="22"/>
      <c r="V159" s="22">
        <v>75</v>
      </c>
      <c r="W159" s="22">
        <f t="shared" si="19"/>
        <v>75</v>
      </c>
      <c r="X159" s="22"/>
      <c r="Y159" s="22">
        <f>ROUNDDOWN(W159/HLOOKUP(D159,Table!$C$3:$D$4,2,0)*8,2)</f>
        <v>1.33</v>
      </c>
      <c r="Z159" s="22"/>
      <c r="AA159" s="22"/>
      <c r="AB159" s="22"/>
      <c r="AC159" s="26"/>
      <c r="AD159" s="26">
        <v>43945</v>
      </c>
      <c r="AE159" s="26"/>
      <c r="AF159" s="26"/>
      <c r="AG159" s="28"/>
      <c r="AH159" s="52"/>
      <c r="AI159" s="52"/>
      <c r="AJ159" s="52"/>
      <c r="AK159" s="28"/>
      <c r="AL159" s="22"/>
      <c r="AM159" s="22"/>
      <c r="AN159" s="22"/>
    </row>
    <row r="160" spans="2:40" x14ac:dyDescent="0.25">
      <c r="B160" s="141">
        <v>113</v>
      </c>
      <c r="C160" s="23" t="s">
        <v>1259</v>
      </c>
      <c r="D160" s="22" t="s">
        <v>3</v>
      </c>
      <c r="E160" s="22" t="s">
        <v>1132</v>
      </c>
      <c r="F160" s="24" t="s">
        <v>1161</v>
      </c>
      <c r="G160" s="24">
        <v>1411690</v>
      </c>
      <c r="H160" s="134" t="s">
        <v>67</v>
      </c>
      <c r="I160" s="22" t="s">
        <v>1196</v>
      </c>
      <c r="J160" s="134" t="s">
        <v>67</v>
      </c>
      <c r="K160" s="22" t="s">
        <v>972</v>
      </c>
      <c r="L160" s="22">
        <v>81519</v>
      </c>
      <c r="M160" s="22" t="s">
        <v>67</v>
      </c>
      <c r="N160" s="22" t="s">
        <v>1243</v>
      </c>
      <c r="O160" s="24" t="s">
        <v>67</v>
      </c>
      <c r="P160" s="24" t="s">
        <v>1233</v>
      </c>
      <c r="Q160" s="25"/>
      <c r="R160" s="134" t="s">
        <v>67</v>
      </c>
      <c r="S160" s="22"/>
      <c r="T160" s="22"/>
      <c r="U160" s="22"/>
      <c r="V160" s="22">
        <v>166</v>
      </c>
      <c r="W160" s="22">
        <f t="shared" si="19"/>
        <v>166</v>
      </c>
      <c r="X160" s="22"/>
      <c r="Y160" s="22">
        <f>ROUNDDOWN(W160/HLOOKUP(D160,Table!$C$3:$D$4,2,0)*8,2)</f>
        <v>2.95</v>
      </c>
      <c r="Z160" s="22"/>
      <c r="AA160" s="22"/>
      <c r="AB160" s="22"/>
      <c r="AC160" s="26"/>
      <c r="AD160" s="26">
        <v>43945</v>
      </c>
      <c r="AE160" s="26"/>
      <c r="AF160" s="26"/>
      <c r="AG160" s="28"/>
      <c r="AH160" s="52"/>
      <c r="AI160" s="52"/>
      <c r="AJ160" s="52"/>
      <c r="AK160" s="28"/>
      <c r="AL160" s="22"/>
      <c r="AM160" s="22"/>
      <c r="AN160" s="22"/>
    </row>
    <row r="161" spans="2:40" x14ac:dyDescent="0.25">
      <c r="B161" s="141">
        <v>114</v>
      </c>
      <c r="C161" s="23" t="s">
        <v>1259</v>
      </c>
      <c r="D161" s="22" t="s">
        <v>3</v>
      </c>
      <c r="E161" s="22" t="s">
        <v>1132</v>
      </c>
      <c r="F161" s="24" t="s">
        <v>1161</v>
      </c>
      <c r="G161" s="24">
        <v>1411690</v>
      </c>
      <c r="H161" s="134" t="s">
        <v>67</v>
      </c>
      <c r="I161" s="22" t="s">
        <v>1197</v>
      </c>
      <c r="J161" s="134" t="s">
        <v>67</v>
      </c>
      <c r="K161" s="22" t="s">
        <v>972</v>
      </c>
      <c r="L161" s="22">
        <v>81519</v>
      </c>
      <c r="M161" s="22" t="s">
        <v>67</v>
      </c>
      <c r="N161" s="22" t="s">
        <v>1243</v>
      </c>
      <c r="O161" s="24" t="s">
        <v>67</v>
      </c>
      <c r="P161" s="24" t="s">
        <v>1233</v>
      </c>
      <c r="Q161" s="25"/>
      <c r="R161" s="134" t="s">
        <v>67</v>
      </c>
      <c r="S161" s="22"/>
      <c r="T161" s="22"/>
      <c r="U161" s="22"/>
      <c r="V161" s="22">
        <v>46</v>
      </c>
      <c r="W161" s="22">
        <f t="shared" si="19"/>
        <v>46</v>
      </c>
      <c r="X161" s="22"/>
      <c r="Y161" s="22">
        <f>ROUNDDOWN(W161/HLOOKUP(D161,Table!$C$3:$D$4,2,0)*8,2)</f>
        <v>0.81</v>
      </c>
      <c r="Z161" s="22"/>
      <c r="AA161" s="22"/>
      <c r="AB161" s="22"/>
      <c r="AC161" s="26"/>
      <c r="AD161" s="26">
        <v>43945</v>
      </c>
      <c r="AE161" s="26"/>
      <c r="AF161" s="26"/>
      <c r="AG161" s="28"/>
      <c r="AH161" s="52"/>
      <c r="AI161" s="52"/>
      <c r="AJ161" s="52"/>
      <c r="AK161" s="28"/>
      <c r="AL161" s="22"/>
      <c r="AM161" s="22"/>
      <c r="AN161" s="22"/>
    </row>
    <row r="162" spans="2:40" x14ac:dyDescent="0.25">
      <c r="B162" s="141">
        <v>115</v>
      </c>
      <c r="C162" s="23" t="s">
        <v>1259</v>
      </c>
      <c r="D162" s="22" t="s">
        <v>3</v>
      </c>
      <c r="E162" s="22" t="s">
        <v>1133</v>
      </c>
      <c r="F162" s="24" t="s">
        <v>1162</v>
      </c>
      <c r="G162" s="24">
        <v>1411700</v>
      </c>
      <c r="H162" s="134" t="s">
        <v>67</v>
      </c>
      <c r="I162" s="22" t="s">
        <v>1197</v>
      </c>
      <c r="J162" s="134" t="s">
        <v>67</v>
      </c>
      <c r="K162" s="22" t="s">
        <v>972</v>
      </c>
      <c r="L162" s="22">
        <v>81518</v>
      </c>
      <c r="M162" s="22" t="s">
        <v>1150</v>
      </c>
      <c r="N162" s="22" t="s">
        <v>1244</v>
      </c>
      <c r="O162" s="24" t="s">
        <v>67</v>
      </c>
      <c r="P162" s="24" t="s">
        <v>1233</v>
      </c>
      <c r="Q162" s="25"/>
      <c r="R162" s="134" t="s">
        <v>67</v>
      </c>
      <c r="S162" s="22"/>
      <c r="T162" s="22"/>
      <c r="U162" s="22"/>
      <c r="V162" s="22">
        <v>9</v>
      </c>
      <c r="W162" s="22">
        <f t="shared" si="19"/>
        <v>9</v>
      </c>
      <c r="X162" s="22"/>
      <c r="Y162" s="22">
        <f>ROUNDDOWN(W162/HLOOKUP(D162,Table!$C$3:$D$4,2,0)*8,2)</f>
        <v>0.16</v>
      </c>
      <c r="Z162" s="22"/>
      <c r="AA162" s="22"/>
      <c r="AB162" s="22"/>
      <c r="AC162" s="26"/>
      <c r="AD162" s="26">
        <v>43945</v>
      </c>
      <c r="AE162" s="26"/>
      <c r="AF162" s="26"/>
      <c r="AG162" s="28"/>
      <c r="AH162" s="52"/>
      <c r="AI162" s="52"/>
      <c r="AJ162" s="52"/>
      <c r="AK162" s="28"/>
      <c r="AL162" s="22"/>
      <c r="AM162" s="22"/>
      <c r="AN162" s="22"/>
    </row>
    <row r="163" spans="2:40" x14ac:dyDescent="0.25">
      <c r="B163" s="141">
        <v>116</v>
      </c>
      <c r="C163" s="23" t="s">
        <v>1259</v>
      </c>
      <c r="D163" s="22" t="s">
        <v>3</v>
      </c>
      <c r="E163" s="22" t="s">
        <v>1134</v>
      </c>
      <c r="F163" s="24" t="s">
        <v>1163</v>
      </c>
      <c r="G163" s="24">
        <v>1392220</v>
      </c>
      <c r="H163" s="134" t="s">
        <v>67</v>
      </c>
      <c r="I163" s="22" t="s">
        <v>1198</v>
      </c>
      <c r="J163" s="134" t="s">
        <v>67</v>
      </c>
      <c r="K163" s="22" t="s">
        <v>972</v>
      </c>
      <c r="L163" s="22" t="s">
        <v>1077</v>
      </c>
      <c r="M163" s="22" t="s">
        <v>1151</v>
      </c>
      <c r="N163" s="22" t="s">
        <v>1245</v>
      </c>
      <c r="O163" s="24" t="s">
        <v>67</v>
      </c>
      <c r="P163" s="24" t="s">
        <v>1234</v>
      </c>
      <c r="Q163" s="25"/>
      <c r="R163" s="134" t="s">
        <v>67</v>
      </c>
      <c r="S163" s="22"/>
      <c r="T163" s="22"/>
      <c r="U163" s="22"/>
      <c r="V163" s="22">
        <v>221</v>
      </c>
      <c r="W163" s="22">
        <f t="shared" si="19"/>
        <v>221</v>
      </c>
      <c r="X163" s="22"/>
      <c r="Y163" s="22">
        <f>ROUNDDOWN(W163/HLOOKUP(D163,Table!$C$3:$D$4,2,0)*8,2)</f>
        <v>3.92</v>
      </c>
      <c r="Z163" s="22"/>
      <c r="AA163" s="22"/>
      <c r="AB163" s="22"/>
      <c r="AC163" s="26"/>
      <c r="AD163" s="26">
        <v>43942</v>
      </c>
      <c r="AE163" s="26"/>
      <c r="AF163" s="26"/>
      <c r="AG163" s="28"/>
      <c r="AH163" s="52"/>
      <c r="AI163" s="52"/>
      <c r="AJ163" s="52"/>
      <c r="AK163" s="28"/>
      <c r="AL163" s="22"/>
      <c r="AM163" s="22"/>
      <c r="AN163" s="22"/>
    </row>
    <row r="164" spans="2:40" x14ac:dyDescent="0.25">
      <c r="B164" s="141">
        <v>117</v>
      </c>
      <c r="C164" s="23" t="s">
        <v>1259</v>
      </c>
      <c r="D164" s="22" t="s">
        <v>3</v>
      </c>
      <c r="E164" s="22" t="s">
        <v>1134</v>
      </c>
      <c r="F164" s="24" t="s">
        <v>1163</v>
      </c>
      <c r="G164" s="24">
        <v>1392220</v>
      </c>
      <c r="H164" s="134" t="s">
        <v>67</v>
      </c>
      <c r="I164" s="22" t="s">
        <v>1199</v>
      </c>
      <c r="J164" s="134" t="s">
        <v>67</v>
      </c>
      <c r="K164" s="22" t="s">
        <v>972</v>
      </c>
      <c r="L164" s="22" t="s">
        <v>1077</v>
      </c>
      <c r="M164" s="22" t="s">
        <v>1151</v>
      </c>
      <c r="N164" s="22" t="s">
        <v>1245</v>
      </c>
      <c r="O164" s="24" t="s">
        <v>67</v>
      </c>
      <c r="P164" s="24" t="s">
        <v>1234</v>
      </c>
      <c r="Q164" s="25"/>
      <c r="R164" s="134" t="s">
        <v>67</v>
      </c>
      <c r="S164" s="22"/>
      <c r="T164" s="22"/>
      <c r="U164" s="22"/>
      <c r="V164" s="22">
        <v>919</v>
      </c>
      <c r="W164" s="22">
        <f t="shared" si="19"/>
        <v>919</v>
      </c>
      <c r="X164" s="22"/>
      <c r="Y164" s="22">
        <f>ROUNDDOWN(W164/HLOOKUP(D164,Table!$C$3:$D$4,2,0)*8,2)</f>
        <v>16.329999999999998</v>
      </c>
      <c r="Z164" s="22"/>
      <c r="AA164" s="22"/>
      <c r="AB164" s="22"/>
      <c r="AC164" s="26"/>
      <c r="AD164" s="26">
        <v>43942</v>
      </c>
      <c r="AE164" s="26"/>
      <c r="AF164" s="26"/>
      <c r="AG164" s="28"/>
      <c r="AH164" s="52"/>
      <c r="AI164" s="52"/>
      <c r="AJ164" s="52"/>
      <c r="AK164" s="28"/>
      <c r="AL164" s="22"/>
      <c r="AM164" s="22"/>
      <c r="AN164" s="22"/>
    </row>
    <row r="165" spans="2:40" x14ac:dyDescent="0.25">
      <c r="B165" s="141">
        <v>118</v>
      </c>
      <c r="C165" s="23" t="s">
        <v>1259</v>
      </c>
      <c r="D165" s="22" t="s">
        <v>3</v>
      </c>
      <c r="E165" s="22" t="s">
        <v>1135</v>
      </c>
      <c r="F165" s="24" t="s">
        <v>1187</v>
      </c>
      <c r="G165" s="24">
        <v>1409871</v>
      </c>
      <c r="H165" s="134" t="s">
        <v>67</v>
      </c>
      <c r="I165" s="22" t="s">
        <v>1200</v>
      </c>
      <c r="J165" s="134" t="s">
        <v>67</v>
      </c>
      <c r="K165" s="22" t="s">
        <v>972</v>
      </c>
      <c r="L165" s="22">
        <v>82225</v>
      </c>
      <c r="M165" s="22" t="s">
        <v>1152</v>
      </c>
      <c r="N165" s="22" t="s">
        <v>1246</v>
      </c>
      <c r="O165" s="24" t="s">
        <v>67</v>
      </c>
      <c r="P165" s="24" t="s">
        <v>1235</v>
      </c>
      <c r="Q165" s="25"/>
      <c r="R165" s="134" t="s">
        <v>67</v>
      </c>
      <c r="S165" s="22"/>
      <c r="T165" s="22"/>
      <c r="U165" s="22"/>
      <c r="V165" s="22">
        <v>101</v>
      </c>
      <c r="W165" s="22">
        <f t="shared" si="19"/>
        <v>101</v>
      </c>
      <c r="X165" s="22"/>
      <c r="Y165" s="22">
        <f>ROUNDDOWN(W165/HLOOKUP(D165,Table!$C$3:$D$4,2,0)*8,2)</f>
        <v>1.79</v>
      </c>
      <c r="Z165" s="22"/>
      <c r="AA165" s="22"/>
      <c r="AB165" s="22"/>
      <c r="AC165" s="26"/>
      <c r="AD165" s="26">
        <v>43942</v>
      </c>
      <c r="AE165" s="26"/>
      <c r="AF165" s="26"/>
      <c r="AG165" s="28"/>
      <c r="AH165" s="52"/>
      <c r="AI165" s="52"/>
      <c r="AJ165" s="52"/>
      <c r="AK165" s="28"/>
      <c r="AL165" s="22"/>
      <c r="AM165" s="22"/>
      <c r="AN165" s="22"/>
    </row>
    <row r="166" spans="2:40" x14ac:dyDescent="0.25">
      <c r="B166" s="141">
        <v>119</v>
      </c>
      <c r="C166" s="23" t="s">
        <v>1259</v>
      </c>
      <c r="D166" s="22" t="s">
        <v>3</v>
      </c>
      <c r="E166" s="22" t="s">
        <v>1135</v>
      </c>
      <c r="F166" s="24" t="s">
        <v>1188</v>
      </c>
      <c r="G166" s="24">
        <v>1409871</v>
      </c>
      <c r="H166" s="134" t="s">
        <v>67</v>
      </c>
      <c r="I166" s="22" t="s">
        <v>1201</v>
      </c>
      <c r="J166" s="134" t="s">
        <v>67</v>
      </c>
      <c r="K166" s="22" t="s">
        <v>972</v>
      </c>
      <c r="L166" s="22">
        <v>82225</v>
      </c>
      <c r="M166" s="22" t="s">
        <v>1152</v>
      </c>
      <c r="N166" s="22" t="s">
        <v>1246</v>
      </c>
      <c r="O166" s="24" t="s">
        <v>67</v>
      </c>
      <c r="P166" s="24" t="s">
        <v>1235</v>
      </c>
      <c r="Q166" s="25"/>
      <c r="R166" s="134" t="s">
        <v>67</v>
      </c>
      <c r="S166" s="22"/>
      <c r="T166" s="22"/>
      <c r="U166" s="22"/>
      <c r="V166" s="22">
        <v>51</v>
      </c>
      <c r="W166" s="22">
        <f t="shared" si="19"/>
        <v>51</v>
      </c>
      <c r="X166" s="22"/>
      <c r="Y166" s="22">
        <f>ROUNDDOWN(W166/HLOOKUP(D166,Table!$C$3:$D$4,2,0)*8,2)</f>
        <v>0.9</v>
      </c>
      <c r="Z166" s="22"/>
      <c r="AA166" s="22"/>
      <c r="AB166" s="22"/>
      <c r="AC166" s="26"/>
      <c r="AD166" s="26">
        <v>43942</v>
      </c>
      <c r="AE166" s="26"/>
      <c r="AF166" s="26"/>
      <c r="AG166" s="28"/>
      <c r="AH166" s="52"/>
      <c r="AI166" s="52"/>
      <c r="AJ166" s="52"/>
      <c r="AK166" s="28"/>
      <c r="AL166" s="22"/>
      <c r="AM166" s="22"/>
      <c r="AN166" s="22"/>
    </row>
    <row r="167" spans="2:40" x14ac:dyDescent="0.25">
      <c r="B167" s="141">
        <v>120</v>
      </c>
      <c r="C167" s="23" t="s">
        <v>1259</v>
      </c>
      <c r="D167" s="22" t="s">
        <v>3</v>
      </c>
      <c r="E167" s="22" t="s">
        <v>1136</v>
      </c>
      <c r="F167" s="24" t="s">
        <v>1018</v>
      </c>
      <c r="G167" s="24">
        <v>1416607</v>
      </c>
      <c r="H167" s="134" t="s">
        <v>67</v>
      </c>
      <c r="I167" s="22" t="s">
        <v>1019</v>
      </c>
      <c r="J167" s="134" t="s">
        <v>67</v>
      </c>
      <c r="K167" s="22" t="s">
        <v>972</v>
      </c>
      <c r="L167" s="22" t="s">
        <v>1255</v>
      </c>
      <c r="M167" s="22" t="s">
        <v>1153</v>
      </c>
      <c r="N167" s="22" t="s">
        <v>1247</v>
      </c>
      <c r="O167" s="24" t="s">
        <v>67</v>
      </c>
      <c r="P167" s="24" t="s">
        <v>1093</v>
      </c>
      <c r="Q167" s="25"/>
      <c r="R167" s="134" t="s">
        <v>67</v>
      </c>
      <c r="S167" s="22"/>
      <c r="T167" s="22"/>
      <c r="U167" s="22"/>
      <c r="V167" s="22">
        <v>84</v>
      </c>
      <c r="W167" s="22">
        <f t="shared" si="19"/>
        <v>84</v>
      </c>
      <c r="X167" s="22"/>
      <c r="Y167" s="22">
        <f>ROUNDDOWN(W167/HLOOKUP(D167,Table!$C$3:$D$4,2,0)*8,2)</f>
        <v>1.49</v>
      </c>
      <c r="Z167" s="22"/>
      <c r="AA167" s="22"/>
      <c r="AB167" s="22"/>
      <c r="AC167" s="26"/>
      <c r="AD167" s="26">
        <v>43951</v>
      </c>
      <c r="AE167" s="26"/>
      <c r="AF167" s="26"/>
      <c r="AG167" s="28"/>
      <c r="AH167" s="52"/>
      <c r="AI167" s="52"/>
      <c r="AJ167" s="52"/>
      <c r="AK167" s="28"/>
      <c r="AL167" s="22"/>
      <c r="AM167" s="22"/>
      <c r="AN167" s="22"/>
    </row>
    <row r="168" spans="2:40" x14ac:dyDescent="0.25">
      <c r="B168" s="141">
        <v>121</v>
      </c>
      <c r="C168" s="23" t="s">
        <v>1259</v>
      </c>
      <c r="D168" s="22" t="s">
        <v>3</v>
      </c>
      <c r="E168" s="22" t="s">
        <v>1136</v>
      </c>
      <c r="F168" s="24" t="s">
        <v>1018</v>
      </c>
      <c r="G168" s="24">
        <v>1416607</v>
      </c>
      <c r="H168" s="134" t="s">
        <v>67</v>
      </c>
      <c r="I168" s="22" t="s">
        <v>1202</v>
      </c>
      <c r="J168" s="134" t="s">
        <v>67</v>
      </c>
      <c r="K168" s="22" t="s">
        <v>972</v>
      </c>
      <c r="L168" s="22" t="s">
        <v>1255</v>
      </c>
      <c r="M168" s="22" t="s">
        <v>1153</v>
      </c>
      <c r="N168" s="22" t="s">
        <v>1247</v>
      </c>
      <c r="O168" s="24" t="s">
        <v>67</v>
      </c>
      <c r="P168" s="24" t="s">
        <v>1093</v>
      </c>
      <c r="Q168" s="25"/>
      <c r="R168" s="134" t="s">
        <v>67</v>
      </c>
      <c r="S168" s="22"/>
      <c r="T168" s="22"/>
      <c r="U168" s="22"/>
      <c r="V168" s="22">
        <v>7</v>
      </c>
      <c r="W168" s="22">
        <f t="shared" si="19"/>
        <v>7</v>
      </c>
      <c r="X168" s="22"/>
      <c r="Y168" s="22">
        <f>ROUNDDOWN(W168/HLOOKUP(D168,Table!$C$3:$D$4,2,0)*8,2)</f>
        <v>0.12</v>
      </c>
      <c r="Z168" s="22"/>
      <c r="AA168" s="22"/>
      <c r="AB168" s="22"/>
      <c r="AC168" s="26"/>
      <c r="AD168" s="26">
        <v>43951</v>
      </c>
      <c r="AE168" s="26"/>
      <c r="AF168" s="26"/>
      <c r="AG168" s="28"/>
      <c r="AH168" s="52"/>
      <c r="AI168" s="52"/>
      <c r="AJ168" s="52"/>
      <c r="AK168" s="28"/>
      <c r="AL168" s="22"/>
      <c r="AM168" s="22"/>
      <c r="AN168" s="22"/>
    </row>
    <row r="169" spans="2:40" x14ac:dyDescent="0.25">
      <c r="B169" s="141">
        <v>122</v>
      </c>
      <c r="C169" s="23" t="s">
        <v>1259</v>
      </c>
      <c r="D169" s="22" t="s">
        <v>3</v>
      </c>
      <c r="E169" s="22" t="s">
        <v>1136</v>
      </c>
      <c r="F169" s="24" t="s">
        <v>1018</v>
      </c>
      <c r="G169" s="24">
        <v>1416607</v>
      </c>
      <c r="H169" s="134" t="s">
        <v>67</v>
      </c>
      <c r="I169" s="22" t="s">
        <v>1021</v>
      </c>
      <c r="J169" s="134" t="s">
        <v>67</v>
      </c>
      <c r="K169" s="22" t="s">
        <v>972</v>
      </c>
      <c r="L169" s="22" t="s">
        <v>1255</v>
      </c>
      <c r="M169" s="22" t="s">
        <v>1153</v>
      </c>
      <c r="N169" s="22" t="s">
        <v>1247</v>
      </c>
      <c r="O169" s="24" t="s">
        <v>67</v>
      </c>
      <c r="P169" s="24" t="s">
        <v>1093</v>
      </c>
      <c r="Q169" s="25"/>
      <c r="R169" s="134" t="s">
        <v>67</v>
      </c>
      <c r="S169" s="22"/>
      <c r="T169" s="22"/>
      <c r="U169" s="22"/>
      <c r="V169" s="22">
        <v>259</v>
      </c>
      <c r="W169" s="22">
        <f t="shared" si="19"/>
        <v>259</v>
      </c>
      <c r="X169" s="22"/>
      <c r="Y169" s="22">
        <f>ROUNDDOWN(W169/HLOOKUP(D169,Table!$C$3:$D$4,2,0)*8,2)</f>
        <v>4.5999999999999996</v>
      </c>
      <c r="Z169" s="22"/>
      <c r="AA169" s="22"/>
      <c r="AB169" s="22"/>
      <c r="AC169" s="26"/>
      <c r="AD169" s="26">
        <v>43951</v>
      </c>
      <c r="AE169" s="26"/>
      <c r="AF169" s="26"/>
      <c r="AG169" s="28"/>
      <c r="AH169" s="52"/>
      <c r="AI169" s="52"/>
      <c r="AJ169" s="52"/>
      <c r="AK169" s="28"/>
      <c r="AL169" s="22"/>
      <c r="AM169" s="22"/>
      <c r="AN169" s="22"/>
    </row>
    <row r="170" spans="2:40" x14ac:dyDescent="0.25">
      <c r="B170" s="141">
        <v>123</v>
      </c>
      <c r="C170" s="23" t="s">
        <v>1259</v>
      </c>
      <c r="D170" s="22" t="s">
        <v>3</v>
      </c>
      <c r="E170" s="22" t="s">
        <v>1136</v>
      </c>
      <c r="F170" s="24" t="s">
        <v>1018</v>
      </c>
      <c r="G170" s="24">
        <v>1416607</v>
      </c>
      <c r="H170" s="134" t="s">
        <v>67</v>
      </c>
      <c r="I170" s="22" t="s">
        <v>1203</v>
      </c>
      <c r="J170" s="134" t="s">
        <v>67</v>
      </c>
      <c r="K170" s="22" t="s">
        <v>972</v>
      </c>
      <c r="L170" s="22" t="s">
        <v>1255</v>
      </c>
      <c r="M170" s="22" t="s">
        <v>1153</v>
      </c>
      <c r="N170" s="22" t="s">
        <v>1247</v>
      </c>
      <c r="O170" s="24" t="s">
        <v>67</v>
      </c>
      <c r="P170" s="24" t="s">
        <v>1093</v>
      </c>
      <c r="Q170" s="25"/>
      <c r="R170" s="134" t="s">
        <v>67</v>
      </c>
      <c r="S170" s="22"/>
      <c r="T170" s="22"/>
      <c r="U170" s="22"/>
      <c r="V170" s="22">
        <v>135</v>
      </c>
      <c r="W170" s="22">
        <f t="shared" si="19"/>
        <v>135</v>
      </c>
      <c r="X170" s="22"/>
      <c r="Y170" s="22">
        <f>ROUNDDOWN(W170/HLOOKUP(D170,Table!$C$3:$D$4,2,0)*8,2)</f>
        <v>2.4</v>
      </c>
      <c r="Z170" s="22"/>
      <c r="AA170" s="22"/>
      <c r="AB170" s="22"/>
      <c r="AC170" s="26"/>
      <c r="AD170" s="26">
        <v>43951</v>
      </c>
      <c r="AE170" s="26"/>
      <c r="AF170" s="26"/>
      <c r="AG170" s="28"/>
      <c r="AH170" s="52"/>
      <c r="AI170" s="52"/>
      <c r="AJ170" s="52"/>
      <c r="AK170" s="28"/>
      <c r="AL170" s="22"/>
      <c r="AM170" s="22"/>
      <c r="AN170" s="22"/>
    </row>
    <row r="171" spans="2:40" x14ac:dyDescent="0.25">
      <c r="B171" s="141">
        <v>124</v>
      </c>
      <c r="C171" s="23" t="s">
        <v>1259</v>
      </c>
      <c r="D171" s="22" t="s">
        <v>3</v>
      </c>
      <c r="E171" s="22" t="s">
        <v>1136</v>
      </c>
      <c r="F171" s="24" t="s">
        <v>1018</v>
      </c>
      <c r="G171" s="24">
        <v>1416607</v>
      </c>
      <c r="H171" s="134" t="s">
        <v>67</v>
      </c>
      <c r="I171" s="22" t="s">
        <v>1020</v>
      </c>
      <c r="J171" s="134" t="s">
        <v>67</v>
      </c>
      <c r="K171" s="22" t="s">
        <v>972</v>
      </c>
      <c r="L171" s="22" t="s">
        <v>1255</v>
      </c>
      <c r="M171" s="22" t="s">
        <v>1153</v>
      </c>
      <c r="N171" s="22" t="s">
        <v>1247</v>
      </c>
      <c r="O171" s="24" t="s">
        <v>67</v>
      </c>
      <c r="P171" s="24" t="s">
        <v>1093</v>
      </c>
      <c r="Q171" s="25"/>
      <c r="R171" s="134" t="s">
        <v>67</v>
      </c>
      <c r="S171" s="22"/>
      <c r="T171" s="22"/>
      <c r="U171" s="22"/>
      <c r="V171" s="22">
        <v>82</v>
      </c>
      <c r="W171" s="22">
        <f t="shared" si="19"/>
        <v>82</v>
      </c>
      <c r="X171" s="22"/>
      <c r="Y171" s="22">
        <f>ROUNDDOWN(W171/HLOOKUP(D171,Table!$C$3:$D$4,2,0)*8,2)</f>
        <v>1.45</v>
      </c>
      <c r="Z171" s="22"/>
      <c r="AA171" s="22"/>
      <c r="AB171" s="22"/>
      <c r="AC171" s="26"/>
      <c r="AD171" s="26">
        <v>43951</v>
      </c>
      <c r="AE171" s="26"/>
      <c r="AF171" s="26"/>
      <c r="AG171" s="28"/>
      <c r="AH171" s="52"/>
      <c r="AI171" s="52"/>
      <c r="AJ171" s="52"/>
      <c r="AK171" s="28"/>
      <c r="AL171" s="22"/>
      <c r="AM171" s="22"/>
      <c r="AN171" s="22"/>
    </row>
    <row r="172" spans="2:40" x14ac:dyDescent="0.25">
      <c r="B172" s="141">
        <v>125</v>
      </c>
      <c r="C172" s="23" t="s">
        <v>1259</v>
      </c>
      <c r="D172" s="22" t="s">
        <v>3</v>
      </c>
      <c r="E172" s="22" t="s">
        <v>1136</v>
      </c>
      <c r="F172" s="24" t="s">
        <v>1018</v>
      </c>
      <c r="G172" s="24">
        <v>1416607</v>
      </c>
      <c r="H172" s="134" t="s">
        <v>67</v>
      </c>
      <c r="I172" s="22" t="s">
        <v>1023</v>
      </c>
      <c r="J172" s="134" t="s">
        <v>67</v>
      </c>
      <c r="K172" s="22" t="s">
        <v>972</v>
      </c>
      <c r="L172" s="22" t="s">
        <v>1255</v>
      </c>
      <c r="M172" s="22" t="s">
        <v>1153</v>
      </c>
      <c r="N172" s="22" t="s">
        <v>1247</v>
      </c>
      <c r="O172" s="24" t="s">
        <v>67</v>
      </c>
      <c r="P172" s="24" t="s">
        <v>1093</v>
      </c>
      <c r="Q172" s="25"/>
      <c r="R172" s="134" t="s">
        <v>67</v>
      </c>
      <c r="S172" s="22"/>
      <c r="T172" s="22"/>
      <c r="U172" s="22"/>
      <c r="V172" s="22">
        <v>313</v>
      </c>
      <c r="W172" s="22">
        <f t="shared" si="19"/>
        <v>313</v>
      </c>
      <c r="X172" s="22"/>
      <c r="Y172" s="22">
        <f>ROUNDDOWN(W172/HLOOKUP(D172,Table!$C$3:$D$4,2,0)*8,2)</f>
        <v>5.56</v>
      </c>
      <c r="Z172" s="22"/>
      <c r="AA172" s="22"/>
      <c r="AB172" s="22"/>
      <c r="AC172" s="26"/>
      <c r="AD172" s="26">
        <v>43951</v>
      </c>
      <c r="AE172" s="26"/>
      <c r="AF172" s="26"/>
      <c r="AG172" s="28"/>
      <c r="AH172" s="52"/>
      <c r="AI172" s="52"/>
      <c r="AJ172" s="52"/>
      <c r="AK172" s="28"/>
      <c r="AL172" s="22"/>
      <c r="AM172" s="22"/>
      <c r="AN172" s="22"/>
    </row>
    <row r="173" spans="2:40" x14ac:dyDescent="0.25">
      <c r="B173" s="141">
        <v>126</v>
      </c>
      <c r="C173" s="23" t="s">
        <v>1259</v>
      </c>
      <c r="D173" s="22" t="s">
        <v>3</v>
      </c>
      <c r="E173" s="22" t="s">
        <v>1136</v>
      </c>
      <c r="F173" s="24" t="s">
        <v>1018</v>
      </c>
      <c r="G173" s="24">
        <v>1416607</v>
      </c>
      <c r="H173" s="134" t="s">
        <v>67</v>
      </c>
      <c r="I173" s="22" t="s">
        <v>1024</v>
      </c>
      <c r="J173" s="134" t="s">
        <v>67</v>
      </c>
      <c r="K173" s="22" t="s">
        <v>972</v>
      </c>
      <c r="L173" s="22" t="s">
        <v>1255</v>
      </c>
      <c r="M173" s="22" t="s">
        <v>1153</v>
      </c>
      <c r="N173" s="22" t="s">
        <v>1247</v>
      </c>
      <c r="O173" s="24" t="s">
        <v>67</v>
      </c>
      <c r="P173" s="24" t="s">
        <v>1093</v>
      </c>
      <c r="Q173" s="25"/>
      <c r="R173" s="134" t="s">
        <v>67</v>
      </c>
      <c r="S173" s="22"/>
      <c r="T173" s="22"/>
      <c r="U173" s="22"/>
      <c r="V173" s="22">
        <v>54</v>
      </c>
      <c r="W173" s="22">
        <f t="shared" si="19"/>
        <v>54</v>
      </c>
      <c r="X173" s="22"/>
      <c r="Y173" s="22">
        <f>ROUNDDOWN(W173/HLOOKUP(D173,Table!$C$3:$D$4,2,0)*8,2)</f>
        <v>0.96</v>
      </c>
      <c r="Z173" s="22"/>
      <c r="AA173" s="22"/>
      <c r="AB173" s="22"/>
      <c r="AC173" s="26"/>
      <c r="AD173" s="26">
        <v>43951</v>
      </c>
      <c r="AE173" s="26"/>
      <c r="AF173" s="26"/>
      <c r="AG173" s="28"/>
      <c r="AH173" s="52"/>
      <c r="AI173" s="52"/>
      <c r="AJ173" s="52"/>
      <c r="AK173" s="28"/>
      <c r="AL173" s="22"/>
      <c r="AM173" s="22"/>
      <c r="AN173" s="22"/>
    </row>
    <row r="174" spans="2:40" x14ac:dyDescent="0.25">
      <c r="B174" s="141">
        <v>127</v>
      </c>
      <c r="C174" s="23" t="s">
        <v>1259</v>
      </c>
      <c r="D174" s="22" t="s">
        <v>3</v>
      </c>
      <c r="E174" s="22" t="s">
        <v>1136</v>
      </c>
      <c r="F174" s="24" t="s">
        <v>1018</v>
      </c>
      <c r="G174" s="24">
        <v>1416607</v>
      </c>
      <c r="H174" s="134" t="s">
        <v>67</v>
      </c>
      <c r="I174" s="22" t="s">
        <v>1025</v>
      </c>
      <c r="J174" s="134" t="s">
        <v>67</v>
      </c>
      <c r="K174" s="22" t="s">
        <v>972</v>
      </c>
      <c r="L174" s="22" t="s">
        <v>1255</v>
      </c>
      <c r="M174" s="22" t="s">
        <v>1153</v>
      </c>
      <c r="N174" s="22" t="s">
        <v>1247</v>
      </c>
      <c r="O174" s="24" t="s">
        <v>67</v>
      </c>
      <c r="P174" s="24" t="s">
        <v>1093</v>
      </c>
      <c r="Q174" s="25"/>
      <c r="R174" s="134" t="s">
        <v>67</v>
      </c>
      <c r="S174" s="22"/>
      <c r="T174" s="22"/>
      <c r="U174" s="22"/>
      <c r="V174" s="22">
        <v>144</v>
      </c>
      <c r="W174" s="22">
        <f t="shared" si="19"/>
        <v>144</v>
      </c>
      <c r="X174" s="22"/>
      <c r="Y174" s="22">
        <f>ROUNDDOWN(W174/HLOOKUP(D174,Table!$C$3:$D$4,2,0)*8,2)</f>
        <v>2.56</v>
      </c>
      <c r="Z174" s="22"/>
      <c r="AA174" s="22"/>
      <c r="AB174" s="22"/>
      <c r="AC174" s="26"/>
      <c r="AD174" s="26">
        <v>43951</v>
      </c>
      <c r="AE174" s="26"/>
      <c r="AF174" s="26"/>
      <c r="AG174" s="28"/>
      <c r="AH174" s="52"/>
      <c r="AI174" s="52"/>
      <c r="AJ174" s="52"/>
      <c r="AK174" s="28"/>
      <c r="AL174" s="22"/>
      <c r="AM174" s="22"/>
      <c r="AN174" s="22"/>
    </row>
    <row r="175" spans="2:40" x14ac:dyDescent="0.25">
      <c r="B175" s="141">
        <v>128</v>
      </c>
      <c r="C175" s="23" t="s">
        <v>1259</v>
      </c>
      <c r="D175" s="22" t="s">
        <v>3</v>
      </c>
      <c r="E175" s="22" t="s">
        <v>1136</v>
      </c>
      <c r="F175" s="24" t="s">
        <v>1018</v>
      </c>
      <c r="G175" s="24">
        <v>1416607</v>
      </c>
      <c r="H175" s="134" t="s">
        <v>67</v>
      </c>
      <c r="I175" s="22" t="s">
        <v>1204</v>
      </c>
      <c r="J175" s="134" t="s">
        <v>67</v>
      </c>
      <c r="K175" s="22" t="s">
        <v>972</v>
      </c>
      <c r="L175" s="22" t="s">
        <v>1255</v>
      </c>
      <c r="M175" s="22" t="s">
        <v>1153</v>
      </c>
      <c r="N175" s="22" t="s">
        <v>1247</v>
      </c>
      <c r="O175" s="24" t="s">
        <v>67</v>
      </c>
      <c r="P175" s="24" t="s">
        <v>1093</v>
      </c>
      <c r="Q175" s="25"/>
      <c r="R175" s="134" t="s">
        <v>67</v>
      </c>
      <c r="S175" s="22"/>
      <c r="T175" s="22"/>
      <c r="U175" s="22"/>
      <c r="V175" s="22">
        <v>59</v>
      </c>
      <c r="W175" s="22">
        <f t="shared" si="19"/>
        <v>59</v>
      </c>
      <c r="X175" s="22"/>
      <c r="Y175" s="22">
        <f>ROUNDDOWN(W175/HLOOKUP(D175,Table!$C$3:$D$4,2,0)*8,2)</f>
        <v>1.04</v>
      </c>
      <c r="Z175" s="22"/>
      <c r="AA175" s="22"/>
      <c r="AB175" s="22"/>
      <c r="AC175" s="26"/>
      <c r="AD175" s="26">
        <v>43951</v>
      </c>
      <c r="AE175" s="26"/>
      <c r="AF175" s="26"/>
      <c r="AG175" s="28"/>
      <c r="AH175" s="52"/>
      <c r="AI175" s="52"/>
      <c r="AJ175" s="52"/>
      <c r="AK175" s="28"/>
      <c r="AL175" s="22"/>
      <c r="AM175" s="22"/>
      <c r="AN175" s="22"/>
    </row>
    <row r="176" spans="2:40" x14ac:dyDescent="0.25">
      <c r="B176" s="141">
        <v>129</v>
      </c>
      <c r="C176" s="23" t="s">
        <v>1259</v>
      </c>
      <c r="D176" s="22" t="s">
        <v>3</v>
      </c>
      <c r="E176" s="22" t="s">
        <v>1136</v>
      </c>
      <c r="F176" s="24" t="s">
        <v>1018</v>
      </c>
      <c r="G176" s="24">
        <v>1416607</v>
      </c>
      <c r="H176" s="134" t="s">
        <v>67</v>
      </c>
      <c r="I176" s="22" t="s">
        <v>1026</v>
      </c>
      <c r="J176" s="134" t="s">
        <v>67</v>
      </c>
      <c r="K176" s="22" t="s">
        <v>972</v>
      </c>
      <c r="L176" s="22" t="s">
        <v>1255</v>
      </c>
      <c r="M176" s="22" t="s">
        <v>1153</v>
      </c>
      <c r="N176" s="22" t="s">
        <v>1247</v>
      </c>
      <c r="O176" s="24" t="s">
        <v>67</v>
      </c>
      <c r="P176" s="24" t="s">
        <v>1093</v>
      </c>
      <c r="Q176" s="25"/>
      <c r="R176" s="134" t="s">
        <v>67</v>
      </c>
      <c r="S176" s="22"/>
      <c r="T176" s="22"/>
      <c r="U176" s="22"/>
      <c r="V176" s="22">
        <v>354</v>
      </c>
      <c r="W176" s="22">
        <f t="shared" si="19"/>
        <v>354</v>
      </c>
      <c r="X176" s="22"/>
      <c r="Y176" s="22">
        <f>ROUNDDOWN(W176/HLOOKUP(D176,Table!$C$3:$D$4,2,0)*8,2)</f>
        <v>6.29</v>
      </c>
      <c r="Z176" s="22"/>
      <c r="AA176" s="22"/>
      <c r="AB176" s="22"/>
      <c r="AC176" s="26"/>
      <c r="AD176" s="26">
        <v>43951</v>
      </c>
      <c r="AE176" s="26"/>
      <c r="AF176" s="26"/>
      <c r="AG176" s="28"/>
      <c r="AH176" s="52"/>
      <c r="AI176" s="52"/>
      <c r="AJ176" s="52"/>
      <c r="AK176" s="28"/>
      <c r="AL176" s="22"/>
      <c r="AM176" s="22"/>
      <c r="AN176" s="22"/>
    </row>
    <row r="177" spans="2:40" x14ac:dyDescent="0.25">
      <c r="B177" s="141">
        <v>130</v>
      </c>
      <c r="C177" s="23" t="s">
        <v>1259</v>
      </c>
      <c r="D177" s="22" t="s">
        <v>3</v>
      </c>
      <c r="E177" s="22" t="s">
        <v>1136</v>
      </c>
      <c r="F177" s="24" t="s">
        <v>1018</v>
      </c>
      <c r="G177" s="24">
        <v>1416607</v>
      </c>
      <c r="H177" s="134" t="s">
        <v>67</v>
      </c>
      <c r="I177" s="22" t="s">
        <v>1028</v>
      </c>
      <c r="J177" s="134" t="s">
        <v>67</v>
      </c>
      <c r="K177" s="22" t="s">
        <v>972</v>
      </c>
      <c r="L177" s="22" t="s">
        <v>1255</v>
      </c>
      <c r="M177" s="22" t="s">
        <v>1153</v>
      </c>
      <c r="N177" s="22" t="s">
        <v>1247</v>
      </c>
      <c r="O177" s="24" t="s">
        <v>67</v>
      </c>
      <c r="P177" s="24" t="s">
        <v>1093</v>
      </c>
      <c r="Q177" s="25"/>
      <c r="R177" s="134" t="s">
        <v>67</v>
      </c>
      <c r="S177" s="22"/>
      <c r="T177" s="22"/>
      <c r="U177" s="22"/>
      <c r="V177" s="22">
        <v>186</v>
      </c>
      <c r="W177" s="22">
        <f t="shared" si="19"/>
        <v>186</v>
      </c>
      <c r="X177" s="22"/>
      <c r="Y177" s="22">
        <f>ROUNDDOWN(W177/HLOOKUP(D177,Table!$C$3:$D$4,2,0)*8,2)</f>
        <v>3.3</v>
      </c>
      <c r="Z177" s="22"/>
      <c r="AA177" s="22"/>
      <c r="AB177" s="22"/>
      <c r="AC177" s="26"/>
      <c r="AD177" s="26">
        <v>43951</v>
      </c>
      <c r="AE177" s="26"/>
      <c r="AF177" s="26"/>
      <c r="AG177" s="28"/>
      <c r="AH177" s="52"/>
      <c r="AI177" s="52"/>
      <c r="AJ177" s="52"/>
      <c r="AK177" s="28"/>
      <c r="AL177" s="22"/>
      <c r="AM177" s="22"/>
      <c r="AN177" s="22"/>
    </row>
    <row r="178" spans="2:40" x14ac:dyDescent="0.25">
      <c r="B178" s="141">
        <v>131</v>
      </c>
      <c r="C178" s="23" t="s">
        <v>1259</v>
      </c>
      <c r="D178" s="22" t="s">
        <v>3</v>
      </c>
      <c r="E178" s="22" t="s">
        <v>1136</v>
      </c>
      <c r="F178" s="24" t="s">
        <v>1018</v>
      </c>
      <c r="G178" s="24">
        <v>1416607</v>
      </c>
      <c r="H178" s="134" t="s">
        <v>67</v>
      </c>
      <c r="I178" s="22" t="s">
        <v>1029</v>
      </c>
      <c r="J178" s="134" t="s">
        <v>67</v>
      </c>
      <c r="K178" s="22" t="s">
        <v>972</v>
      </c>
      <c r="L178" s="22" t="s">
        <v>1255</v>
      </c>
      <c r="M178" s="22" t="s">
        <v>1153</v>
      </c>
      <c r="N178" s="22" t="s">
        <v>1247</v>
      </c>
      <c r="O178" s="24" t="s">
        <v>67</v>
      </c>
      <c r="P178" s="24" t="s">
        <v>1093</v>
      </c>
      <c r="Q178" s="25"/>
      <c r="R178" s="134" t="s">
        <v>67</v>
      </c>
      <c r="S178" s="22"/>
      <c r="T178" s="22"/>
      <c r="U178" s="22"/>
      <c r="V178" s="22">
        <v>159</v>
      </c>
      <c r="W178" s="22">
        <f t="shared" si="19"/>
        <v>159</v>
      </c>
      <c r="X178" s="22"/>
      <c r="Y178" s="22">
        <f>ROUNDDOWN(W178/HLOOKUP(D178,Table!$C$3:$D$4,2,0)*8,2)</f>
        <v>2.82</v>
      </c>
      <c r="Z178" s="22"/>
      <c r="AA178" s="22"/>
      <c r="AB178" s="22"/>
      <c r="AC178" s="26"/>
      <c r="AD178" s="26">
        <v>43951</v>
      </c>
      <c r="AE178" s="26"/>
      <c r="AF178" s="26"/>
      <c r="AG178" s="28"/>
      <c r="AH178" s="52"/>
      <c r="AI178" s="52"/>
      <c r="AJ178" s="52"/>
      <c r="AK178" s="28"/>
      <c r="AL178" s="22"/>
      <c r="AM178" s="22"/>
      <c r="AN178" s="22"/>
    </row>
    <row r="179" spans="2:40" x14ac:dyDescent="0.25">
      <c r="B179" s="141">
        <v>132</v>
      </c>
      <c r="C179" s="23" t="s">
        <v>1259</v>
      </c>
      <c r="D179" s="22" t="s">
        <v>3</v>
      </c>
      <c r="E179" s="22" t="s">
        <v>1136</v>
      </c>
      <c r="F179" s="24" t="s">
        <v>1018</v>
      </c>
      <c r="G179" s="24">
        <v>1416607</v>
      </c>
      <c r="H179" s="134" t="s">
        <v>67</v>
      </c>
      <c r="I179" s="22" t="s">
        <v>1030</v>
      </c>
      <c r="J179" s="134" t="s">
        <v>67</v>
      </c>
      <c r="K179" s="22" t="s">
        <v>972</v>
      </c>
      <c r="L179" s="22" t="s">
        <v>1255</v>
      </c>
      <c r="M179" s="22" t="s">
        <v>1153</v>
      </c>
      <c r="N179" s="22" t="s">
        <v>1247</v>
      </c>
      <c r="O179" s="24" t="s">
        <v>67</v>
      </c>
      <c r="P179" s="24" t="s">
        <v>1093</v>
      </c>
      <c r="Q179" s="25"/>
      <c r="R179" s="134" t="s">
        <v>67</v>
      </c>
      <c r="S179" s="22"/>
      <c r="T179" s="22"/>
      <c r="U179" s="22"/>
      <c r="V179" s="22">
        <v>199</v>
      </c>
      <c r="W179" s="22">
        <f t="shared" si="19"/>
        <v>199</v>
      </c>
      <c r="X179" s="22"/>
      <c r="Y179" s="22">
        <f>ROUNDDOWN(W179/HLOOKUP(D179,Table!$C$3:$D$4,2,0)*8,2)</f>
        <v>3.53</v>
      </c>
      <c r="Z179" s="22"/>
      <c r="AA179" s="22"/>
      <c r="AB179" s="22"/>
      <c r="AC179" s="26"/>
      <c r="AD179" s="26">
        <v>43951</v>
      </c>
      <c r="AE179" s="26"/>
      <c r="AF179" s="26"/>
      <c r="AG179" s="28"/>
      <c r="AH179" s="52"/>
      <c r="AI179" s="52"/>
      <c r="AJ179" s="52"/>
      <c r="AK179" s="28"/>
      <c r="AL179" s="22"/>
      <c r="AM179" s="22"/>
      <c r="AN179" s="22"/>
    </row>
    <row r="180" spans="2:40" x14ac:dyDescent="0.25">
      <c r="B180" s="141">
        <v>133</v>
      </c>
      <c r="C180" s="23" t="s">
        <v>1259</v>
      </c>
      <c r="D180" s="22" t="s">
        <v>3</v>
      </c>
      <c r="E180" s="22" t="s">
        <v>1136</v>
      </c>
      <c r="F180" s="24" t="s">
        <v>1018</v>
      </c>
      <c r="G180" s="24">
        <v>1416607</v>
      </c>
      <c r="H180" s="134" t="s">
        <v>67</v>
      </c>
      <c r="I180" s="22" t="s">
        <v>1031</v>
      </c>
      <c r="J180" s="134" t="s">
        <v>67</v>
      </c>
      <c r="K180" s="22" t="s">
        <v>972</v>
      </c>
      <c r="L180" s="22" t="s">
        <v>1255</v>
      </c>
      <c r="M180" s="22" t="s">
        <v>1153</v>
      </c>
      <c r="N180" s="22" t="s">
        <v>1247</v>
      </c>
      <c r="O180" s="24" t="s">
        <v>67</v>
      </c>
      <c r="P180" s="24" t="s">
        <v>1093</v>
      </c>
      <c r="Q180" s="25"/>
      <c r="R180" s="134" t="s">
        <v>67</v>
      </c>
      <c r="S180" s="22"/>
      <c r="T180" s="22"/>
      <c r="U180" s="22"/>
      <c r="V180" s="22">
        <v>6</v>
      </c>
      <c r="W180" s="22">
        <f t="shared" si="19"/>
        <v>6</v>
      </c>
      <c r="X180" s="22"/>
      <c r="Y180" s="22">
        <f>ROUNDDOWN(W180/HLOOKUP(D180,Table!$C$3:$D$4,2,0)*8,2)</f>
        <v>0.1</v>
      </c>
      <c r="Z180" s="22"/>
      <c r="AA180" s="22"/>
      <c r="AB180" s="22"/>
      <c r="AC180" s="26"/>
      <c r="AD180" s="26">
        <v>43951</v>
      </c>
      <c r="AE180" s="26"/>
      <c r="AF180" s="26"/>
      <c r="AG180" s="28"/>
      <c r="AH180" s="52"/>
      <c r="AI180" s="52"/>
      <c r="AJ180" s="52"/>
      <c r="AK180" s="28"/>
      <c r="AL180" s="22"/>
      <c r="AM180" s="22"/>
      <c r="AN180" s="22"/>
    </row>
    <row r="181" spans="2:40" x14ac:dyDescent="0.25">
      <c r="B181" s="141">
        <v>134</v>
      </c>
      <c r="C181" s="23" t="s">
        <v>1259</v>
      </c>
      <c r="D181" s="22" t="s">
        <v>3</v>
      </c>
      <c r="E181" s="22" t="s">
        <v>1137</v>
      </c>
      <c r="F181" s="24" t="s">
        <v>1018</v>
      </c>
      <c r="G181" s="24">
        <v>1416606</v>
      </c>
      <c r="H181" s="134" t="s">
        <v>67</v>
      </c>
      <c r="I181" s="22" t="s">
        <v>1019</v>
      </c>
      <c r="J181" s="134" t="s">
        <v>67</v>
      </c>
      <c r="K181" s="22" t="s">
        <v>972</v>
      </c>
      <c r="L181" s="22" t="s">
        <v>1256</v>
      </c>
      <c r="M181" s="22" t="s">
        <v>1017</v>
      </c>
      <c r="N181" s="22" t="s">
        <v>1248</v>
      </c>
      <c r="O181" s="24" t="s">
        <v>67</v>
      </c>
      <c r="P181" s="24" t="s">
        <v>1093</v>
      </c>
      <c r="Q181" s="25"/>
      <c r="R181" s="134" t="s">
        <v>67</v>
      </c>
      <c r="S181" s="22"/>
      <c r="T181" s="22"/>
      <c r="U181" s="22"/>
      <c r="V181" s="22">
        <v>84</v>
      </c>
      <c r="W181" s="22">
        <f t="shared" si="19"/>
        <v>84</v>
      </c>
      <c r="X181" s="22"/>
      <c r="Y181" s="22">
        <f>ROUNDDOWN(W181/HLOOKUP(D181,Table!$C$3:$D$4,2,0)*8,2)</f>
        <v>1.49</v>
      </c>
      <c r="Z181" s="22"/>
      <c r="AA181" s="22"/>
      <c r="AB181" s="22"/>
      <c r="AC181" s="26"/>
      <c r="AD181" s="26">
        <v>43951</v>
      </c>
      <c r="AE181" s="26"/>
      <c r="AF181" s="26"/>
      <c r="AG181" s="28"/>
      <c r="AH181" s="52"/>
      <c r="AI181" s="52"/>
      <c r="AJ181" s="52"/>
      <c r="AK181" s="28"/>
      <c r="AL181" s="22"/>
      <c r="AM181" s="22"/>
      <c r="AN181" s="22"/>
    </row>
    <row r="182" spans="2:40" x14ac:dyDescent="0.25">
      <c r="B182" s="141">
        <v>135</v>
      </c>
      <c r="C182" s="23" t="s">
        <v>1259</v>
      </c>
      <c r="D182" s="22" t="s">
        <v>3</v>
      </c>
      <c r="E182" s="22" t="s">
        <v>1137</v>
      </c>
      <c r="F182" s="24" t="s">
        <v>1018</v>
      </c>
      <c r="G182" s="24">
        <v>1416606</v>
      </c>
      <c r="H182" s="134" t="s">
        <v>67</v>
      </c>
      <c r="I182" s="22" t="s">
        <v>1202</v>
      </c>
      <c r="J182" s="134" t="s">
        <v>67</v>
      </c>
      <c r="K182" s="22" t="s">
        <v>972</v>
      </c>
      <c r="L182" s="22" t="s">
        <v>1256</v>
      </c>
      <c r="M182" s="22" t="s">
        <v>1017</v>
      </c>
      <c r="N182" s="22" t="s">
        <v>1248</v>
      </c>
      <c r="O182" s="24" t="s">
        <v>67</v>
      </c>
      <c r="P182" s="24" t="s">
        <v>1093</v>
      </c>
      <c r="Q182" s="25"/>
      <c r="R182" s="134" t="s">
        <v>67</v>
      </c>
      <c r="S182" s="22"/>
      <c r="T182" s="22"/>
      <c r="U182" s="22"/>
      <c r="V182" s="22">
        <v>7</v>
      </c>
      <c r="W182" s="22">
        <f t="shared" si="19"/>
        <v>7</v>
      </c>
      <c r="X182" s="22"/>
      <c r="Y182" s="22">
        <f>ROUNDDOWN(W182/HLOOKUP(D182,Table!$C$3:$D$4,2,0)*8,2)</f>
        <v>0.12</v>
      </c>
      <c r="Z182" s="22"/>
      <c r="AA182" s="22"/>
      <c r="AB182" s="22"/>
      <c r="AC182" s="26"/>
      <c r="AD182" s="26">
        <v>43951</v>
      </c>
      <c r="AE182" s="26"/>
      <c r="AF182" s="26"/>
      <c r="AG182" s="28"/>
      <c r="AH182" s="52"/>
      <c r="AI182" s="52"/>
      <c r="AJ182" s="52"/>
      <c r="AK182" s="28"/>
      <c r="AL182" s="22"/>
      <c r="AM182" s="22"/>
      <c r="AN182" s="22"/>
    </row>
    <row r="183" spans="2:40" x14ac:dyDescent="0.25">
      <c r="B183" s="141">
        <v>136</v>
      </c>
      <c r="C183" s="23" t="s">
        <v>1259</v>
      </c>
      <c r="D183" s="22" t="s">
        <v>3</v>
      </c>
      <c r="E183" s="22" t="s">
        <v>1137</v>
      </c>
      <c r="F183" s="24" t="s">
        <v>1018</v>
      </c>
      <c r="G183" s="24">
        <v>1416606</v>
      </c>
      <c r="H183" s="134" t="s">
        <v>67</v>
      </c>
      <c r="I183" s="22" t="s">
        <v>1021</v>
      </c>
      <c r="J183" s="134" t="s">
        <v>67</v>
      </c>
      <c r="K183" s="22" t="s">
        <v>972</v>
      </c>
      <c r="L183" s="22" t="s">
        <v>1256</v>
      </c>
      <c r="M183" s="22" t="s">
        <v>1017</v>
      </c>
      <c r="N183" s="22" t="s">
        <v>1248</v>
      </c>
      <c r="O183" s="24" t="s">
        <v>67</v>
      </c>
      <c r="P183" s="24" t="s">
        <v>1093</v>
      </c>
      <c r="Q183" s="25"/>
      <c r="R183" s="134" t="s">
        <v>67</v>
      </c>
      <c r="S183" s="22"/>
      <c r="T183" s="22"/>
      <c r="U183" s="22"/>
      <c r="V183" s="22">
        <v>259</v>
      </c>
      <c r="W183" s="22">
        <f t="shared" si="19"/>
        <v>259</v>
      </c>
      <c r="X183" s="22"/>
      <c r="Y183" s="22">
        <f>ROUNDDOWN(W183/HLOOKUP(D183,Table!$C$3:$D$4,2,0)*8,2)</f>
        <v>4.5999999999999996</v>
      </c>
      <c r="Z183" s="22"/>
      <c r="AA183" s="22"/>
      <c r="AB183" s="22"/>
      <c r="AC183" s="26"/>
      <c r="AD183" s="26">
        <v>43951</v>
      </c>
      <c r="AE183" s="26"/>
      <c r="AF183" s="26"/>
      <c r="AG183" s="28"/>
      <c r="AH183" s="52"/>
      <c r="AI183" s="52"/>
      <c r="AJ183" s="52"/>
      <c r="AK183" s="28"/>
      <c r="AL183" s="22"/>
      <c r="AM183" s="22"/>
      <c r="AN183" s="22"/>
    </row>
    <row r="184" spans="2:40" x14ac:dyDescent="0.25">
      <c r="B184" s="141">
        <v>137</v>
      </c>
      <c r="C184" s="23" t="s">
        <v>1259</v>
      </c>
      <c r="D184" s="22" t="s">
        <v>3</v>
      </c>
      <c r="E184" s="22" t="s">
        <v>1137</v>
      </c>
      <c r="F184" s="24" t="s">
        <v>1018</v>
      </c>
      <c r="G184" s="24">
        <v>1416606</v>
      </c>
      <c r="H184" s="134" t="s">
        <v>67</v>
      </c>
      <c r="I184" s="22" t="s">
        <v>1022</v>
      </c>
      <c r="J184" s="134" t="s">
        <v>67</v>
      </c>
      <c r="K184" s="22" t="s">
        <v>972</v>
      </c>
      <c r="L184" s="22" t="s">
        <v>1256</v>
      </c>
      <c r="M184" s="22" t="s">
        <v>1017</v>
      </c>
      <c r="N184" s="22" t="s">
        <v>1248</v>
      </c>
      <c r="O184" s="24" t="s">
        <v>67</v>
      </c>
      <c r="P184" s="24" t="s">
        <v>1093</v>
      </c>
      <c r="Q184" s="25"/>
      <c r="R184" s="134" t="s">
        <v>67</v>
      </c>
      <c r="S184" s="22"/>
      <c r="T184" s="22"/>
      <c r="U184" s="22"/>
      <c r="V184" s="22">
        <v>140</v>
      </c>
      <c r="W184" s="22">
        <f t="shared" si="19"/>
        <v>140</v>
      </c>
      <c r="X184" s="22"/>
      <c r="Y184" s="22">
        <f>ROUNDDOWN(W184/HLOOKUP(D184,Table!$C$3:$D$4,2,0)*8,2)</f>
        <v>2.48</v>
      </c>
      <c r="Z184" s="22"/>
      <c r="AA184" s="22"/>
      <c r="AB184" s="22"/>
      <c r="AC184" s="26"/>
      <c r="AD184" s="26">
        <v>43951</v>
      </c>
      <c r="AE184" s="26"/>
      <c r="AF184" s="26"/>
      <c r="AG184" s="28"/>
      <c r="AH184" s="52"/>
      <c r="AI184" s="52"/>
      <c r="AJ184" s="52"/>
      <c r="AK184" s="28"/>
      <c r="AL184" s="22"/>
      <c r="AM184" s="22"/>
      <c r="AN184" s="22"/>
    </row>
    <row r="185" spans="2:40" x14ac:dyDescent="0.25">
      <c r="B185" s="141">
        <v>138</v>
      </c>
      <c r="C185" s="23" t="s">
        <v>1259</v>
      </c>
      <c r="D185" s="22" t="s">
        <v>3</v>
      </c>
      <c r="E185" s="22" t="s">
        <v>1137</v>
      </c>
      <c r="F185" s="24" t="s">
        <v>1018</v>
      </c>
      <c r="G185" s="24">
        <v>1416606</v>
      </c>
      <c r="H185" s="134" t="s">
        <v>67</v>
      </c>
      <c r="I185" s="22" t="s">
        <v>1023</v>
      </c>
      <c r="J185" s="134" t="s">
        <v>67</v>
      </c>
      <c r="K185" s="22" t="s">
        <v>972</v>
      </c>
      <c r="L185" s="22" t="s">
        <v>1256</v>
      </c>
      <c r="M185" s="22" t="s">
        <v>1017</v>
      </c>
      <c r="N185" s="22" t="s">
        <v>1248</v>
      </c>
      <c r="O185" s="24" t="s">
        <v>67</v>
      </c>
      <c r="P185" s="24" t="s">
        <v>1093</v>
      </c>
      <c r="Q185" s="25"/>
      <c r="R185" s="134" t="s">
        <v>67</v>
      </c>
      <c r="S185" s="22"/>
      <c r="T185" s="22"/>
      <c r="U185" s="22"/>
      <c r="V185" s="22">
        <v>313</v>
      </c>
      <c r="W185" s="22">
        <f t="shared" si="19"/>
        <v>313</v>
      </c>
      <c r="X185" s="22"/>
      <c r="Y185" s="22">
        <f>ROUNDDOWN(W185/HLOOKUP(D185,Table!$C$3:$D$4,2,0)*8,2)</f>
        <v>5.56</v>
      </c>
      <c r="Z185" s="22"/>
      <c r="AA185" s="22"/>
      <c r="AB185" s="22"/>
      <c r="AC185" s="26"/>
      <c r="AD185" s="26">
        <v>43951</v>
      </c>
      <c r="AE185" s="26"/>
      <c r="AF185" s="26"/>
      <c r="AG185" s="28"/>
      <c r="AH185" s="52"/>
      <c r="AI185" s="52"/>
      <c r="AJ185" s="52"/>
      <c r="AK185" s="28"/>
      <c r="AL185" s="22"/>
      <c r="AM185" s="22"/>
      <c r="AN185" s="22"/>
    </row>
    <row r="186" spans="2:40" x14ac:dyDescent="0.25">
      <c r="B186" s="141">
        <v>139</v>
      </c>
      <c r="C186" s="23" t="s">
        <v>1259</v>
      </c>
      <c r="D186" s="22" t="s">
        <v>3</v>
      </c>
      <c r="E186" s="22" t="s">
        <v>1137</v>
      </c>
      <c r="F186" s="24" t="s">
        <v>1018</v>
      </c>
      <c r="G186" s="24">
        <v>1416606</v>
      </c>
      <c r="H186" s="134" t="s">
        <v>67</v>
      </c>
      <c r="I186" s="22" t="s">
        <v>1025</v>
      </c>
      <c r="J186" s="134" t="s">
        <v>67</v>
      </c>
      <c r="K186" s="22" t="s">
        <v>972</v>
      </c>
      <c r="L186" s="22" t="s">
        <v>1256</v>
      </c>
      <c r="M186" s="22" t="s">
        <v>1017</v>
      </c>
      <c r="N186" s="22" t="s">
        <v>1248</v>
      </c>
      <c r="O186" s="24" t="s">
        <v>67</v>
      </c>
      <c r="P186" s="24" t="s">
        <v>1093</v>
      </c>
      <c r="Q186" s="25"/>
      <c r="R186" s="134" t="s">
        <v>67</v>
      </c>
      <c r="S186" s="22"/>
      <c r="T186" s="22"/>
      <c r="U186" s="22"/>
      <c r="V186" s="22">
        <v>144</v>
      </c>
      <c r="W186" s="22">
        <f t="shared" si="19"/>
        <v>144</v>
      </c>
      <c r="X186" s="22"/>
      <c r="Y186" s="22">
        <f>ROUNDDOWN(W186/HLOOKUP(D186,Table!$C$3:$D$4,2,0)*8,2)</f>
        <v>2.56</v>
      </c>
      <c r="Z186" s="22"/>
      <c r="AA186" s="22"/>
      <c r="AB186" s="22"/>
      <c r="AC186" s="26"/>
      <c r="AD186" s="26">
        <v>43951</v>
      </c>
      <c r="AE186" s="26"/>
      <c r="AF186" s="26"/>
      <c r="AG186" s="28"/>
      <c r="AH186" s="52"/>
      <c r="AI186" s="52"/>
      <c r="AJ186" s="52"/>
      <c r="AK186" s="28"/>
      <c r="AL186" s="22"/>
      <c r="AM186" s="22"/>
      <c r="AN186" s="22"/>
    </row>
    <row r="187" spans="2:40" x14ac:dyDescent="0.25">
      <c r="B187" s="141">
        <v>140</v>
      </c>
      <c r="C187" s="23" t="s">
        <v>1259</v>
      </c>
      <c r="D187" s="22" t="s">
        <v>3</v>
      </c>
      <c r="E187" s="22" t="s">
        <v>1137</v>
      </c>
      <c r="F187" s="24" t="s">
        <v>1018</v>
      </c>
      <c r="G187" s="24">
        <v>1416606</v>
      </c>
      <c r="H187" s="134" t="s">
        <v>67</v>
      </c>
      <c r="I187" s="22" t="s">
        <v>1204</v>
      </c>
      <c r="J187" s="134" t="s">
        <v>67</v>
      </c>
      <c r="K187" s="22" t="s">
        <v>972</v>
      </c>
      <c r="L187" s="22" t="s">
        <v>1256</v>
      </c>
      <c r="M187" s="22" t="s">
        <v>1017</v>
      </c>
      <c r="N187" s="22" t="s">
        <v>1248</v>
      </c>
      <c r="O187" s="24" t="s">
        <v>67</v>
      </c>
      <c r="P187" s="24" t="s">
        <v>1093</v>
      </c>
      <c r="Q187" s="25"/>
      <c r="R187" s="134" t="s">
        <v>67</v>
      </c>
      <c r="S187" s="22"/>
      <c r="T187" s="22"/>
      <c r="U187" s="22"/>
      <c r="V187" s="22">
        <v>59</v>
      </c>
      <c r="W187" s="22">
        <f t="shared" si="19"/>
        <v>59</v>
      </c>
      <c r="X187" s="22"/>
      <c r="Y187" s="22">
        <f>ROUNDDOWN(W187/HLOOKUP(D187,Table!$C$3:$D$4,2,0)*8,2)</f>
        <v>1.04</v>
      </c>
      <c r="Z187" s="22"/>
      <c r="AA187" s="22"/>
      <c r="AB187" s="22"/>
      <c r="AC187" s="26"/>
      <c r="AD187" s="26">
        <v>43951</v>
      </c>
      <c r="AE187" s="26"/>
      <c r="AF187" s="26"/>
      <c r="AG187" s="28"/>
      <c r="AH187" s="52"/>
      <c r="AI187" s="52"/>
      <c r="AJ187" s="52"/>
      <c r="AK187" s="28"/>
      <c r="AL187" s="22"/>
      <c r="AM187" s="22"/>
      <c r="AN187" s="22"/>
    </row>
    <row r="188" spans="2:40" x14ac:dyDescent="0.25">
      <c r="B188" s="141">
        <v>141</v>
      </c>
      <c r="C188" s="23" t="s">
        <v>1259</v>
      </c>
      <c r="D188" s="22" t="s">
        <v>3</v>
      </c>
      <c r="E188" s="22" t="s">
        <v>1137</v>
      </c>
      <c r="F188" s="24" t="s">
        <v>1018</v>
      </c>
      <c r="G188" s="24">
        <v>1416606</v>
      </c>
      <c r="H188" s="134" t="s">
        <v>67</v>
      </c>
      <c r="I188" s="22" t="s">
        <v>1026</v>
      </c>
      <c r="J188" s="134" t="s">
        <v>67</v>
      </c>
      <c r="K188" s="22" t="s">
        <v>972</v>
      </c>
      <c r="L188" s="22" t="s">
        <v>1256</v>
      </c>
      <c r="M188" s="22" t="s">
        <v>1017</v>
      </c>
      <c r="N188" s="22" t="s">
        <v>1248</v>
      </c>
      <c r="O188" s="24" t="s">
        <v>67</v>
      </c>
      <c r="P188" s="24" t="s">
        <v>1093</v>
      </c>
      <c r="Q188" s="25"/>
      <c r="R188" s="134" t="s">
        <v>67</v>
      </c>
      <c r="S188" s="22"/>
      <c r="T188" s="22"/>
      <c r="U188" s="22"/>
      <c r="V188" s="22">
        <v>354</v>
      </c>
      <c r="W188" s="22">
        <f t="shared" si="19"/>
        <v>354</v>
      </c>
      <c r="X188" s="22"/>
      <c r="Y188" s="22">
        <f>ROUNDDOWN(W188/HLOOKUP(D188,Table!$C$3:$D$4,2,0)*8,2)</f>
        <v>6.29</v>
      </c>
      <c r="Z188" s="22"/>
      <c r="AA188" s="22"/>
      <c r="AB188" s="22"/>
      <c r="AC188" s="26"/>
      <c r="AD188" s="26">
        <v>43951</v>
      </c>
      <c r="AE188" s="26"/>
      <c r="AF188" s="26"/>
      <c r="AG188" s="28"/>
      <c r="AH188" s="52"/>
      <c r="AI188" s="52"/>
      <c r="AJ188" s="52"/>
      <c r="AK188" s="28"/>
      <c r="AL188" s="22"/>
      <c r="AM188" s="22"/>
      <c r="AN188" s="22"/>
    </row>
    <row r="189" spans="2:40" x14ac:dyDescent="0.25">
      <c r="B189" s="141">
        <v>142</v>
      </c>
      <c r="C189" s="23" t="s">
        <v>1259</v>
      </c>
      <c r="D189" s="22" t="s">
        <v>3</v>
      </c>
      <c r="E189" s="22" t="s">
        <v>1137</v>
      </c>
      <c r="F189" s="24" t="s">
        <v>1018</v>
      </c>
      <c r="G189" s="24">
        <v>1416606</v>
      </c>
      <c r="H189" s="134" t="s">
        <v>67</v>
      </c>
      <c r="I189" s="22" t="s">
        <v>1028</v>
      </c>
      <c r="J189" s="134" t="s">
        <v>67</v>
      </c>
      <c r="K189" s="22" t="s">
        <v>972</v>
      </c>
      <c r="L189" s="22" t="s">
        <v>1256</v>
      </c>
      <c r="M189" s="22" t="s">
        <v>1017</v>
      </c>
      <c r="N189" s="22" t="s">
        <v>1248</v>
      </c>
      <c r="O189" s="24" t="s">
        <v>67</v>
      </c>
      <c r="P189" s="24" t="s">
        <v>1093</v>
      </c>
      <c r="Q189" s="25"/>
      <c r="R189" s="134" t="s">
        <v>67</v>
      </c>
      <c r="S189" s="22"/>
      <c r="T189" s="22"/>
      <c r="U189" s="22"/>
      <c r="V189" s="22">
        <v>186</v>
      </c>
      <c r="W189" s="22">
        <f t="shared" si="19"/>
        <v>186</v>
      </c>
      <c r="X189" s="22"/>
      <c r="Y189" s="22">
        <f>ROUNDDOWN(W189/HLOOKUP(D189,Table!$C$3:$D$4,2,0)*8,2)</f>
        <v>3.3</v>
      </c>
      <c r="Z189" s="22"/>
      <c r="AA189" s="22"/>
      <c r="AB189" s="22"/>
      <c r="AC189" s="26"/>
      <c r="AD189" s="26">
        <v>43951</v>
      </c>
      <c r="AE189" s="26"/>
      <c r="AF189" s="26"/>
      <c r="AG189" s="28"/>
      <c r="AH189" s="52"/>
      <c r="AI189" s="52"/>
      <c r="AJ189" s="52"/>
      <c r="AK189" s="28"/>
      <c r="AL189" s="22"/>
      <c r="AM189" s="22"/>
      <c r="AN189" s="22"/>
    </row>
    <row r="190" spans="2:40" x14ac:dyDescent="0.25">
      <c r="B190" s="141">
        <v>143</v>
      </c>
      <c r="C190" s="23" t="s">
        <v>1259</v>
      </c>
      <c r="D190" s="22" t="s">
        <v>3</v>
      </c>
      <c r="E190" s="22" t="s">
        <v>1137</v>
      </c>
      <c r="F190" s="24" t="s">
        <v>1018</v>
      </c>
      <c r="G190" s="24">
        <v>1416606</v>
      </c>
      <c r="H190" s="134" t="s">
        <v>67</v>
      </c>
      <c r="I190" s="22" t="s">
        <v>1029</v>
      </c>
      <c r="J190" s="134" t="s">
        <v>67</v>
      </c>
      <c r="K190" s="22" t="s">
        <v>972</v>
      </c>
      <c r="L190" s="22" t="s">
        <v>1256</v>
      </c>
      <c r="M190" s="22" t="s">
        <v>1017</v>
      </c>
      <c r="N190" s="22" t="s">
        <v>1248</v>
      </c>
      <c r="O190" s="24" t="s">
        <v>67</v>
      </c>
      <c r="P190" s="24" t="s">
        <v>1093</v>
      </c>
      <c r="Q190" s="25"/>
      <c r="R190" s="134" t="s">
        <v>67</v>
      </c>
      <c r="S190" s="22"/>
      <c r="T190" s="22"/>
      <c r="U190" s="22"/>
      <c r="V190" s="22">
        <v>159</v>
      </c>
      <c r="W190" s="22">
        <f t="shared" si="19"/>
        <v>159</v>
      </c>
      <c r="X190" s="22"/>
      <c r="Y190" s="22">
        <f>ROUNDDOWN(W190/HLOOKUP(D190,Table!$C$3:$D$4,2,0)*8,2)</f>
        <v>2.82</v>
      </c>
      <c r="Z190" s="22"/>
      <c r="AA190" s="22"/>
      <c r="AB190" s="22"/>
      <c r="AC190" s="26"/>
      <c r="AD190" s="26">
        <v>43951</v>
      </c>
      <c r="AE190" s="26"/>
      <c r="AF190" s="26"/>
      <c r="AG190" s="28"/>
      <c r="AH190" s="52"/>
      <c r="AI190" s="52"/>
      <c r="AJ190" s="52"/>
      <c r="AK190" s="28"/>
      <c r="AL190" s="22"/>
      <c r="AM190" s="22"/>
      <c r="AN190" s="22"/>
    </row>
    <row r="191" spans="2:40" x14ac:dyDescent="0.25">
      <c r="B191" s="141">
        <v>144</v>
      </c>
      <c r="C191" s="23" t="s">
        <v>1259</v>
      </c>
      <c r="D191" s="22" t="s">
        <v>3</v>
      </c>
      <c r="E191" s="22" t="s">
        <v>1137</v>
      </c>
      <c r="F191" s="24" t="s">
        <v>1018</v>
      </c>
      <c r="G191" s="24">
        <v>1416606</v>
      </c>
      <c r="H191" s="134" t="s">
        <v>67</v>
      </c>
      <c r="I191" s="22" t="s">
        <v>1030</v>
      </c>
      <c r="J191" s="134" t="s">
        <v>67</v>
      </c>
      <c r="K191" s="22" t="s">
        <v>972</v>
      </c>
      <c r="L191" s="22" t="s">
        <v>1256</v>
      </c>
      <c r="M191" s="22" t="s">
        <v>1017</v>
      </c>
      <c r="N191" s="22" t="s">
        <v>1248</v>
      </c>
      <c r="O191" s="24" t="s">
        <v>67</v>
      </c>
      <c r="P191" s="24" t="s">
        <v>1093</v>
      </c>
      <c r="Q191" s="25"/>
      <c r="R191" s="134" t="s">
        <v>67</v>
      </c>
      <c r="S191" s="22"/>
      <c r="T191" s="22"/>
      <c r="U191" s="22"/>
      <c r="V191" s="22">
        <v>199</v>
      </c>
      <c r="W191" s="22">
        <f t="shared" si="19"/>
        <v>199</v>
      </c>
      <c r="X191" s="22"/>
      <c r="Y191" s="22">
        <f>ROUNDDOWN(W191/HLOOKUP(D191,Table!$C$3:$D$4,2,0)*8,2)</f>
        <v>3.53</v>
      </c>
      <c r="Z191" s="22"/>
      <c r="AA191" s="22"/>
      <c r="AB191" s="22"/>
      <c r="AC191" s="26"/>
      <c r="AD191" s="26">
        <v>43951</v>
      </c>
      <c r="AE191" s="26"/>
      <c r="AF191" s="26"/>
      <c r="AG191" s="28"/>
      <c r="AH191" s="52"/>
      <c r="AI191" s="52"/>
      <c r="AJ191" s="52"/>
      <c r="AK191" s="28"/>
      <c r="AL191" s="22"/>
      <c r="AM191" s="22"/>
      <c r="AN191" s="22"/>
    </row>
    <row r="192" spans="2:40" x14ac:dyDescent="0.25">
      <c r="B192" s="141">
        <v>145</v>
      </c>
      <c r="C192" s="23" t="s">
        <v>1259</v>
      </c>
      <c r="D192" s="22" t="s">
        <v>3</v>
      </c>
      <c r="E192" s="22" t="s">
        <v>1137</v>
      </c>
      <c r="F192" s="24" t="s">
        <v>1018</v>
      </c>
      <c r="G192" s="24">
        <v>1416606</v>
      </c>
      <c r="H192" s="134" t="s">
        <v>67</v>
      </c>
      <c r="I192" s="22" t="s">
        <v>1031</v>
      </c>
      <c r="J192" s="134" t="s">
        <v>67</v>
      </c>
      <c r="K192" s="22" t="s">
        <v>972</v>
      </c>
      <c r="L192" s="22" t="s">
        <v>1256</v>
      </c>
      <c r="M192" s="22" t="s">
        <v>1017</v>
      </c>
      <c r="N192" s="22" t="s">
        <v>1248</v>
      </c>
      <c r="O192" s="24" t="s">
        <v>67</v>
      </c>
      <c r="P192" s="24" t="s">
        <v>1093</v>
      </c>
      <c r="Q192" s="25"/>
      <c r="R192" s="134" t="s">
        <v>67</v>
      </c>
      <c r="S192" s="22"/>
      <c r="T192" s="22"/>
      <c r="U192" s="22"/>
      <c r="V192" s="22">
        <v>6</v>
      </c>
      <c r="W192" s="22">
        <f t="shared" si="19"/>
        <v>6</v>
      </c>
      <c r="X192" s="22"/>
      <c r="Y192" s="22">
        <f>ROUNDDOWN(W192/HLOOKUP(D192,Table!$C$3:$D$4,2,0)*8,2)</f>
        <v>0.1</v>
      </c>
      <c r="Z192" s="22"/>
      <c r="AA192" s="22"/>
      <c r="AB192" s="22"/>
      <c r="AC192" s="26"/>
      <c r="AD192" s="26">
        <v>43951</v>
      </c>
      <c r="AE192" s="26"/>
      <c r="AF192" s="26"/>
      <c r="AG192" s="28"/>
      <c r="AH192" s="52"/>
      <c r="AI192" s="52"/>
      <c r="AJ192" s="52"/>
      <c r="AK192" s="28"/>
      <c r="AL192" s="22"/>
      <c r="AM192" s="22"/>
      <c r="AN192" s="22"/>
    </row>
    <row r="193" spans="2:40" x14ac:dyDescent="0.25">
      <c r="B193" s="141">
        <v>146</v>
      </c>
      <c r="C193" s="23" t="s">
        <v>1259</v>
      </c>
      <c r="D193" s="22" t="s">
        <v>3</v>
      </c>
      <c r="E193" s="22" t="s">
        <v>1138</v>
      </c>
      <c r="F193" s="24" t="s">
        <v>1164</v>
      </c>
      <c r="G193" s="24">
        <v>1372148</v>
      </c>
      <c r="H193" s="134" t="s">
        <v>67</v>
      </c>
      <c r="I193" s="22" t="s">
        <v>1205</v>
      </c>
      <c r="J193" s="134" t="s">
        <v>67</v>
      </c>
      <c r="K193" s="22" t="s">
        <v>972</v>
      </c>
      <c r="L193" s="22" t="s">
        <v>1077</v>
      </c>
      <c r="M193" s="22" t="s">
        <v>1150</v>
      </c>
      <c r="N193" s="22" t="s">
        <v>1249</v>
      </c>
      <c r="O193" s="24" t="s">
        <v>67</v>
      </c>
      <c r="P193" s="24" t="s">
        <v>1236</v>
      </c>
      <c r="Q193" s="25"/>
      <c r="R193" s="134" t="s">
        <v>67</v>
      </c>
      <c r="S193" s="22"/>
      <c r="T193" s="22"/>
      <c r="U193" s="22"/>
      <c r="V193" s="22">
        <v>90</v>
      </c>
      <c r="W193" s="22">
        <f t="shared" si="19"/>
        <v>90</v>
      </c>
      <c r="X193" s="22"/>
      <c r="Y193" s="22">
        <f>ROUNDDOWN(W193/HLOOKUP(D193,Table!$C$3:$D$4,2,0)*8,2)</f>
        <v>1.6</v>
      </c>
      <c r="Z193" s="22"/>
      <c r="AA193" s="22"/>
      <c r="AB193" s="22"/>
      <c r="AC193" s="26"/>
      <c r="AD193" s="26">
        <v>43943</v>
      </c>
      <c r="AE193" s="26"/>
      <c r="AF193" s="26"/>
      <c r="AG193" s="28"/>
      <c r="AH193" s="52"/>
      <c r="AI193" s="52"/>
      <c r="AJ193" s="52"/>
      <c r="AK193" s="28"/>
      <c r="AL193" s="22"/>
      <c r="AM193" s="22"/>
      <c r="AN193" s="22"/>
    </row>
    <row r="194" spans="2:40" x14ac:dyDescent="0.25">
      <c r="B194" s="141">
        <v>147</v>
      </c>
      <c r="C194" s="23" t="s">
        <v>1259</v>
      </c>
      <c r="D194" s="22" t="s">
        <v>3</v>
      </c>
      <c r="E194" s="22" t="s">
        <v>1138</v>
      </c>
      <c r="F194" s="24" t="s">
        <v>1165</v>
      </c>
      <c r="G194" s="24">
        <v>1372148</v>
      </c>
      <c r="H194" s="134" t="s">
        <v>67</v>
      </c>
      <c r="I194" s="22" t="s">
        <v>1206</v>
      </c>
      <c r="J194" s="134" t="s">
        <v>67</v>
      </c>
      <c r="K194" s="22" t="s">
        <v>972</v>
      </c>
      <c r="L194" s="22" t="s">
        <v>1077</v>
      </c>
      <c r="M194" s="22" t="s">
        <v>1150</v>
      </c>
      <c r="N194" s="22" t="s">
        <v>1249</v>
      </c>
      <c r="O194" s="24" t="s">
        <v>67</v>
      </c>
      <c r="P194" s="24" t="s">
        <v>1236</v>
      </c>
      <c r="Q194" s="25"/>
      <c r="R194" s="134" t="s">
        <v>67</v>
      </c>
      <c r="S194" s="22"/>
      <c r="T194" s="22"/>
      <c r="U194" s="22"/>
      <c r="V194" s="22">
        <v>212</v>
      </c>
      <c r="W194" s="22">
        <f t="shared" si="19"/>
        <v>212</v>
      </c>
      <c r="X194" s="22"/>
      <c r="Y194" s="22">
        <f>ROUNDDOWN(W194/HLOOKUP(D194,Table!$C$3:$D$4,2,0)*8,2)</f>
        <v>3.76</v>
      </c>
      <c r="Z194" s="22"/>
      <c r="AA194" s="22"/>
      <c r="AB194" s="22"/>
      <c r="AC194" s="26"/>
      <c r="AD194" s="26">
        <v>43943</v>
      </c>
      <c r="AE194" s="26"/>
      <c r="AF194" s="26"/>
      <c r="AG194" s="28"/>
      <c r="AH194" s="52"/>
      <c r="AI194" s="52"/>
      <c r="AJ194" s="52"/>
      <c r="AK194" s="28"/>
      <c r="AL194" s="22"/>
      <c r="AM194" s="22"/>
      <c r="AN194" s="22"/>
    </row>
    <row r="195" spans="2:40" x14ac:dyDescent="0.25">
      <c r="B195" s="141">
        <v>148</v>
      </c>
      <c r="C195" s="23" t="s">
        <v>1259</v>
      </c>
      <c r="D195" s="22" t="s">
        <v>3</v>
      </c>
      <c r="E195" s="22" t="s">
        <v>1138</v>
      </c>
      <c r="F195" s="24" t="s">
        <v>1166</v>
      </c>
      <c r="G195" s="24">
        <v>1372148</v>
      </c>
      <c r="H195" s="134" t="s">
        <v>67</v>
      </c>
      <c r="I195" s="22" t="s">
        <v>1207</v>
      </c>
      <c r="J195" s="134" t="s">
        <v>67</v>
      </c>
      <c r="K195" s="22" t="s">
        <v>972</v>
      </c>
      <c r="L195" s="22" t="s">
        <v>1077</v>
      </c>
      <c r="M195" s="22" t="s">
        <v>1150</v>
      </c>
      <c r="N195" s="22" t="s">
        <v>1249</v>
      </c>
      <c r="O195" s="24" t="s">
        <v>67</v>
      </c>
      <c r="P195" s="24" t="s">
        <v>1236</v>
      </c>
      <c r="Q195" s="25"/>
      <c r="R195" s="134" t="s">
        <v>67</v>
      </c>
      <c r="S195" s="22"/>
      <c r="T195" s="22"/>
      <c r="U195" s="22"/>
      <c r="V195" s="22">
        <v>361</v>
      </c>
      <c r="W195" s="22">
        <f t="shared" si="19"/>
        <v>361</v>
      </c>
      <c r="X195" s="22"/>
      <c r="Y195" s="22">
        <f>ROUNDDOWN(W195/HLOOKUP(D195,Table!$C$3:$D$4,2,0)*8,2)</f>
        <v>6.41</v>
      </c>
      <c r="Z195" s="22"/>
      <c r="AA195" s="22"/>
      <c r="AB195" s="22"/>
      <c r="AC195" s="26"/>
      <c r="AD195" s="26">
        <v>43943</v>
      </c>
      <c r="AE195" s="26"/>
      <c r="AF195" s="26"/>
      <c r="AG195" s="28"/>
      <c r="AH195" s="52"/>
      <c r="AI195" s="52"/>
      <c r="AJ195" s="52"/>
      <c r="AK195" s="28"/>
      <c r="AL195" s="22"/>
      <c r="AM195" s="22"/>
      <c r="AN195" s="22"/>
    </row>
    <row r="196" spans="2:40" x14ac:dyDescent="0.25">
      <c r="B196" s="141">
        <v>149</v>
      </c>
      <c r="C196" s="23" t="s">
        <v>1259</v>
      </c>
      <c r="D196" s="22" t="s">
        <v>3</v>
      </c>
      <c r="E196" s="22" t="s">
        <v>1138</v>
      </c>
      <c r="F196" s="24" t="s">
        <v>1166</v>
      </c>
      <c r="G196" s="24">
        <v>1372148</v>
      </c>
      <c r="H196" s="134" t="s">
        <v>67</v>
      </c>
      <c r="I196" s="22" t="s">
        <v>1208</v>
      </c>
      <c r="J196" s="134" t="s">
        <v>67</v>
      </c>
      <c r="K196" s="22" t="s">
        <v>972</v>
      </c>
      <c r="L196" s="22" t="s">
        <v>1077</v>
      </c>
      <c r="M196" s="22" t="s">
        <v>1150</v>
      </c>
      <c r="N196" s="22" t="s">
        <v>1249</v>
      </c>
      <c r="O196" s="24" t="s">
        <v>67</v>
      </c>
      <c r="P196" s="24" t="s">
        <v>1236</v>
      </c>
      <c r="Q196" s="25"/>
      <c r="R196" s="134" t="s">
        <v>67</v>
      </c>
      <c r="S196" s="22"/>
      <c r="T196" s="22"/>
      <c r="U196" s="22"/>
      <c r="V196" s="22">
        <v>437</v>
      </c>
      <c r="W196" s="22">
        <f t="shared" si="19"/>
        <v>437</v>
      </c>
      <c r="X196" s="22"/>
      <c r="Y196" s="22">
        <f>ROUNDDOWN(W196/HLOOKUP(D196,Table!$C$3:$D$4,2,0)*8,2)</f>
        <v>7.76</v>
      </c>
      <c r="Z196" s="22"/>
      <c r="AA196" s="22"/>
      <c r="AB196" s="22"/>
      <c r="AC196" s="26"/>
      <c r="AD196" s="26">
        <v>43943</v>
      </c>
      <c r="AE196" s="26"/>
      <c r="AF196" s="26"/>
      <c r="AG196" s="28"/>
      <c r="AH196" s="52"/>
      <c r="AI196" s="52"/>
      <c r="AJ196" s="52"/>
      <c r="AK196" s="28"/>
      <c r="AL196" s="22"/>
      <c r="AM196" s="22"/>
      <c r="AN196" s="22"/>
    </row>
    <row r="197" spans="2:40" x14ac:dyDescent="0.25">
      <c r="B197" s="141">
        <v>150</v>
      </c>
      <c r="C197" s="23" t="s">
        <v>1259</v>
      </c>
      <c r="D197" s="22" t="s">
        <v>3</v>
      </c>
      <c r="E197" s="22" t="s">
        <v>1138</v>
      </c>
      <c r="F197" s="24" t="s">
        <v>1166</v>
      </c>
      <c r="G197" s="24">
        <v>1372148</v>
      </c>
      <c r="H197" s="134" t="s">
        <v>67</v>
      </c>
      <c r="I197" s="22" t="s">
        <v>1209</v>
      </c>
      <c r="J197" s="134" t="s">
        <v>67</v>
      </c>
      <c r="K197" s="22" t="s">
        <v>972</v>
      </c>
      <c r="L197" s="22" t="s">
        <v>1077</v>
      </c>
      <c r="M197" s="22" t="s">
        <v>1150</v>
      </c>
      <c r="N197" s="22" t="s">
        <v>1249</v>
      </c>
      <c r="O197" s="24" t="s">
        <v>67</v>
      </c>
      <c r="P197" s="24" t="s">
        <v>1236</v>
      </c>
      <c r="Q197" s="25"/>
      <c r="R197" s="134" t="s">
        <v>67</v>
      </c>
      <c r="S197" s="22"/>
      <c r="T197" s="22"/>
      <c r="U197" s="22"/>
      <c r="V197" s="22">
        <v>32</v>
      </c>
      <c r="W197" s="22">
        <f t="shared" si="19"/>
        <v>32</v>
      </c>
      <c r="X197" s="22"/>
      <c r="Y197" s="22">
        <f>ROUNDDOWN(W197/HLOOKUP(D197,Table!$C$3:$D$4,2,0)*8,2)</f>
        <v>0.56000000000000005</v>
      </c>
      <c r="Z197" s="22"/>
      <c r="AA197" s="22"/>
      <c r="AB197" s="22"/>
      <c r="AC197" s="26"/>
      <c r="AD197" s="26">
        <v>43943</v>
      </c>
      <c r="AE197" s="26"/>
      <c r="AF197" s="26"/>
      <c r="AG197" s="28"/>
      <c r="AH197" s="52"/>
      <c r="AI197" s="52"/>
      <c r="AJ197" s="52"/>
      <c r="AK197" s="28"/>
      <c r="AL197" s="22"/>
      <c r="AM197" s="22"/>
      <c r="AN197" s="22"/>
    </row>
    <row r="198" spans="2:40" x14ac:dyDescent="0.25">
      <c r="B198" s="141">
        <v>151</v>
      </c>
      <c r="C198" s="23" t="s">
        <v>1259</v>
      </c>
      <c r="D198" s="22" t="s">
        <v>3</v>
      </c>
      <c r="E198" s="22" t="s">
        <v>1138</v>
      </c>
      <c r="F198" s="24" t="s">
        <v>1167</v>
      </c>
      <c r="G198" s="24">
        <v>1372148</v>
      </c>
      <c r="H198" s="134" t="s">
        <v>67</v>
      </c>
      <c r="I198" s="22" t="s">
        <v>1128</v>
      </c>
      <c r="J198" s="134" t="s">
        <v>67</v>
      </c>
      <c r="K198" s="22" t="s">
        <v>972</v>
      </c>
      <c r="L198" s="22" t="s">
        <v>1077</v>
      </c>
      <c r="M198" s="22" t="s">
        <v>1150</v>
      </c>
      <c r="N198" s="22" t="s">
        <v>1249</v>
      </c>
      <c r="O198" s="24" t="s">
        <v>67</v>
      </c>
      <c r="P198" s="24" t="s">
        <v>1236</v>
      </c>
      <c r="Q198" s="25"/>
      <c r="R198" s="134" t="s">
        <v>67</v>
      </c>
      <c r="S198" s="22"/>
      <c r="T198" s="22"/>
      <c r="U198" s="22"/>
      <c r="V198" s="22">
        <v>997</v>
      </c>
      <c r="W198" s="22">
        <f t="shared" si="19"/>
        <v>997</v>
      </c>
      <c r="X198" s="22"/>
      <c r="Y198" s="22">
        <f>ROUNDDOWN(W198/HLOOKUP(D198,Table!$C$3:$D$4,2,0)*8,2)</f>
        <v>17.72</v>
      </c>
      <c r="Z198" s="22"/>
      <c r="AA198" s="22"/>
      <c r="AB198" s="22"/>
      <c r="AC198" s="26"/>
      <c r="AD198" s="26">
        <v>43943</v>
      </c>
      <c r="AE198" s="26"/>
      <c r="AF198" s="26"/>
      <c r="AG198" s="28"/>
      <c r="AH198" s="52"/>
      <c r="AI198" s="52"/>
      <c r="AJ198" s="52"/>
      <c r="AK198" s="28"/>
      <c r="AL198" s="22"/>
      <c r="AM198" s="22"/>
      <c r="AN198" s="22"/>
    </row>
    <row r="199" spans="2:40" x14ac:dyDescent="0.25">
      <c r="B199" s="141">
        <v>152</v>
      </c>
      <c r="C199" s="23" t="s">
        <v>1259</v>
      </c>
      <c r="D199" s="22" t="s">
        <v>3</v>
      </c>
      <c r="E199" s="22" t="s">
        <v>1138</v>
      </c>
      <c r="F199" s="24" t="s">
        <v>1168</v>
      </c>
      <c r="G199" s="24">
        <v>1372148</v>
      </c>
      <c r="H199" s="134" t="s">
        <v>67</v>
      </c>
      <c r="I199" s="22" t="s">
        <v>1210</v>
      </c>
      <c r="J199" s="134" t="s">
        <v>67</v>
      </c>
      <c r="K199" s="22" t="s">
        <v>972</v>
      </c>
      <c r="L199" s="22" t="s">
        <v>1077</v>
      </c>
      <c r="M199" s="22" t="s">
        <v>1150</v>
      </c>
      <c r="N199" s="22" t="s">
        <v>1249</v>
      </c>
      <c r="O199" s="24" t="s">
        <v>67</v>
      </c>
      <c r="P199" s="24" t="s">
        <v>1236</v>
      </c>
      <c r="Q199" s="25"/>
      <c r="R199" s="134" t="s">
        <v>67</v>
      </c>
      <c r="S199" s="22"/>
      <c r="T199" s="22"/>
      <c r="U199" s="22"/>
      <c r="V199" s="22">
        <v>99</v>
      </c>
      <c r="W199" s="22">
        <f t="shared" si="19"/>
        <v>99</v>
      </c>
      <c r="X199" s="22"/>
      <c r="Y199" s="22">
        <f>ROUNDDOWN(W199/HLOOKUP(D199,Table!$C$3:$D$4,2,0)*8,2)</f>
        <v>1.76</v>
      </c>
      <c r="Z199" s="22"/>
      <c r="AA199" s="22"/>
      <c r="AB199" s="22"/>
      <c r="AC199" s="26"/>
      <c r="AD199" s="26">
        <v>43943</v>
      </c>
      <c r="AE199" s="26"/>
      <c r="AF199" s="26"/>
      <c r="AG199" s="28"/>
      <c r="AH199" s="52"/>
      <c r="AI199" s="52"/>
      <c r="AJ199" s="52"/>
      <c r="AK199" s="28"/>
      <c r="AL199" s="22"/>
      <c r="AM199" s="22"/>
      <c r="AN199" s="22"/>
    </row>
    <row r="200" spans="2:40" x14ac:dyDescent="0.25">
      <c r="B200" s="141">
        <v>153</v>
      </c>
      <c r="C200" s="23" t="s">
        <v>1259</v>
      </c>
      <c r="D200" s="22" t="s">
        <v>3</v>
      </c>
      <c r="E200" s="22" t="s">
        <v>1139</v>
      </c>
      <c r="F200" s="24" t="s">
        <v>1189</v>
      </c>
      <c r="G200" s="24">
        <v>1416483</v>
      </c>
      <c r="H200" s="134" t="s">
        <v>67</v>
      </c>
      <c r="I200" s="22" t="s">
        <v>1211</v>
      </c>
      <c r="J200" s="134" t="s">
        <v>67</v>
      </c>
      <c r="K200" s="22" t="s">
        <v>972</v>
      </c>
      <c r="L200" s="22" t="s">
        <v>1258</v>
      </c>
      <c r="M200" s="22" t="s">
        <v>1154</v>
      </c>
      <c r="N200" s="22" t="s">
        <v>1250</v>
      </c>
      <c r="O200" s="24" t="s">
        <v>67</v>
      </c>
      <c r="P200" s="24" t="s">
        <v>1237</v>
      </c>
      <c r="Q200" s="25"/>
      <c r="R200" s="134" t="s">
        <v>67</v>
      </c>
      <c r="S200" s="22"/>
      <c r="T200" s="22"/>
      <c r="U200" s="22"/>
      <c r="V200" s="22">
        <v>368</v>
      </c>
      <c r="W200" s="22">
        <f t="shared" si="19"/>
        <v>368</v>
      </c>
      <c r="X200" s="22"/>
      <c r="Y200" s="22">
        <f>ROUNDDOWN(W200/HLOOKUP(D200,Table!$C$3:$D$4,2,0)*8,2)</f>
        <v>6.54</v>
      </c>
      <c r="Z200" s="22"/>
      <c r="AA200" s="22"/>
      <c r="AB200" s="22"/>
      <c r="AC200" s="26"/>
      <c r="AD200" s="26">
        <v>43943</v>
      </c>
      <c r="AE200" s="26"/>
      <c r="AF200" s="26"/>
      <c r="AG200" s="28"/>
      <c r="AH200" s="52"/>
      <c r="AI200" s="52"/>
      <c r="AJ200" s="52"/>
      <c r="AK200" s="28"/>
      <c r="AL200" s="22"/>
      <c r="AM200" s="22"/>
      <c r="AN200" s="22"/>
    </row>
    <row r="201" spans="2:40" x14ac:dyDescent="0.25">
      <c r="B201" s="141">
        <v>154</v>
      </c>
      <c r="C201" s="23" t="s">
        <v>1259</v>
      </c>
      <c r="D201" s="22" t="s">
        <v>3</v>
      </c>
      <c r="E201" s="22" t="s">
        <v>1139</v>
      </c>
      <c r="F201" s="24" t="s">
        <v>1190</v>
      </c>
      <c r="G201" s="24">
        <v>1416483</v>
      </c>
      <c r="H201" s="134" t="s">
        <v>67</v>
      </c>
      <c r="I201" s="22" t="s">
        <v>1212</v>
      </c>
      <c r="J201" s="134" t="s">
        <v>67</v>
      </c>
      <c r="K201" s="22" t="s">
        <v>972</v>
      </c>
      <c r="L201" s="22" t="s">
        <v>1258</v>
      </c>
      <c r="M201" s="22" t="s">
        <v>1154</v>
      </c>
      <c r="N201" s="22" t="s">
        <v>1250</v>
      </c>
      <c r="O201" s="24" t="s">
        <v>67</v>
      </c>
      <c r="P201" s="24" t="s">
        <v>1237</v>
      </c>
      <c r="Q201" s="25"/>
      <c r="R201" s="134" t="s">
        <v>67</v>
      </c>
      <c r="S201" s="22"/>
      <c r="T201" s="22"/>
      <c r="U201" s="22"/>
      <c r="V201" s="22">
        <v>332</v>
      </c>
      <c r="W201" s="22">
        <f t="shared" si="19"/>
        <v>332</v>
      </c>
      <c r="X201" s="22"/>
      <c r="Y201" s="22">
        <f>ROUNDDOWN(W201/HLOOKUP(D201,Table!$C$3:$D$4,2,0)*8,2)</f>
        <v>5.9</v>
      </c>
      <c r="Z201" s="22"/>
      <c r="AA201" s="22"/>
      <c r="AB201" s="22"/>
      <c r="AC201" s="26"/>
      <c r="AD201" s="26">
        <v>43943</v>
      </c>
      <c r="AE201" s="26"/>
      <c r="AF201" s="26"/>
      <c r="AG201" s="28"/>
      <c r="AH201" s="52"/>
      <c r="AI201" s="52"/>
      <c r="AJ201" s="52"/>
      <c r="AK201" s="28"/>
      <c r="AL201" s="22"/>
      <c r="AM201" s="22"/>
      <c r="AN201" s="22"/>
    </row>
    <row r="202" spans="2:40" x14ac:dyDescent="0.25">
      <c r="B202" s="141">
        <v>155</v>
      </c>
      <c r="C202" s="23" t="s">
        <v>1259</v>
      </c>
      <c r="D202" s="22" t="s">
        <v>3</v>
      </c>
      <c r="E202" s="22" t="s">
        <v>1139</v>
      </c>
      <c r="F202" s="24" t="s">
        <v>1169</v>
      </c>
      <c r="G202" s="24">
        <v>1416214</v>
      </c>
      <c r="H202" s="134" t="s">
        <v>67</v>
      </c>
      <c r="I202" s="22" t="s">
        <v>1123</v>
      </c>
      <c r="J202" s="134" t="s">
        <v>67</v>
      </c>
      <c r="K202" s="22" t="s">
        <v>972</v>
      </c>
      <c r="L202" s="22">
        <v>81262</v>
      </c>
      <c r="M202" s="22" t="s">
        <v>1154</v>
      </c>
      <c r="N202" s="22" t="s">
        <v>1250</v>
      </c>
      <c r="O202" s="24" t="s">
        <v>67</v>
      </c>
      <c r="P202" s="24" t="s">
        <v>1124</v>
      </c>
      <c r="Q202" s="25"/>
      <c r="R202" s="134" t="s">
        <v>67</v>
      </c>
      <c r="S202" s="22"/>
      <c r="T202" s="22"/>
      <c r="U202" s="22"/>
      <c r="V202" s="22">
        <v>125</v>
      </c>
      <c r="W202" s="22">
        <f t="shared" si="19"/>
        <v>125</v>
      </c>
      <c r="X202" s="22"/>
      <c r="Y202" s="22">
        <f>ROUNDDOWN(W202/HLOOKUP(D202,Table!$C$3:$D$4,2,0)*8,2)</f>
        <v>2.2200000000000002</v>
      </c>
      <c r="Z202" s="22"/>
      <c r="AA202" s="22"/>
      <c r="AB202" s="22"/>
      <c r="AC202" s="26"/>
      <c r="AD202" s="26">
        <v>43943</v>
      </c>
      <c r="AE202" s="26"/>
      <c r="AF202" s="26"/>
      <c r="AG202" s="28"/>
      <c r="AH202" s="52"/>
      <c r="AI202" s="52"/>
      <c r="AJ202" s="52"/>
      <c r="AK202" s="28"/>
      <c r="AL202" s="22"/>
      <c r="AM202" s="22"/>
      <c r="AN202" s="22"/>
    </row>
    <row r="203" spans="2:40" x14ac:dyDescent="0.25">
      <c r="B203" s="141">
        <v>156</v>
      </c>
      <c r="C203" s="23" t="s">
        <v>1259</v>
      </c>
      <c r="D203" s="22" t="s">
        <v>3</v>
      </c>
      <c r="E203" s="22" t="s">
        <v>1139</v>
      </c>
      <c r="F203" s="24" t="s">
        <v>1170</v>
      </c>
      <c r="G203" s="24">
        <v>1416214</v>
      </c>
      <c r="H203" s="134" t="s">
        <v>67</v>
      </c>
      <c r="I203" s="22" t="s">
        <v>1122</v>
      </c>
      <c r="J203" s="134" t="s">
        <v>67</v>
      </c>
      <c r="K203" s="22" t="s">
        <v>972</v>
      </c>
      <c r="L203" s="22">
        <v>81262</v>
      </c>
      <c r="M203" s="22" t="s">
        <v>1154</v>
      </c>
      <c r="N203" s="22" t="s">
        <v>1250</v>
      </c>
      <c r="O203" s="24" t="s">
        <v>67</v>
      </c>
      <c r="P203" s="24" t="s">
        <v>1124</v>
      </c>
      <c r="Q203" s="25"/>
      <c r="R203" s="134" t="s">
        <v>67</v>
      </c>
      <c r="S203" s="22"/>
      <c r="T203" s="22"/>
      <c r="U203" s="22"/>
      <c r="V203" s="22">
        <v>129</v>
      </c>
      <c r="W203" s="22">
        <f t="shared" si="19"/>
        <v>129</v>
      </c>
      <c r="X203" s="22"/>
      <c r="Y203" s="22">
        <f>ROUNDDOWN(W203/HLOOKUP(D203,Table!$C$3:$D$4,2,0)*8,2)</f>
        <v>2.29</v>
      </c>
      <c r="Z203" s="22"/>
      <c r="AA203" s="22"/>
      <c r="AB203" s="22"/>
      <c r="AC203" s="26"/>
      <c r="AD203" s="26">
        <v>43943</v>
      </c>
      <c r="AE203" s="26"/>
      <c r="AF203" s="26"/>
      <c r="AG203" s="28"/>
      <c r="AH203" s="52"/>
      <c r="AI203" s="52"/>
      <c r="AJ203" s="52"/>
      <c r="AK203" s="28"/>
      <c r="AL203" s="22"/>
      <c r="AM203" s="22"/>
      <c r="AN203" s="22"/>
    </row>
    <row r="204" spans="2:40" x14ac:dyDescent="0.25">
      <c r="B204" s="141">
        <v>157</v>
      </c>
      <c r="C204" s="23" t="s">
        <v>1259</v>
      </c>
      <c r="D204" s="22" t="s">
        <v>3</v>
      </c>
      <c r="E204" s="22" t="s">
        <v>1139</v>
      </c>
      <c r="F204" s="24" t="s">
        <v>1171</v>
      </c>
      <c r="G204" s="24">
        <v>1409385</v>
      </c>
      <c r="H204" s="134" t="s">
        <v>67</v>
      </c>
      <c r="I204" s="22" t="s">
        <v>1213</v>
      </c>
      <c r="J204" s="134" t="s">
        <v>67</v>
      </c>
      <c r="K204" s="22" t="s">
        <v>972</v>
      </c>
      <c r="L204" s="22">
        <v>81262</v>
      </c>
      <c r="M204" s="22" t="s">
        <v>1154</v>
      </c>
      <c r="N204" s="22" t="s">
        <v>1250</v>
      </c>
      <c r="O204" s="24" t="s">
        <v>67</v>
      </c>
      <c r="P204" s="24" t="s">
        <v>1124</v>
      </c>
      <c r="Q204" s="25"/>
      <c r="R204" s="134" t="s">
        <v>67</v>
      </c>
      <c r="S204" s="22"/>
      <c r="T204" s="22"/>
      <c r="U204" s="22"/>
      <c r="V204" s="22">
        <v>229</v>
      </c>
      <c r="W204" s="22">
        <f t="shared" si="19"/>
        <v>229</v>
      </c>
      <c r="X204" s="22"/>
      <c r="Y204" s="22">
        <f>ROUNDDOWN(W204/HLOOKUP(D204,Table!$C$3:$D$4,2,0)*8,2)</f>
        <v>4.07</v>
      </c>
      <c r="Z204" s="22"/>
      <c r="AA204" s="22"/>
      <c r="AB204" s="22"/>
      <c r="AC204" s="26"/>
      <c r="AD204" s="26">
        <v>43943</v>
      </c>
      <c r="AE204" s="26"/>
      <c r="AF204" s="26"/>
      <c r="AG204" s="28"/>
      <c r="AH204" s="52"/>
      <c r="AI204" s="52"/>
      <c r="AJ204" s="52"/>
      <c r="AK204" s="28"/>
      <c r="AL204" s="22"/>
      <c r="AM204" s="22"/>
      <c r="AN204" s="22"/>
    </row>
    <row r="205" spans="2:40" x14ac:dyDescent="0.25">
      <c r="B205" s="141">
        <v>158</v>
      </c>
      <c r="C205" s="23" t="s">
        <v>1259</v>
      </c>
      <c r="D205" s="22" t="s">
        <v>3</v>
      </c>
      <c r="E205" s="22" t="s">
        <v>1139</v>
      </c>
      <c r="F205" s="24" t="s">
        <v>1172</v>
      </c>
      <c r="G205" s="24">
        <v>1409385</v>
      </c>
      <c r="H205" s="134" t="s">
        <v>67</v>
      </c>
      <c r="I205" s="22" t="s">
        <v>1214</v>
      </c>
      <c r="J205" s="134" t="s">
        <v>67</v>
      </c>
      <c r="K205" s="22" t="s">
        <v>972</v>
      </c>
      <c r="L205" s="22">
        <v>81262</v>
      </c>
      <c r="M205" s="22" t="s">
        <v>1154</v>
      </c>
      <c r="N205" s="22" t="s">
        <v>1250</v>
      </c>
      <c r="O205" s="24" t="s">
        <v>67</v>
      </c>
      <c r="P205" s="24" t="s">
        <v>1124</v>
      </c>
      <c r="Q205" s="25"/>
      <c r="R205" s="134" t="s">
        <v>67</v>
      </c>
      <c r="S205" s="22"/>
      <c r="T205" s="22"/>
      <c r="U205" s="22"/>
      <c r="V205" s="22">
        <v>37</v>
      </c>
      <c r="W205" s="22">
        <f t="shared" si="19"/>
        <v>37</v>
      </c>
      <c r="X205" s="22"/>
      <c r="Y205" s="22">
        <f>ROUNDDOWN(W205/HLOOKUP(D205,Table!$C$3:$D$4,2,0)*8,2)</f>
        <v>0.65</v>
      </c>
      <c r="Z205" s="22"/>
      <c r="AA205" s="22"/>
      <c r="AB205" s="22"/>
      <c r="AC205" s="26"/>
      <c r="AD205" s="26">
        <v>43943</v>
      </c>
      <c r="AE205" s="26"/>
      <c r="AF205" s="26"/>
      <c r="AG205" s="28"/>
      <c r="AH205" s="52"/>
      <c r="AI205" s="52"/>
      <c r="AJ205" s="52"/>
      <c r="AK205" s="28"/>
      <c r="AL205" s="22"/>
      <c r="AM205" s="22"/>
      <c r="AN205" s="22"/>
    </row>
    <row r="206" spans="2:40" x14ac:dyDescent="0.25">
      <c r="B206" s="141">
        <v>159</v>
      </c>
      <c r="C206" s="23" t="s">
        <v>1259</v>
      </c>
      <c r="D206" s="22" t="s">
        <v>3</v>
      </c>
      <c r="E206" s="22" t="s">
        <v>1139</v>
      </c>
      <c r="F206" s="24" t="s">
        <v>1173</v>
      </c>
      <c r="G206" s="24">
        <v>1409385</v>
      </c>
      <c r="H206" s="134" t="s">
        <v>67</v>
      </c>
      <c r="I206" s="22" t="s">
        <v>1215</v>
      </c>
      <c r="J206" s="134" t="s">
        <v>67</v>
      </c>
      <c r="K206" s="22" t="s">
        <v>972</v>
      </c>
      <c r="L206" s="22">
        <v>81262</v>
      </c>
      <c r="M206" s="22" t="s">
        <v>1154</v>
      </c>
      <c r="N206" s="22" t="s">
        <v>1250</v>
      </c>
      <c r="O206" s="24" t="s">
        <v>67</v>
      </c>
      <c r="P206" s="24" t="s">
        <v>1124</v>
      </c>
      <c r="Q206" s="25"/>
      <c r="R206" s="134" t="s">
        <v>67</v>
      </c>
      <c r="S206" s="22"/>
      <c r="T206" s="22"/>
      <c r="U206" s="22"/>
      <c r="V206" s="22">
        <v>488</v>
      </c>
      <c r="W206" s="22">
        <f t="shared" si="19"/>
        <v>488</v>
      </c>
      <c r="X206" s="22"/>
      <c r="Y206" s="22">
        <f>ROUNDDOWN(W206/HLOOKUP(D206,Table!$C$3:$D$4,2,0)*8,2)</f>
        <v>8.67</v>
      </c>
      <c r="Z206" s="22"/>
      <c r="AA206" s="22"/>
      <c r="AB206" s="22"/>
      <c r="AC206" s="26"/>
      <c r="AD206" s="26">
        <v>43943</v>
      </c>
      <c r="AE206" s="26"/>
      <c r="AF206" s="26"/>
      <c r="AG206" s="28"/>
      <c r="AH206" s="52"/>
      <c r="AI206" s="52"/>
      <c r="AJ206" s="52"/>
      <c r="AK206" s="28"/>
      <c r="AL206" s="22"/>
      <c r="AM206" s="22"/>
      <c r="AN206" s="22"/>
    </row>
    <row r="207" spans="2:40" x14ac:dyDescent="0.25">
      <c r="B207" s="141">
        <v>160</v>
      </c>
      <c r="C207" s="23" t="s">
        <v>1259</v>
      </c>
      <c r="D207" s="22" t="s">
        <v>3</v>
      </c>
      <c r="E207" s="22" t="s">
        <v>1140</v>
      </c>
      <c r="F207" s="24" t="s">
        <v>1191</v>
      </c>
      <c r="G207" s="24">
        <v>1418684</v>
      </c>
      <c r="H207" s="134" t="s">
        <v>67</v>
      </c>
      <c r="I207" s="22" t="s">
        <v>1128</v>
      </c>
      <c r="J207" s="134" t="s">
        <v>67</v>
      </c>
      <c r="K207" s="22" t="s">
        <v>972</v>
      </c>
      <c r="L207" s="22" t="s">
        <v>1257</v>
      </c>
      <c r="M207" s="22" t="s">
        <v>1155</v>
      </c>
      <c r="N207" s="22" t="s">
        <v>1251</v>
      </c>
      <c r="O207" s="24" t="s">
        <v>67</v>
      </c>
      <c r="P207" s="24" t="s">
        <v>1238</v>
      </c>
      <c r="Q207" s="25"/>
      <c r="R207" s="134" t="s">
        <v>67</v>
      </c>
      <c r="S207" s="22"/>
      <c r="T207" s="22"/>
      <c r="U207" s="22"/>
      <c r="V207" s="22">
        <v>55</v>
      </c>
      <c r="W207" s="22">
        <f t="shared" si="19"/>
        <v>55</v>
      </c>
      <c r="X207" s="22"/>
      <c r="Y207" s="22">
        <f>ROUNDDOWN(W207/HLOOKUP(D207,Table!$C$3:$D$4,2,0)*8,2)</f>
        <v>0.97</v>
      </c>
      <c r="Z207" s="22"/>
      <c r="AA207" s="22"/>
      <c r="AB207" s="22"/>
      <c r="AC207" s="26"/>
      <c r="AD207" s="26">
        <v>43943</v>
      </c>
      <c r="AE207" s="26"/>
      <c r="AF207" s="26"/>
      <c r="AG207" s="28"/>
      <c r="AH207" s="52"/>
      <c r="AI207" s="52"/>
      <c r="AJ207" s="52"/>
      <c r="AK207" s="28"/>
      <c r="AL207" s="22"/>
      <c r="AM207" s="22"/>
      <c r="AN207" s="22"/>
    </row>
    <row r="208" spans="2:40" x14ac:dyDescent="0.25">
      <c r="B208" s="141">
        <v>161</v>
      </c>
      <c r="C208" s="23" t="s">
        <v>1259</v>
      </c>
      <c r="D208" s="22" t="s">
        <v>3</v>
      </c>
      <c r="E208" s="22" t="s">
        <v>1140</v>
      </c>
      <c r="F208" s="24" t="s">
        <v>1192</v>
      </c>
      <c r="G208" s="24">
        <v>1418684</v>
      </c>
      <c r="H208" s="134" t="s">
        <v>67</v>
      </c>
      <c r="I208" s="22" t="s">
        <v>1128</v>
      </c>
      <c r="J208" s="134" t="s">
        <v>67</v>
      </c>
      <c r="K208" s="22" t="s">
        <v>972</v>
      </c>
      <c r="L208" s="22" t="s">
        <v>1257</v>
      </c>
      <c r="M208" s="22" t="s">
        <v>1155</v>
      </c>
      <c r="N208" s="22" t="s">
        <v>1251</v>
      </c>
      <c r="O208" s="24" t="s">
        <v>67</v>
      </c>
      <c r="P208" s="24" t="s">
        <v>1238</v>
      </c>
      <c r="Q208" s="25"/>
      <c r="R208" s="134" t="s">
        <v>67</v>
      </c>
      <c r="S208" s="22"/>
      <c r="T208" s="22"/>
      <c r="U208" s="22"/>
      <c r="V208" s="22">
        <v>55</v>
      </c>
      <c r="W208" s="22">
        <f t="shared" si="19"/>
        <v>55</v>
      </c>
      <c r="X208" s="22"/>
      <c r="Y208" s="22">
        <f>ROUNDDOWN(W208/HLOOKUP(D208,Table!$C$3:$D$4,2,0)*8,2)</f>
        <v>0.97</v>
      </c>
      <c r="Z208" s="22"/>
      <c r="AA208" s="22"/>
      <c r="AB208" s="22"/>
      <c r="AC208" s="26"/>
      <c r="AD208" s="26">
        <v>43943</v>
      </c>
      <c r="AE208" s="26"/>
      <c r="AF208" s="26"/>
      <c r="AG208" s="28"/>
      <c r="AH208" s="52"/>
      <c r="AI208" s="52"/>
      <c r="AJ208" s="52"/>
      <c r="AK208" s="28"/>
      <c r="AL208" s="22"/>
      <c r="AM208" s="22"/>
      <c r="AN208" s="22"/>
    </row>
    <row r="209" spans="2:40" x14ac:dyDescent="0.25">
      <c r="B209" s="141">
        <v>162</v>
      </c>
      <c r="C209" s="23" t="s">
        <v>1259</v>
      </c>
      <c r="D209" s="22" t="s">
        <v>3</v>
      </c>
      <c r="E209" s="22" t="s">
        <v>1140</v>
      </c>
      <c r="F209" s="24" t="s">
        <v>1193</v>
      </c>
      <c r="G209" s="24">
        <v>1418684</v>
      </c>
      <c r="H209" s="134" t="s">
        <v>67</v>
      </c>
      <c r="I209" s="22" t="s">
        <v>1128</v>
      </c>
      <c r="J209" s="134" t="s">
        <v>67</v>
      </c>
      <c r="K209" s="22" t="s">
        <v>972</v>
      </c>
      <c r="L209" s="22" t="s">
        <v>1257</v>
      </c>
      <c r="M209" s="22" t="s">
        <v>1155</v>
      </c>
      <c r="N209" s="22" t="s">
        <v>1251</v>
      </c>
      <c r="O209" s="24" t="s">
        <v>67</v>
      </c>
      <c r="P209" s="24" t="s">
        <v>1238</v>
      </c>
      <c r="Q209" s="25"/>
      <c r="R209" s="134" t="s">
        <v>67</v>
      </c>
      <c r="S209" s="22"/>
      <c r="T209" s="22"/>
      <c r="U209" s="22"/>
      <c r="V209" s="22">
        <v>55</v>
      </c>
      <c r="W209" s="22">
        <f t="shared" si="19"/>
        <v>55</v>
      </c>
      <c r="X209" s="22"/>
      <c r="Y209" s="22">
        <f>ROUNDDOWN(W209/HLOOKUP(D209,Table!$C$3:$D$4,2,0)*8,2)</f>
        <v>0.97</v>
      </c>
      <c r="Z209" s="22"/>
      <c r="AA209" s="22"/>
      <c r="AB209" s="22"/>
      <c r="AC209" s="26"/>
      <c r="AD209" s="26">
        <v>43943</v>
      </c>
      <c r="AE209" s="26"/>
      <c r="AF209" s="26"/>
      <c r="AG209" s="28"/>
      <c r="AH209" s="52"/>
      <c r="AI209" s="52"/>
      <c r="AJ209" s="52"/>
      <c r="AK209" s="28"/>
      <c r="AL209" s="22"/>
      <c r="AM209" s="22"/>
      <c r="AN209" s="22"/>
    </row>
    <row r="210" spans="2:40" x14ac:dyDescent="0.25">
      <c r="B210" s="141">
        <v>163</v>
      </c>
      <c r="C210" s="23" t="s">
        <v>1259</v>
      </c>
      <c r="D210" s="22" t="s">
        <v>3</v>
      </c>
      <c r="E210" s="22" t="s">
        <v>1141</v>
      </c>
      <c r="F210" s="24" t="s">
        <v>1174</v>
      </c>
      <c r="G210" s="24">
        <v>1377406</v>
      </c>
      <c r="H210" s="134" t="s">
        <v>67</v>
      </c>
      <c r="I210" s="22" t="s">
        <v>1216</v>
      </c>
      <c r="J210" s="134" t="s">
        <v>67</v>
      </c>
      <c r="K210" s="22" t="s">
        <v>972</v>
      </c>
      <c r="L210" s="22">
        <v>99202</v>
      </c>
      <c r="M210" s="22" t="s">
        <v>1156</v>
      </c>
      <c r="N210" s="22" t="s">
        <v>1251</v>
      </c>
      <c r="O210" s="24" t="s">
        <v>67</v>
      </c>
      <c r="P210" s="24" t="s">
        <v>1239</v>
      </c>
      <c r="Q210" s="25"/>
      <c r="R210" s="134" t="s">
        <v>67</v>
      </c>
      <c r="S210" s="22"/>
      <c r="T210" s="22"/>
      <c r="U210" s="22"/>
      <c r="V210" s="22">
        <v>19</v>
      </c>
      <c r="W210" s="22">
        <f t="shared" si="19"/>
        <v>19</v>
      </c>
      <c r="X210" s="22"/>
      <c r="Y210" s="22">
        <f>ROUNDDOWN(W210/HLOOKUP(D210,Table!$C$3:$D$4,2,0)*8,2)</f>
        <v>0.33</v>
      </c>
      <c r="Z210" s="22"/>
      <c r="AA210" s="22"/>
      <c r="AB210" s="22"/>
      <c r="AC210" s="26"/>
      <c r="AD210" s="26">
        <v>43943</v>
      </c>
      <c r="AE210" s="26"/>
      <c r="AF210" s="26"/>
      <c r="AG210" s="28"/>
      <c r="AH210" s="52"/>
      <c r="AI210" s="52"/>
      <c r="AJ210" s="52"/>
      <c r="AK210" s="28"/>
      <c r="AL210" s="22"/>
      <c r="AM210" s="22"/>
      <c r="AN210" s="22"/>
    </row>
    <row r="211" spans="2:40" x14ac:dyDescent="0.25">
      <c r="B211" s="141">
        <v>164</v>
      </c>
      <c r="C211" s="23" t="s">
        <v>1259</v>
      </c>
      <c r="D211" s="22" t="s">
        <v>3</v>
      </c>
      <c r="E211" s="22" t="s">
        <v>1141</v>
      </c>
      <c r="F211" s="24" t="s">
        <v>1175</v>
      </c>
      <c r="G211" s="24">
        <v>1377406</v>
      </c>
      <c r="H211" s="134" t="s">
        <v>67</v>
      </c>
      <c r="I211" s="22" t="s">
        <v>1217</v>
      </c>
      <c r="J211" s="134" t="s">
        <v>67</v>
      </c>
      <c r="K211" s="22" t="s">
        <v>972</v>
      </c>
      <c r="L211" s="22">
        <v>99202</v>
      </c>
      <c r="M211" s="22" t="s">
        <v>1156</v>
      </c>
      <c r="N211" s="22" t="s">
        <v>1251</v>
      </c>
      <c r="O211" s="24" t="s">
        <v>67</v>
      </c>
      <c r="P211" s="24" t="s">
        <v>1239</v>
      </c>
      <c r="Q211" s="25"/>
      <c r="R211" s="134" t="s">
        <v>67</v>
      </c>
      <c r="S211" s="22"/>
      <c r="T211" s="22"/>
      <c r="U211" s="22"/>
      <c r="V211" s="22">
        <v>244</v>
      </c>
      <c r="W211" s="22">
        <f t="shared" si="19"/>
        <v>244</v>
      </c>
      <c r="X211" s="22"/>
      <c r="Y211" s="22">
        <f>ROUNDDOWN(W211/HLOOKUP(D211,Table!$C$3:$D$4,2,0)*8,2)</f>
        <v>4.33</v>
      </c>
      <c r="Z211" s="22"/>
      <c r="AA211" s="22"/>
      <c r="AB211" s="22"/>
      <c r="AC211" s="26"/>
      <c r="AD211" s="26">
        <v>43943</v>
      </c>
      <c r="AE211" s="26"/>
      <c r="AF211" s="26"/>
      <c r="AG211" s="28"/>
      <c r="AH211" s="52"/>
      <c r="AI211" s="52"/>
      <c r="AJ211" s="52"/>
      <c r="AK211" s="28"/>
      <c r="AL211" s="22"/>
      <c r="AM211" s="22"/>
      <c r="AN211" s="22"/>
    </row>
    <row r="212" spans="2:40" x14ac:dyDescent="0.25">
      <c r="B212" s="141">
        <v>165</v>
      </c>
      <c r="C212" s="23" t="s">
        <v>1259</v>
      </c>
      <c r="D212" s="22" t="s">
        <v>3</v>
      </c>
      <c r="E212" s="78" t="s">
        <v>1142</v>
      </c>
      <c r="F212" s="24"/>
      <c r="G212" s="24">
        <v>1405296</v>
      </c>
      <c r="H212" s="134" t="s">
        <v>67</v>
      </c>
      <c r="I212" s="22" t="s">
        <v>1218</v>
      </c>
      <c r="J212" s="134" t="s">
        <v>67</v>
      </c>
      <c r="K212" s="22" t="s">
        <v>972</v>
      </c>
      <c r="L212" s="22" t="s">
        <v>1077</v>
      </c>
      <c r="M212" s="22" t="s">
        <v>1154</v>
      </c>
      <c r="N212" s="22" t="s">
        <v>1245</v>
      </c>
      <c r="O212" s="24" t="s">
        <v>67</v>
      </c>
      <c r="P212" s="24" t="s">
        <v>1234</v>
      </c>
      <c r="Q212" s="25"/>
      <c r="R212" s="134" t="s">
        <v>67</v>
      </c>
      <c r="S212" s="22"/>
      <c r="T212" s="22"/>
      <c r="U212" s="22"/>
      <c r="V212" s="22">
        <v>803</v>
      </c>
      <c r="W212" s="22">
        <f t="shared" si="19"/>
        <v>803</v>
      </c>
      <c r="X212" s="22"/>
      <c r="Y212" s="22">
        <f>ROUNDDOWN(W212/HLOOKUP(D212,Table!$C$3:$D$4,2,0)*8,2)</f>
        <v>14.27</v>
      </c>
      <c r="Z212" s="22"/>
      <c r="AA212" s="22"/>
      <c r="AB212" s="22"/>
      <c r="AC212" s="26"/>
      <c r="AD212" s="26">
        <v>43942</v>
      </c>
      <c r="AE212" s="26"/>
      <c r="AF212" s="26"/>
      <c r="AG212" s="28"/>
      <c r="AH212" s="52"/>
      <c r="AI212" s="52"/>
      <c r="AJ212" s="52"/>
      <c r="AK212" s="28"/>
      <c r="AL212" s="22"/>
      <c r="AM212" s="22"/>
      <c r="AN212" s="22"/>
    </row>
    <row r="213" spans="2:40" x14ac:dyDescent="0.25">
      <c r="B213" s="141">
        <v>166</v>
      </c>
      <c r="C213" s="23" t="s">
        <v>1259</v>
      </c>
      <c r="D213" s="22" t="s">
        <v>3</v>
      </c>
      <c r="E213" s="78" t="s">
        <v>1142</v>
      </c>
      <c r="F213" s="24"/>
      <c r="G213" s="24">
        <v>1405296</v>
      </c>
      <c r="H213" s="134" t="s">
        <v>67</v>
      </c>
      <c r="I213" s="22" t="s">
        <v>1219</v>
      </c>
      <c r="J213" s="134" t="s">
        <v>67</v>
      </c>
      <c r="K213" s="22" t="s">
        <v>972</v>
      </c>
      <c r="L213" s="22" t="s">
        <v>1077</v>
      </c>
      <c r="M213" s="22" t="s">
        <v>1154</v>
      </c>
      <c r="N213" s="22" t="s">
        <v>1245</v>
      </c>
      <c r="O213" s="24" t="s">
        <v>67</v>
      </c>
      <c r="P213" s="24" t="s">
        <v>1234</v>
      </c>
      <c r="Q213" s="25"/>
      <c r="R213" s="134" t="s">
        <v>67</v>
      </c>
      <c r="S213" s="22"/>
      <c r="T213" s="22"/>
      <c r="U213" s="22"/>
      <c r="V213" s="22">
        <v>208</v>
      </c>
      <c r="W213" s="22">
        <f t="shared" si="19"/>
        <v>208</v>
      </c>
      <c r="X213" s="22"/>
      <c r="Y213" s="22">
        <f>ROUNDDOWN(W213/HLOOKUP(D213,Table!$C$3:$D$4,2,0)*8,2)</f>
        <v>3.69</v>
      </c>
      <c r="Z213" s="22"/>
      <c r="AA213" s="22"/>
      <c r="AB213" s="22"/>
      <c r="AC213" s="26"/>
      <c r="AD213" s="26">
        <v>43942</v>
      </c>
      <c r="AE213" s="26"/>
      <c r="AF213" s="26"/>
      <c r="AG213" s="28"/>
      <c r="AH213" s="52"/>
      <c r="AI213" s="52"/>
      <c r="AJ213" s="52"/>
      <c r="AK213" s="28"/>
      <c r="AL213" s="22"/>
      <c r="AM213" s="22"/>
      <c r="AN213" s="22"/>
    </row>
    <row r="214" spans="2:40" x14ac:dyDescent="0.25">
      <c r="B214" s="141">
        <v>167</v>
      </c>
      <c r="C214" s="23" t="s">
        <v>1259</v>
      </c>
      <c r="D214" s="22" t="s">
        <v>3</v>
      </c>
      <c r="E214" s="78" t="s">
        <v>1143</v>
      </c>
      <c r="F214" s="24"/>
      <c r="G214" s="24">
        <v>1417022</v>
      </c>
      <c r="H214" s="134" t="s">
        <v>67</v>
      </c>
      <c r="I214" s="22" t="s">
        <v>1220</v>
      </c>
      <c r="J214" s="134" t="s">
        <v>67</v>
      </c>
      <c r="K214" s="22" t="s">
        <v>972</v>
      </c>
      <c r="L214" s="22" t="s">
        <v>1077</v>
      </c>
      <c r="M214" s="22" t="s">
        <v>1157</v>
      </c>
      <c r="N214" s="22" t="s">
        <v>1245</v>
      </c>
      <c r="O214" s="24" t="s">
        <v>67</v>
      </c>
      <c r="P214" s="24" t="s">
        <v>1234</v>
      </c>
      <c r="Q214" s="25"/>
      <c r="R214" s="134" t="s">
        <v>67</v>
      </c>
      <c r="S214" s="22"/>
      <c r="T214" s="22"/>
      <c r="U214" s="22"/>
      <c r="V214" s="22">
        <v>259</v>
      </c>
      <c r="W214" s="22">
        <f t="shared" si="19"/>
        <v>259</v>
      </c>
      <c r="X214" s="22"/>
      <c r="Y214" s="22">
        <f>ROUNDDOWN(W214/HLOOKUP(D214,Table!$C$3:$D$4,2,0)*8,2)</f>
        <v>4.5999999999999996</v>
      </c>
      <c r="Z214" s="22"/>
      <c r="AA214" s="22"/>
      <c r="AB214" s="22"/>
      <c r="AC214" s="26"/>
      <c r="AD214" s="26">
        <v>43942</v>
      </c>
      <c r="AE214" s="26"/>
      <c r="AF214" s="26"/>
      <c r="AG214" s="28"/>
      <c r="AH214" s="52"/>
      <c r="AI214" s="52"/>
      <c r="AJ214" s="52"/>
      <c r="AK214" s="28"/>
      <c r="AL214" s="22"/>
      <c r="AM214" s="22"/>
      <c r="AN214" s="22"/>
    </row>
    <row r="215" spans="2:40" x14ac:dyDescent="0.25">
      <c r="B215" s="141">
        <v>168</v>
      </c>
      <c r="C215" s="23" t="s">
        <v>1259</v>
      </c>
      <c r="D215" s="22" t="s">
        <v>3</v>
      </c>
      <c r="E215" s="78" t="s">
        <v>1143</v>
      </c>
      <c r="F215" s="24"/>
      <c r="G215" s="24">
        <v>1417022</v>
      </c>
      <c r="H215" s="134" t="s">
        <v>67</v>
      </c>
      <c r="I215" s="22" t="s">
        <v>1221</v>
      </c>
      <c r="J215" s="134" t="s">
        <v>67</v>
      </c>
      <c r="K215" s="22" t="s">
        <v>972</v>
      </c>
      <c r="L215" s="22" t="s">
        <v>1077</v>
      </c>
      <c r="M215" s="22" t="s">
        <v>1157</v>
      </c>
      <c r="N215" s="22" t="s">
        <v>1245</v>
      </c>
      <c r="O215" s="24" t="s">
        <v>67</v>
      </c>
      <c r="P215" s="24" t="s">
        <v>1234</v>
      </c>
      <c r="Q215" s="25"/>
      <c r="R215" s="134" t="s">
        <v>67</v>
      </c>
      <c r="S215" s="22"/>
      <c r="T215" s="22"/>
      <c r="U215" s="22"/>
      <c r="V215" s="22">
        <v>85</v>
      </c>
      <c r="W215" s="22">
        <f t="shared" si="19"/>
        <v>85</v>
      </c>
      <c r="X215" s="22"/>
      <c r="Y215" s="22">
        <f>ROUNDDOWN(W215/HLOOKUP(D215,Table!$C$3:$D$4,2,0)*8,2)</f>
        <v>1.51</v>
      </c>
      <c r="Z215" s="22"/>
      <c r="AA215" s="22"/>
      <c r="AB215" s="22"/>
      <c r="AC215" s="26"/>
      <c r="AD215" s="26">
        <v>43942</v>
      </c>
      <c r="AE215" s="26"/>
      <c r="AF215" s="26"/>
      <c r="AG215" s="28"/>
      <c r="AH215" s="52"/>
      <c r="AI215" s="52"/>
      <c r="AJ215" s="52"/>
      <c r="AK215" s="28"/>
      <c r="AL215" s="22"/>
      <c r="AM215" s="22"/>
      <c r="AN215" s="22"/>
    </row>
    <row r="216" spans="2:40" x14ac:dyDescent="0.25">
      <c r="B216" s="141">
        <v>169</v>
      </c>
      <c r="C216" s="23" t="s">
        <v>1259</v>
      </c>
      <c r="D216" s="22" t="s">
        <v>3</v>
      </c>
      <c r="E216" s="78" t="s">
        <v>1143</v>
      </c>
      <c r="F216" s="24"/>
      <c r="G216" s="24">
        <v>1417022</v>
      </c>
      <c r="H216" s="134" t="s">
        <v>67</v>
      </c>
      <c r="I216" s="22" t="s">
        <v>1219</v>
      </c>
      <c r="J216" s="134" t="s">
        <v>67</v>
      </c>
      <c r="K216" s="22" t="s">
        <v>972</v>
      </c>
      <c r="L216" s="22" t="s">
        <v>1077</v>
      </c>
      <c r="M216" s="22" t="s">
        <v>1157</v>
      </c>
      <c r="N216" s="22" t="s">
        <v>1245</v>
      </c>
      <c r="O216" s="24" t="s">
        <v>67</v>
      </c>
      <c r="P216" s="24" t="s">
        <v>1234</v>
      </c>
      <c r="Q216" s="25"/>
      <c r="R216" s="134" t="s">
        <v>67</v>
      </c>
      <c r="S216" s="22"/>
      <c r="T216" s="22"/>
      <c r="U216" s="22"/>
      <c r="V216" s="22">
        <v>208</v>
      </c>
      <c r="W216" s="22">
        <f t="shared" si="19"/>
        <v>208</v>
      </c>
      <c r="X216" s="22"/>
      <c r="Y216" s="22">
        <f>ROUNDDOWN(W216/HLOOKUP(D216,Table!$C$3:$D$4,2,0)*8,2)</f>
        <v>3.69</v>
      </c>
      <c r="Z216" s="22"/>
      <c r="AA216" s="22"/>
      <c r="AB216" s="22"/>
      <c r="AC216" s="26"/>
      <c r="AD216" s="26">
        <v>43942</v>
      </c>
      <c r="AE216" s="26"/>
      <c r="AF216" s="26"/>
      <c r="AG216" s="28"/>
      <c r="AH216" s="52"/>
      <c r="AI216" s="52"/>
      <c r="AJ216" s="52"/>
      <c r="AK216" s="28"/>
      <c r="AL216" s="22"/>
      <c r="AM216" s="22"/>
      <c r="AN216" s="22"/>
    </row>
    <row r="217" spans="2:40" x14ac:dyDescent="0.25">
      <c r="B217" s="141">
        <v>170</v>
      </c>
      <c r="C217" s="23" t="s">
        <v>1259</v>
      </c>
      <c r="D217" s="22" t="s">
        <v>3</v>
      </c>
      <c r="E217" s="78" t="s">
        <v>1143</v>
      </c>
      <c r="F217" s="24"/>
      <c r="G217" s="24">
        <v>1417022</v>
      </c>
      <c r="H217" s="134" t="s">
        <v>67</v>
      </c>
      <c r="I217" s="22" t="s">
        <v>1222</v>
      </c>
      <c r="J217" s="134" t="s">
        <v>67</v>
      </c>
      <c r="K217" s="22" t="s">
        <v>972</v>
      </c>
      <c r="L217" s="22" t="s">
        <v>1077</v>
      </c>
      <c r="M217" s="22" t="s">
        <v>1157</v>
      </c>
      <c r="N217" s="22" t="s">
        <v>1245</v>
      </c>
      <c r="O217" s="24" t="s">
        <v>67</v>
      </c>
      <c r="P217" s="24" t="s">
        <v>1234</v>
      </c>
      <c r="Q217" s="25"/>
      <c r="R217" s="134" t="s">
        <v>67</v>
      </c>
      <c r="S217" s="22"/>
      <c r="T217" s="22"/>
      <c r="U217" s="22"/>
      <c r="V217" s="22">
        <v>321</v>
      </c>
      <c r="W217" s="22">
        <f t="shared" si="19"/>
        <v>321</v>
      </c>
      <c r="X217" s="22"/>
      <c r="Y217" s="22">
        <f>ROUNDDOWN(W217/HLOOKUP(D217,Table!$C$3:$D$4,2,0)*8,2)</f>
        <v>5.7</v>
      </c>
      <c r="Z217" s="22"/>
      <c r="AA217" s="22"/>
      <c r="AB217" s="22"/>
      <c r="AC217" s="26"/>
      <c r="AD217" s="26">
        <v>43942</v>
      </c>
      <c r="AE217" s="26"/>
      <c r="AF217" s="26"/>
      <c r="AG217" s="28"/>
      <c r="AH217" s="52"/>
      <c r="AI217" s="52"/>
      <c r="AJ217" s="52"/>
      <c r="AK217" s="28"/>
      <c r="AL217" s="22"/>
      <c r="AM217" s="22"/>
      <c r="AN217" s="22"/>
    </row>
    <row r="218" spans="2:40" x14ac:dyDescent="0.25">
      <c r="B218" s="141">
        <v>171</v>
      </c>
      <c r="C218" s="23" t="s">
        <v>1259</v>
      </c>
      <c r="D218" s="22" t="s">
        <v>3</v>
      </c>
      <c r="E218" s="22" t="s">
        <v>1144</v>
      </c>
      <c r="F218" s="24" t="s">
        <v>1176</v>
      </c>
      <c r="G218" s="24">
        <v>1414681</v>
      </c>
      <c r="H218" s="134" t="s">
        <v>67</v>
      </c>
      <c r="I218" s="22" t="s">
        <v>1223</v>
      </c>
      <c r="J218" s="134" t="s">
        <v>67</v>
      </c>
      <c r="K218" s="22" t="s">
        <v>972</v>
      </c>
      <c r="L218" s="22">
        <v>81728</v>
      </c>
      <c r="M218" s="22" t="s">
        <v>1158</v>
      </c>
      <c r="N218" s="22" t="s">
        <v>1072</v>
      </c>
      <c r="O218" s="24" t="s">
        <v>67</v>
      </c>
      <c r="P218" s="24" t="s">
        <v>1240</v>
      </c>
      <c r="Q218" s="25"/>
      <c r="R218" s="134" t="s">
        <v>67</v>
      </c>
      <c r="S218" s="22"/>
      <c r="T218" s="22"/>
      <c r="U218" s="22"/>
      <c r="V218" s="22">
        <v>118</v>
      </c>
      <c r="W218" s="22">
        <f t="shared" si="19"/>
        <v>118</v>
      </c>
      <c r="X218" s="22"/>
      <c r="Y218" s="22">
        <f>ROUNDDOWN(W218/HLOOKUP(D218,Table!$C$3:$D$4,2,0)*8,2)</f>
        <v>2.09</v>
      </c>
      <c r="Z218" s="22"/>
      <c r="AA218" s="22"/>
      <c r="AB218" s="22"/>
      <c r="AC218" s="26"/>
      <c r="AD218" s="26">
        <v>43942</v>
      </c>
      <c r="AE218" s="26"/>
      <c r="AF218" s="26"/>
      <c r="AG218" s="28"/>
      <c r="AH218" s="52"/>
      <c r="AI218" s="52"/>
      <c r="AJ218" s="52"/>
      <c r="AK218" s="28"/>
      <c r="AL218" s="22"/>
      <c r="AM218" s="22"/>
      <c r="AN218" s="22"/>
    </row>
    <row r="219" spans="2:40" x14ac:dyDescent="0.25">
      <c r="B219" s="141">
        <v>172</v>
      </c>
      <c r="C219" s="23" t="s">
        <v>1259</v>
      </c>
      <c r="D219" s="22" t="s">
        <v>3</v>
      </c>
      <c r="E219" s="22" t="s">
        <v>1145</v>
      </c>
      <c r="F219" s="24" t="s">
        <v>1177</v>
      </c>
      <c r="G219" s="24">
        <v>1416204</v>
      </c>
      <c r="H219" s="134" t="s">
        <v>67</v>
      </c>
      <c r="I219" s="22" t="s">
        <v>1122</v>
      </c>
      <c r="J219" s="134" t="s">
        <v>67</v>
      </c>
      <c r="K219" s="22" t="s">
        <v>972</v>
      </c>
      <c r="L219" s="22">
        <v>99308</v>
      </c>
      <c r="M219" s="22" t="s">
        <v>1155</v>
      </c>
      <c r="N219" s="22" t="s">
        <v>1252</v>
      </c>
      <c r="O219" s="24" t="s">
        <v>67</v>
      </c>
      <c r="P219" s="24" t="s">
        <v>1124</v>
      </c>
      <c r="Q219" s="25"/>
      <c r="R219" s="134" t="s">
        <v>67</v>
      </c>
      <c r="S219" s="22"/>
      <c r="T219" s="22"/>
      <c r="U219" s="22"/>
      <c r="V219" s="22">
        <v>116</v>
      </c>
      <c r="W219" s="22">
        <f t="shared" si="19"/>
        <v>116</v>
      </c>
      <c r="X219" s="22"/>
      <c r="Y219" s="22">
        <f>ROUNDDOWN(W219/HLOOKUP(D219,Table!$C$3:$D$4,2,0)*8,2)</f>
        <v>2.06</v>
      </c>
      <c r="Z219" s="22"/>
      <c r="AA219" s="22"/>
      <c r="AB219" s="22"/>
      <c r="AC219" s="26"/>
      <c r="AD219" s="26">
        <v>43943</v>
      </c>
      <c r="AE219" s="26"/>
      <c r="AF219" s="26"/>
      <c r="AG219" s="28"/>
      <c r="AH219" s="52"/>
      <c r="AI219" s="52"/>
      <c r="AJ219" s="52"/>
      <c r="AK219" s="28"/>
      <c r="AL219" s="22"/>
      <c r="AM219" s="22"/>
      <c r="AN219" s="22"/>
    </row>
    <row r="220" spans="2:40" x14ac:dyDescent="0.25">
      <c r="B220" s="141">
        <v>173</v>
      </c>
      <c r="C220" s="23" t="s">
        <v>1259</v>
      </c>
      <c r="D220" s="22" t="s">
        <v>3</v>
      </c>
      <c r="E220" s="22" t="s">
        <v>1145</v>
      </c>
      <c r="F220" s="24" t="s">
        <v>1178</v>
      </c>
      <c r="G220" s="24">
        <v>1416204</v>
      </c>
      <c r="H220" s="134" t="s">
        <v>67</v>
      </c>
      <c r="I220" s="22" t="s">
        <v>1123</v>
      </c>
      <c r="J220" s="134" t="s">
        <v>67</v>
      </c>
      <c r="K220" s="22" t="s">
        <v>972</v>
      </c>
      <c r="L220" s="22">
        <v>99308</v>
      </c>
      <c r="M220" s="22" t="s">
        <v>1155</v>
      </c>
      <c r="N220" s="22" t="s">
        <v>1252</v>
      </c>
      <c r="O220" s="24" t="s">
        <v>67</v>
      </c>
      <c r="P220" s="24" t="s">
        <v>1124</v>
      </c>
      <c r="Q220" s="25"/>
      <c r="R220" s="134" t="s">
        <v>67</v>
      </c>
      <c r="S220" s="22"/>
      <c r="T220" s="22"/>
      <c r="U220" s="22"/>
      <c r="V220" s="22">
        <v>119</v>
      </c>
      <c r="W220" s="22">
        <f t="shared" si="19"/>
        <v>119</v>
      </c>
      <c r="X220" s="22"/>
      <c r="Y220" s="22">
        <f>ROUNDDOWN(W220/HLOOKUP(D220,Table!$C$3:$D$4,2,0)*8,2)</f>
        <v>2.11</v>
      </c>
      <c r="Z220" s="22"/>
      <c r="AA220" s="22"/>
      <c r="AB220" s="22"/>
      <c r="AC220" s="26"/>
      <c r="AD220" s="26">
        <v>43943</v>
      </c>
      <c r="AE220" s="26"/>
      <c r="AF220" s="26"/>
      <c r="AG220" s="28"/>
      <c r="AH220" s="52"/>
      <c r="AI220" s="52"/>
      <c r="AJ220" s="52"/>
      <c r="AK220" s="28"/>
      <c r="AL220" s="22"/>
      <c r="AM220" s="22"/>
      <c r="AN220" s="22"/>
    </row>
    <row r="221" spans="2:40" x14ac:dyDescent="0.25">
      <c r="B221" s="141">
        <v>174</v>
      </c>
      <c r="C221" s="23" t="s">
        <v>1259</v>
      </c>
      <c r="D221" s="22" t="s">
        <v>3</v>
      </c>
      <c r="E221" s="22" t="s">
        <v>1146</v>
      </c>
      <c r="F221" s="24" t="s">
        <v>1179</v>
      </c>
      <c r="G221" s="24">
        <v>1417780</v>
      </c>
      <c r="H221" s="134" t="s">
        <v>67</v>
      </c>
      <c r="I221" s="22" t="s">
        <v>1224</v>
      </c>
      <c r="J221" s="134" t="s">
        <v>67</v>
      </c>
      <c r="K221" s="22" t="s">
        <v>972</v>
      </c>
      <c r="L221" s="22" t="s">
        <v>1077</v>
      </c>
      <c r="M221" s="22" t="s">
        <v>1159</v>
      </c>
      <c r="N221" s="22" t="s">
        <v>1253</v>
      </c>
      <c r="O221" s="24" t="s">
        <v>67</v>
      </c>
      <c r="P221" s="24" t="s">
        <v>1241</v>
      </c>
      <c r="Q221" s="25"/>
      <c r="R221" s="134" t="s">
        <v>67</v>
      </c>
      <c r="S221" s="22"/>
      <c r="T221" s="22"/>
      <c r="U221" s="22"/>
      <c r="V221" s="22">
        <v>73</v>
      </c>
      <c r="W221" s="22">
        <f t="shared" si="19"/>
        <v>73</v>
      </c>
      <c r="X221" s="22"/>
      <c r="Y221" s="22">
        <f>ROUNDDOWN(W221/HLOOKUP(D221,Table!$C$3:$D$4,2,0)*8,2)</f>
        <v>1.29</v>
      </c>
      <c r="Z221" s="22"/>
      <c r="AA221" s="22"/>
      <c r="AB221" s="22"/>
      <c r="AC221" s="26"/>
      <c r="AD221" s="26">
        <v>43951</v>
      </c>
      <c r="AE221" s="26"/>
      <c r="AF221" s="26"/>
      <c r="AG221" s="28"/>
      <c r="AH221" s="52"/>
      <c r="AI221" s="52"/>
      <c r="AJ221" s="52"/>
      <c r="AK221" s="28"/>
      <c r="AL221" s="22"/>
      <c r="AM221" s="22"/>
      <c r="AN221" s="22"/>
    </row>
    <row r="222" spans="2:40" x14ac:dyDescent="0.25">
      <c r="B222" s="141">
        <v>175</v>
      </c>
      <c r="C222" s="23" t="s">
        <v>1259</v>
      </c>
      <c r="D222" s="22" t="s">
        <v>3</v>
      </c>
      <c r="E222" s="22" t="s">
        <v>1146</v>
      </c>
      <c r="F222" s="24" t="s">
        <v>1180</v>
      </c>
      <c r="G222" s="24">
        <v>1417780</v>
      </c>
      <c r="H222" s="134" t="s">
        <v>67</v>
      </c>
      <c r="I222" s="22" t="s">
        <v>1225</v>
      </c>
      <c r="J222" s="134" t="s">
        <v>67</v>
      </c>
      <c r="K222" s="22" t="s">
        <v>972</v>
      </c>
      <c r="L222" s="22" t="s">
        <v>1077</v>
      </c>
      <c r="M222" s="22" t="s">
        <v>1159</v>
      </c>
      <c r="N222" s="22" t="s">
        <v>1253</v>
      </c>
      <c r="O222" s="24" t="s">
        <v>67</v>
      </c>
      <c r="P222" s="24" t="s">
        <v>1241</v>
      </c>
      <c r="Q222" s="25"/>
      <c r="R222" s="134" t="s">
        <v>67</v>
      </c>
      <c r="S222" s="22"/>
      <c r="T222" s="22"/>
      <c r="U222" s="22"/>
      <c r="V222" s="22">
        <v>131</v>
      </c>
      <c r="W222" s="22">
        <f t="shared" ref="W222:W230" si="20">V222</f>
        <v>131</v>
      </c>
      <c r="X222" s="22"/>
      <c r="Y222" s="22">
        <f>ROUNDDOWN(W222/HLOOKUP(D222,Table!$C$3:$D$4,2,0)*8,2)</f>
        <v>2.3199999999999998</v>
      </c>
      <c r="Z222" s="22"/>
      <c r="AA222" s="22"/>
      <c r="AB222" s="22"/>
      <c r="AC222" s="26"/>
      <c r="AD222" s="26">
        <v>43951</v>
      </c>
      <c r="AE222" s="26"/>
      <c r="AF222" s="26"/>
      <c r="AG222" s="28"/>
      <c r="AH222" s="52"/>
      <c r="AI222" s="52"/>
      <c r="AJ222" s="52"/>
      <c r="AK222" s="28"/>
      <c r="AL222" s="22"/>
      <c r="AM222" s="22"/>
      <c r="AN222" s="22"/>
    </row>
    <row r="223" spans="2:40" x14ac:dyDescent="0.25">
      <c r="B223" s="141">
        <v>176</v>
      </c>
      <c r="C223" s="23" t="s">
        <v>1259</v>
      </c>
      <c r="D223" s="22" t="s">
        <v>3</v>
      </c>
      <c r="E223" s="22" t="s">
        <v>1146</v>
      </c>
      <c r="F223" s="24" t="s">
        <v>1181</v>
      </c>
      <c r="G223" s="24">
        <v>1417780</v>
      </c>
      <c r="H223" s="134" t="s">
        <v>67</v>
      </c>
      <c r="I223" s="22" t="s">
        <v>1226</v>
      </c>
      <c r="J223" s="134" t="s">
        <v>67</v>
      </c>
      <c r="K223" s="22" t="s">
        <v>972</v>
      </c>
      <c r="L223" s="22" t="s">
        <v>1077</v>
      </c>
      <c r="M223" s="22" t="s">
        <v>1159</v>
      </c>
      <c r="N223" s="22" t="s">
        <v>1253</v>
      </c>
      <c r="O223" s="24" t="s">
        <v>67</v>
      </c>
      <c r="P223" s="24" t="s">
        <v>1241</v>
      </c>
      <c r="Q223" s="25"/>
      <c r="R223" s="134" t="s">
        <v>67</v>
      </c>
      <c r="S223" s="22"/>
      <c r="T223" s="22"/>
      <c r="U223" s="22"/>
      <c r="V223" s="22">
        <v>191</v>
      </c>
      <c r="W223" s="22">
        <f t="shared" si="20"/>
        <v>191</v>
      </c>
      <c r="X223" s="22"/>
      <c r="Y223" s="22">
        <f>ROUNDDOWN(W223/HLOOKUP(D223,Table!$C$3:$D$4,2,0)*8,2)</f>
        <v>3.39</v>
      </c>
      <c r="Z223" s="22"/>
      <c r="AA223" s="22"/>
      <c r="AB223" s="22"/>
      <c r="AC223" s="26"/>
      <c r="AD223" s="26">
        <v>43951</v>
      </c>
      <c r="AE223" s="26"/>
      <c r="AF223" s="26"/>
      <c r="AG223" s="28"/>
      <c r="AH223" s="52"/>
      <c r="AI223" s="52"/>
      <c r="AJ223" s="52"/>
      <c r="AK223" s="28"/>
      <c r="AL223" s="22"/>
      <c r="AM223" s="22"/>
      <c r="AN223" s="22"/>
    </row>
    <row r="224" spans="2:40" x14ac:dyDescent="0.25">
      <c r="B224" s="141">
        <v>177</v>
      </c>
      <c r="C224" s="23" t="s">
        <v>1259</v>
      </c>
      <c r="D224" s="22" t="s">
        <v>3</v>
      </c>
      <c r="E224" s="22" t="s">
        <v>1146</v>
      </c>
      <c r="F224" s="24" t="s">
        <v>1182</v>
      </c>
      <c r="G224" s="24">
        <v>1417780</v>
      </c>
      <c r="H224" s="134" t="s">
        <v>67</v>
      </c>
      <c r="I224" s="22" t="s">
        <v>1227</v>
      </c>
      <c r="J224" s="134" t="s">
        <v>67</v>
      </c>
      <c r="K224" s="22" t="s">
        <v>972</v>
      </c>
      <c r="L224" s="22" t="s">
        <v>1077</v>
      </c>
      <c r="M224" s="22" t="s">
        <v>1159</v>
      </c>
      <c r="N224" s="22" t="s">
        <v>1253</v>
      </c>
      <c r="O224" s="24" t="s">
        <v>67</v>
      </c>
      <c r="P224" s="24" t="s">
        <v>1241</v>
      </c>
      <c r="Q224" s="25"/>
      <c r="R224" s="134" t="s">
        <v>67</v>
      </c>
      <c r="S224" s="22"/>
      <c r="T224" s="22"/>
      <c r="U224" s="22"/>
      <c r="V224" s="22">
        <v>344</v>
      </c>
      <c r="W224" s="22">
        <f t="shared" si="20"/>
        <v>344</v>
      </c>
      <c r="X224" s="22"/>
      <c r="Y224" s="22">
        <f>ROUNDDOWN(W224/HLOOKUP(D224,Table!$C$3:$D$4,2,0)*8,2)</f>
        <v>6.11</v>
      </c>
      <c r="Z224" s="22"/>
      <c r="AA224" s="22"/>
      <c r="AB224" s="22"/>
      <c r="AC224" s="26"/>
      <c r="AD224" s="26">
        <v>43951</v>
      </c>
      <c r="AE224" s="26"/>
      <c r="AF224" s="26"/>
      <c r="AG224" s="28"/>
      <c r="AH224" s="52"/>
      <c r="AI224" s="52"/>
      <c r="AJ224" s="52"/>
      <c r="AK224" s="28"/>
      <c r="AL224" s="22"/>
      <c r="AM224" s="22"/>
      <c r="AN224" s="22"/>
    </row>
    <row r="225" spans="1:40" x14ac:dyDescent="0.25">
      <c r="B225" s="141">
        <v>178</v>
      </c>
      <c r="C225" s="23" t="s">
        <v>1259</v>
      </c>
      <c r="D225" s="22" t="s">
        <v>3</v>
      </c>
      <c r="E225" s="22" t="s">
        <v>1146</v>
      </c>
      <c r="F225" s="24" t="s">
        <v>1183</v>
      </c>
      <c r="G225" s="24">
        <v>1417780</v>
      </c>
      <c r="H225" s="134" t="s">
        <v>67</v>
      </c>
      <c r="I225" s="22" t="s">
        <v>1228</v>
      </c>
      <c r="J225" s="134" t="s">
        <v>67</v>
      </c>
      <c r="K225" s="22" t="s">
        <v>972</v>
      </c>
      <c r="L225" s="22" t="s">
        <v>1077</v>
      </c>
      <c r="M225" s="22" t="s">
        <v>1159</v>
      </c>
      <c r="N225" s="22" t="s">
        <v>1253</v>
      </c>
      <c r="O225" s="24" t="s">
        <v>67</v>
      </c>
      <c r="P225" s="24" t="s">
        <v>1241</v>
      </c>
      <c r="Q225" s="25"/>
      <c r="R225" s="134" t="s">
        <v>67</v>
      </c>
      <c r="S225" s="22"/>
      <c r="T225" s="22"/>
      <c r="U225" s="22"/>
      <c r="V225" s="22">
        <v>40</v>
      </c>
      <c r="W225" s="22">
        <f t="shared" si="20"/>
        <v>40</v>
      </c>
      <c r="X225" s="22"/>
      <c r="Y225" s="22">
        <f>ROUNDDOWN(W225/HLOOKUP(D225,Table!$C$3:$D$4,2,0)*8,2)</f>
        <v>0.71</v>
      </c>
      <c r="Z225" s="22"/>
      <c r="AA225" s="22"/>
      <c r="AB225" s="22"/>
      <c r="AC225" s="26"/>
      <c r="AD225" s="26">
        <v>43951</v>
      </c>
      <c r="AE225" s="26"/>
      <c r="AF225" s="26"/>
      <c r="AG225" s="28"/>
      <c r="AH225" s="52"/>
      <c r="AI225" s="52"/>
      <c r="AJ225" s="52"/>
      <c r="AK225" s="28"/>
      <c r="AL225" s="22"/>
      <c r="AM225" s="22"/>
      <c r="AN225" s="22"/>
    </row>
    <row r="226" spans="1:40" x14ac:dyDescent="0.25">
      <c r="B226" s="141">
        <v>179</v>
      </c>
      <c r="C226" s="23" t="s">
        <v>1259</v>
      </c>
      <c r="D226" s="22" t="s">
        <v>3</v>
      </c>
      <c r="E226" s="22" t="s">
        <v>1146</v>
      </c>
      <c r="F226" s="24" t="s">
        <v>1184</v>
      </c>
      <c r="G226" s="24">
        <v>1417780</v>
      </c>
      <c r="H226" s="134" t="s">
        <v>67</v>
      </c>
      <c r="I226" s="22" t="s">
        <v>1229</v>
      </c>
      <c r="J226" s="134" t="s">
        <v>67</v>
      </c>
      <c r="K226" s="22" t="s">
        <v>972</v>
      </c>
      <c r="L226" s="22" t="s">
        <v>1077</v>
      </c>
      <c r="M226" s="22" t="s">
        <v>1159</v>
      </c>
      <c r="N226" s="22" t="s">
        <v>1253</v>
      </c>
      <c r="O226" s="24" t="s">
        <v>67</v>
      </c>
      <c r="P226" s="24" t="s">
        <v>1241</v>
      </c>
      <c r="Q226" s="25"/>
      <c r="R226" s="134" t="s">
        <v>67</v>
      </c>
      <c r="S226" s="22"/>
      <c r="T226" s="22"/>
      <c r="U226" s="22"/>
      <c r="V226" s="22">
        <v>146</v>
      </c>
      <c r="W226" s="22">
        <f t="shared" si="20"/>
        <v>146</v>
      </c>
      <c r="X226" s="22"/>
      <c r="Y226" s="22">
        <f>ROUNDDOWN(W226/HLOOKUP(D226,Table!$C$3:$D$4,2,0)*8,2)</f>
        <v>2.59</v>
      </c>
      <c r="Z226" s="22"/>
      <c r="AA226" s="22"/>
      <c r="AB226" s="22"/>
      <c r="AC226" s="26"/>
      <c r="AD226" s="26">
        <v>43951</v>
      </c>
      <c r="AE226" s="26"/>
      <c r="AF226" s="26"/>
      <c r="AG226" s="28"/>
      <c r="AH226" s="52"/>
      <c r="AI226" s="52"/>
      <c r="AJ226" s="52"/>
      <c r="AK226" s="28"/>
      <c r="AL226" s="22"/>
      <c r="AM226" s="22"/>
      <c r="AN226" s="22"/>
    </row>
    <row r="227" spans="1:40" x14ac:dyDescent="0.25">
      <c r="B227" s="141">
        <v>180</v>
      </c>
      <c r="C227" s="23" t="s">
        <v>1259</v>
      </c>
      <c r="D227" s="22" t="s">
        <v>3</v>
      </c>
      <c r="E227" s="22" t="s">
        <v>1146</v>
      </c>
      <c r="F227" s="24" t="s">
        <v>1185</v>
      </c>
      <c r="G227" s="24">
        <v>1417780</v>
      </c>
      <c r="H227" s="134" t="s">
        <v>67</v>
      </c>
      <c r="I227" s="22" t="s">
        <v>1027</v>
      </c>
      <c r="J227" s="134" t="s">
        <v>67</v>
      </c>
      <c r="K227" s="22" t="s">
        <v>972</v>
      </c>
      <c r="L227" s="22" t="s">
        <v>1077</v>
      </c>
      <c r="M227" s="22" t="s">
        <v>1159</v>
      </c>
      <c r="N227" s="22" t="s">
        <v>1253</v>
      </c>
      <c r="O227" s="24" t="s">
        <v>67</v>
      </c>
      <c r="P227" s="24" t="s">
        <v>1241</v>
      </c>
      <c r="Q227" s="25"/>
      <c r="R227" s="134" t="s">
        <v>67</v>
      </c>
      <c r="S227" s="22"/>
      <c r="T227" s="22"/>
      <c r="U227" s="22"/>
      <c r="V227" s="22">
        <v>51</v>
      </c>
      <c r="W227" s="22">
        <f t="shared" si="20"/>
        <v>51</v>
      </c>
      <c r="X227" s="22"/>
      <c r="Y227" s="22">
        <f>ROUNDDOWN(W227/HLOOKUP(D227,Table!$C$3:$D$4,2,0)*8,2)</f>
        <v>0.9</v>
      </c>
      <c r="Z227" s="22"/>
      <c r="AA227" s="22"/>
      <c r="AB227" s="22"/>
      <c r="AC227" s="26"/>
      <c r="AD227" s="26">
        <v>43951</v>
      </c>
      <c r="AE227" s="26"/>
      <c r="AF227" s="26"/>
      <c r="AG227" s="28"/>
      <c r="AH227" s="52"/>
      <c r="AI227" s="52"/>
      <c r="AJ227" s="52"/>
      <c r="AK227" s="28"/>
      <c r="AL227" s="22"/>
      <c r="AM227" s="22"/>
      <c r="AN227" s="22"/>
    </row>
    <row r="228" spans="1:40" x14ac:dyDescent="0.25">
      <c r="B228" s="141">
        <v>181</v>
      </c>
      <c r="C228" s="23" t="s">
        <v>1259</v>
      </c>
      <c r="D228" s="22" t="s">
        <v>3</v>
      </c>
      <c r="E228" s="22" t="s">
        <v>1147</v>
      </c>
      <c r="F228" s="24" t="s">
        <v>1186</v>
      </c>
      <c r="G228" s="24">
        <v>1423395</v>
      </c>
      <c r="H228" s="134" t="s">
        <v>67</v>
      </c>
      <c r="I228" s="22" t="s">
        <v>1230</v>
      </c>
      <c r="J228" s="134" t="s">
        <v>67</v>
      </c>
      <c r="K228" s="22" t="s">
        <v>972</v>
      </c>
      <c r="L228" s="22">
        <v>81640</v>
      </c>
      <c r="M228" s="22" t="s">
        <v>1154</v>
      </c>
      <c r="N228" s="22" t="s">
        <v>1254</v>
      </c>
      <c r="O228" s="24" t="s">
        <v>67</v>
      </c>
      <c r="P228" s="24" t="s">
        <v>1242</v>
      </c>
      <c r="Q228" s="25"/>
      <c r="R228" s="134" t="s">
        <v>67</v>
      </c>
      <c r="S228" s="22"/>
      <c r="T228" s="22"/>
      <c r="U228" s="22"/>
      <c r="V228" s="22">
        <v>101</v>
      </c>
      <c r="W228" s="22">
        <f t="shared" si="20"/>
        <v>101</v>
      </c>
      <c r="X228" s="22"/>
      <c r="Y228" s="22">
        <f>ROUNDDOWN(W228/HLOOKUP(D228,Table!$C$3:$D$4,2,0)*8,2)</f>
        <v>1.79</v>
      </c>
      <c r="Z228" s="22"/>
      <c r="AA228" s="22"/>
      <c r="AB228" s="22"/>
      <c r="AC228" s="26"/>
      <c r="AD228" s="26">
        <v>43943</v>
      </c>
      <c r="AE228" s="26"/>
      <c r="AF228" s="26"/>
      <c r="AG228" s="28"/>
      <c r="AH228" s="52"/>
      <c r="AI228" s="52"/>
      <c r="AJ228" s="52"/>
      <c r="AK228" s="28"/>
      <c r="AL228" s="22"/>
      <c r="AM228" s="22"/>
      <c r="AN228" s="22"/>
    </row>
    <row r="229" spans="1:40" x14ac:dyDescent="0.25">
      <c r="B229" s="141">
        <v>182</v>
      </c>
      <c r="C229" s="23" t="s">
        <v>1259</v>
      </c>
      <c r="D229" s="22" t="s">
        <v>3</v>
      </c>
      <c r="E229" s="22" t="s">
        <v>1147</v>
      </c>
      <c r="F229" s="24" t="s">
        <v>1186</v>
      </c>
      <c r="G229" s="24">
        <v>1423395</v>
      </c>
      <c r="H229" s="134" t="s">
        <v>67</v>
      </c>
      <c r="I229" s="22" t="s">
        <v>1231</v>
      </c>
      <c r="J229" s="134" t="s">
        <v>67</v>
      </c>
      <c r="K229" s="22" t="s">
        <v>972</v>
      </c>
      <c r="L229" s="22">
        <v>81640</v>
      </c>
      <c r="M229" s="22" t="s">
        <v>1154</v>
      </c>
      <c r="N229" s="22" t="s">
        <v>1254</v>
      </c>
      <c r="O229" s="24" t="s">
        <v>67</v>
      </c>
      <c r="P229" s="24" t="s">
        <v>1242</v>
      </c>
      <c r="Q229" s="25"/>
      <c r="R229" s="134" t="s">
        <v>67</v>
      </c>
      <c r="S229" s="22"/>
      <c r="T229" s="22"/>
      <c r="U229" s="22"/>
      <c r="V229" s="22">
        <v>116</v>
      </c>
      <c r="W229" s="22">
        <f t="shared" si="20"/>
        <v>116</v>
      </c>
      <c r="X229" s="22"/>
      <c r="Y229" s="22">
        <f>ROUNDDOWN(W229/HLOOKUP(D229,Table!$C$3:$D$4,2,0)*8,2)</f>
        <v>2.06</v>
      </c>
      <c r="Z229" s="22"/>
      <c r="AA229" s="22"/>
      <c r="AB229" s="22"/>
      <c r="AC229" s="26"/>
      <c r="AD229" s="26">
        <v>43943</v>
      </c>
      <c r="AE229" s="26"/>
      <c r="AF229" s="26"/>
      <c r="AG229" s="28"/>
      <c r="AH229" s="52"/>
      <c r="AI229" s="52"/>
      <c r="AJ229" s="52"/>
      <c r="AK229" s="28"/>
      <c r="AL229" s="22"/>
      <c r="AM229" s="22"/>
      <c r="AN229" s="22"/>
    </row>
    <row r="230" spans="1:40" x14ac:dyDescent="0.25">
      <c r="B230" s="141">
        <v>183</v>
      </c>
      <c r="C230" s="23" t="s">
        <v>1259</v>
      </c>
      <c r="D230" s="22" t="s">
        <v>3</v>
      </c>
      <c r="E230" s="22" t="s">
        <v>1147</v>
      </c>
      <c r="F230" s="24" t="s">
        <v>1186</v>
      </c>
      <c r="G230" s="24">
        <v>1423395</v>
      </c>
      <c r="H230" s="134" t="s">
        <v>67</v>
      </c>
      <c r="I230" s="22" t="s">
        <v>1232</v>
      </c>
      <c r="J230" s="134" t="s">
        <v>67</v>
      </c>
      <c r="K230" s="22" t="s">
        <v>972</v>
      </c>
      <c r="L230" s="22">
        <v>81640</v>
      </c>
      <c r="M230" s="22" t="s">
        <v>1154</v>
      </c>
      <c r="N230" s="22" t="s">
        <v>1254</v>
      </c>
      <c r="O230" s="24" t="s">
        <v>67</v>
      </c>
      <c r="P230" s="24" t="s">
        <v>1242</v>
      </c>
      <c r="Q230" s="25"/>
      <c r="R230" s="134" t="s">
        <v>67</v>
      </c>
      <c r="S230" s="22"/>
      <c r="T230" s="22"/>
      <c r="U230" s="22"/>
      <c r="V230" s="22">
        <v>60</v>
      </c>
      <c r="W230" s="22">
        <f t="shared" si="20"/>
        <v>60</v>
      </c>
      <c r="X230" s="22"/>
      <c r="Y230" s="22">
        <f>ROUNDDOWN(W230/HLOOKUP(D230,Table!$C$3:$D$4,2,0)*8,2)</f>
        <v>1.06</v>
      </c>
      <c r="Z230" s="22"/>
      <c r="AA230" s="22"/>
      <c r="AB230" s="22"/>
      <c r="AC230" s="26"/>
      <c r="AD230" s="26">
        <v>43943</v>
      </c>
      <c r="AE230" s="26"/>
      <c r="AF230" s="26"/>
      <c r="AG230" s="28"/>
      <c r="AH230" s="52"/>
      <c r="AI230" s="52"/>
      <c r="AJ230" s="52"/>
      <c r="AK230" s="28"/>
      <c r="AL230" s="22"/>
      <c r="AM230" s="22"/>
      <c r="AN230" s="22"/>
    </row>
    <row r="231" spans="1:40" x14ac:dyDescent="0.25">
      <c r="A231" s="117"/>
      <c r="B231" s="118"/>
      <c r="C231" s="119"/>
      <c r="D231" s="22" t="s">
        <v>3</v>
      </c>
      <c r="E231" s="120"/>
      <c r="F231" s="121"/>
      <c r="G231" s="121"/>
      <c r="H231" s="120"/>
      <c r="I231" s="120"/>
      <c r="J231" s="120"/>
      <c r="K231" s="120"/>
      <c r="L231" s="120"/>
      <c r="M231" s="120"/>
      <c r="N231" s="120"/>
      <c r="O231" s="121"/>
      <c r="P231" s="24"/>
      <c r="Q231" s="122"/>
      <c r="R231" s="119"/>
      <c r="S231" s="22"/>
      <c r="T231" s="120"/>
      <c r="U231" s="120"/>
      <c r="V231" s="22"/>
      <c r="W231" s="22"/>
      <c r="X231" s="120"/>
      <c r="Y231" s="22"/>
      <c r="Z231" s="120"/>
      <c r="AA231" s="22"/>
      <c r="AB231" s="22"/>
      <c r="AC231" s="124"/>
      <c r="AD231" s="124"/>
      <c r="AE231" s="124"/>
      <c r="AF231" s="124"/>
      <c r="AG231" s="28"/>
      <c r="AH231" s="125"/>
      <c r="AI231" s="125"/>
      <c r="AJ231" s="125"/>
      <c r="AK231" s="28"/>
      <c r="AL231" s="120"/>
      <c r="AM231" s="120"/>
      <c r="AN231" s="120"/>
    </row>
    <row r="232" spans="1:40" x14ac:dyDescent="0.25">
      <c r="A232" s="117"/>
      <c r="B232" s="118"/>
      <c r="C232" s="119"/>
      <c r="D232" s="22" t="s">
        <v>3</v>
      </c>
      <c r="E232" s="120"/>
      <c r="F232" s="121"/>
      <c r="G232" s="121"/>
      <c r="H232" s="120"/>
      <c r="I232" s="120"/>
      <c r="J232" s="120"/>
      <c r="K232" s="120"/>
      <c r="L232" s="120"/>
      <c r="M232" s="120"/>
      <c r="N232" s="120"/>
      <c r="O232" s="121"/>
      <c r="P232" s="24"/>
      <c r="Q232" s="122"/>
      <c r="R232" s="119"/>
      <c r="S232" s="22"/>
      <c r="T232" s="120"/>
      <c r="U232" s="120"/>
      <c r="V232" s="22"/>
      <c r="W232" s="22"/>
      <c r="X232" s="120"/>
      <c r="Y232" s="22"/>
      <c r="Z232" s="120"/>
      <c r="AA232" s="22"/>
      <c r="AB232" s="22"/>
      <c r="AC232" s="124"/>
      <c r="AD232" s="124"/>
      <c r="AE232" s="124"/>
      <c r="AF232" s="124"/>
      <c r="AG232" s="28"/>
      <c r="AH232" s="125"/>
      <c r="AI232" s="125"/>
      <c r="AJ232" s="125"/>
      <c r="AK232" s="28"/>
      <c r="AL232" s="120"/>
      <c r="AM232" s="120"/>
      <c r="AN232" s="120"/>
    </row>
    <row r="233" spans="1:40" x14ac:dyDescent="0.25">
      <c r="A233" s="117"/>
      <c r="B233" s="118"/>
      <c r="C233" s="119"/>
      <c r="D233" s="22" t="s">
        <v>3</v>
      </c>
      <c r="E233" s="120"/>
      <c r="F233" s="121"/>
      <c r="G233" s="121"/>
      <c r="H233" s="120"/>
      <c r="I233" s="120"/>
      <c r="J233" s="120"/>
      <c r="K233" s="120"/>
      <c r="L233" s="120"/>
      <c r="M233" s="120"/>
      <c r="N233" s="120"/>
      <c r="O233" s="121"/>
      <c r="P233" s="24"/>
      <c r="Q233" s="122"/>
      <c r="R233" s="119"/>
      <c r="S233" s="22"/>
      <c r="T233" s="120"/>
      <c r="U233" s="120"/>
      <c r="V233" s="22"/>
      <c r="W233" s="22"/>
      <c r="X233" s="120"/>
      <c r="Y233" s="22"/>
      <c r="Z233" s="120"/>
      <c r="AA233" s="22"/>
      <c r="AB233" s="22"/>
      <c r="AC233" s="124"/>
      <c r="AD233" s="124"/>
      <c r="AE233" s="124"/>
      <c r="AF233" s="124"/>
      <c r="AG233" s="28"/>
      <c r="AH233" s="125"/>
      <c r="AI233" s="125"/>
      <c r="AJ233" s="125"/>
      <c r="AK233" s="28"/>
      <c r="AL233" s="120"/>
      <c r="AM233" s="120"/>
      <c r="AN233" s="120"/>
    </row>
    <row r="234" spans="1:40" x14ac:dyDescent="0.25">
      <c r="A234" s="117"/>
      <c r="B234" s="118"/>
      <c r="C234" s="119"/>
      <c r="D234" s="22" t="s">
        <v>3</v>
      </c>
      <c r="E234" s="120"/>
      <c r="F234" s="121"/>
      <c r="G234" s="121"/>
      <c r="H234" s="120"/>
      <c r="I234" s="120"/>
      <c r="J234" s="120"/>
      <c r="K234" s="120"/>
      <c r="L234" s="120"/>
      <c r="M234" s="120"/>
      <c r="N234" s="120"/>
      <c r="O234" s="121"/>
      <c r="P234" s="24"/>
      <c r="Q234" s="122"/>
      <c r="R234" s="119"/>
      <c r="S234" s="22"/>
      <c r="T234" s="120"/>
      <c r="U234" s="120"/>
      <c r="V234" s="22"/>
      <c r="W234" s="22"/>
      <c r="X234" s="120"/>
      <c r="Y234" s="22"/>
      <c r="Z234" s="120"/>
      <c r="AA234" s="22"/>
      <c r="AB234" s="22"/>
      <c r="AC234" s="124"/>
      <c r="AD234" s="124"/>
      <c r="AE234" s="124"/>
      <c r="AF234" s="124"/>
      <c r="AG234" s="28"/>
      <c r="AH234" s="125"/>
      <c r="AI234" s="125"/>
      <c r="AJ234" s="125"/>
      <c r="AK234" s="28"/>
      <c r="AL234" s="120"/>
      <c r="AM234" s="120"/>
      <c r="AN234" s="120"/>
    </row>
    <row r="235" spans="1:40" x14ac:dyDescent="0.25">
      <c r="A235" s="117"/>
      <c r="B235" s="118"/>
      <c r="C235" s="119"/>
      <c r="D235" s="22" t="s">
        <v>3</v>
      </c>
      <c r="E235" s="120"/>
      <c r="F235" s="121"/>
      <c r="G235" s="121"/>
      <c r="H235" s="120"/>
      <c r="I235" s="120"/>
      <c r="J235" s="120"/>
      <c r="K235" s="120"/>
      <c r="L235" s="120"/>
      <c r="M235" s="120"/>
      <c r="N235" s="120"/>
      <c r="O235" s="121"/>
      <c r="P235" s="24"/>
      <c r="Q235" s="122"/>
      <c r="R235" s="119"/>
      <c r="S235" s="22"/>
      <c r="T235" s="120"/>
      <c r="U235" s="120"/>
      <c r="V235" s="22"/>
      <c r="W235" s="22"/>
      <c r="X235" s="120"/>
      <c r="Y235" s="22"/>
      <c r="Z235" s="120"/>
      <c r="AA235" s="22"/>
      <c r="AB235" s="22"/>
      <c r="AC235" s="124"/>
      <c r="AD235" s="124"/>
      <c r="AE235" s="124"/>
      <c r="AF235" s="124"/>
      <c r="AG235" s="28"/>
      <c r="AH235" s="125"/>
      <c r="AI235" s="125"/>
      <c r="AJ235" s="125"/>
      <c r="AK235" s="28"/>
      <c r="AL235" s="120"/>
      <c r="AM235" s="120"/>
      <c r="AN235" s="120"/>
    </row>
    <row r="236" spans="1:40" x14ac:dyDescent="0.25">
      <c r="A236" s="117"/>
      <c r="B236" s="118"/>
      <c r="C236" s="119"/>
      <c r="D236" s="22" t="s">
        <v>3</v>
      </c>
      <c r="E236" s="120"/>
      <c r="F236" s="121"/>
      <c r="G236" s="121"/>
      <c r="H236" s="120"/>
      <c r="I236" s="120"/>
      <c r="J236" s="120"/>
      <c r="K236" s="120"/>
      <c r="L236" s="120"/>
      <c r="M236" s="120"/>
      <c r="N236" s="120"/>
      <c r="O236" s="121"/>
      <c r="P236" s="24"/>
      <c r="Q236" s="122"/>
      <c r="R236" s="119"/>
      <c r="S236" s="22"/>
      <c r="T236" s="120"/>
      <c r="U236" s="120"/>
      <c r="V236" s="22"/>
      <c r="W236" s="22"/>
      <c r="X236" s="120"/>
      <c r="Y236" s="22"/>
      <c r="Z236" s="120"/>
      <c r="AA236" s="22"/>
      <c r="AB236" s="22"/>
      <c r="AC236" s="124"/>
      <c r="AD236" s="124"/>
      <c r="AE236" s="124"/>
      <c r="AF236" s="124"/>
      <c r="AG236" s="28"/>
      <c r="AH236" s="125"/>
      <c r="AI236" s="125"/>
      <c r="AJ236" s="125"/>
      <c r="AK236" s="28"/>
      <c r="AL236" s="120"/>
      <c r="AM236" s="120"/>
      <c r="AN236" s="120"/>
    </row>
    <row r="237" spans="1:40" x14ac:dyDescent="0.25">
      <c r="A237" s="117"/>
      <c r="B237" s="118"/>
      <c r="C237" s="119"/>
      <c r="D237" s="22" t="s">
        <v>3</v>
      </c>
      <c r="E237" s="120"/>
      <c r="F237" s="121"/>
      <c r="G237" s="121"/>
      <c r="H237" s="120"/>
      <c r="I237" s="120"/>
      <c r="J237" s="120"/>
      <c r="K237" s="120"/>
      <c r="L237" s="120"/>
      <c r="M237" s="120"/>
      <c r="N237" s="120"/>
      <c r="O237" s="121"/>
      <c r="P237" s="24"/>
      <c r="Q237" s="122"/>
      <c r="R237" s="119"/>
      <c r="S237" s="22"/>
      <c r="T237" s="120"/>
      <c r="U237" s="120"/>
      <c r="V237" s="22"/>
      <c r="W237" s="22"/>
      <c r="X237" s="120"/>
      <c r="Y237" s="22"/>
      <c r="Z237" s="120"/>
      <c r="AA237" s="22"/>
      <c r="AB237" s="22"/>
      <c r="AC237" s="124"/>
      <c r="AD237" s="124"/>
      <c r="AE237" s="124"/>
      <c r="AF237" s="124"/>
      <c r="AG237" s="28"/>
      <c r="AH237" s="125"/>
      <c r="AI237" s="125"/>
      <c r="AJ237" s="125"/>
      <c r="AK237" s="28"/>
      <c r="AL237" s="120"/>
      <c r="AM237" s="120"/>
      <c r="AN237" s="120"/>
    </row>
    <row r="238" spans="1:40" x14ac:dyDescent="0.25">
      <c r="A238" s="117"/>
      <c r="B238" s="118"/>
      <c r="C238" s="119"/>
      <c r="D238" s="22" t="s">
        <v>3</v>
      </c>
      <c r="E238" s="120"/>
      <c r="F238" s="121"/>
      <c r="G238" s="121"/>
      <c r="H238" s="120"/>
      <c r="I238" s="120"/>
      <c r="J238" s="120"/>
      <c r="K238" s="120"/>
      <c r="L238" s="120"/>
      <c r="M238" s="120"/>
      <c r="N238" s="120"/>
      <c r="O238" s="121"/>
      <c r="P238" s="24"/>
      <c r="Q238" s="122"/>
      <c r="R238" s="119"/>
      <c r="S238" s="22"/>
      <c r="T238" s="120"/>
      <c r="U238" s="120"/>
      <c r="V238" s="22"/>
      <c r="W238" s="22"/>
      <c r="X238" s="120"/>
      <c r="Y238" s="22"/>
      <c r="Z238" s="120"/>
      <c r="AA238" s="22"/>
      <c r="AB238" s="22"/>
      <c r="AC238" s="124"/>
      <c r="AD238" s="124"/>
      <c r="AE238" s="124"/>
      <c r="AF238" s="124"/>
      <c r="AG238" s="28"/>
      <c r="AH238" s="125"/>
      <c r="AI238" s="125"/>
      <c r="AJ238" s="125"/>
      <c r="AK238" s="28"/>
      <c r="AL238" s="120"/>
      <c r="AM238" s="120"/>
      <c r="AN238" s="120"/>
    </row>
    <row r="239" spans="1:40" x14ac:dyDescent="0.25">
      <c r="A239" s="117"/>
      <c r="B239" s="118"/>
      <c r="C239" s="119"/>
      <c r="D239" s="22" t="s">
        <v>3</v>
      </c>
      <c r="E239" s="120"/>
      <c r="F239" s="121"/>
      <c r="G239" s="121"/>
      <c r="H239" s="120"/>
      <c r="I239" s="120"/>
      <c r="J239" s="120"/>
      <c r="K239" s="120"/>
      <c r="L239" s="120"/>
      <c r="M239" s="120"/>
      <c r="N239" s="120"/>
      <c r="O239" s="121"/>
      <c r="P239" s="24"/>
      <c r="Q239" s="122"/>
      <c r="R239" s="119"/>
      <c r="S239" s="22"/>
      <c r="T239" s="120"/>
      <c r="U239" s="120"/>
      <c r="V239" s="22"/>
      <c r="W239" s="22"/>
      <c r="X239" s="120"/>
      <c r="Y239" s="22"/>
      <c r="Z239" s="120"/>
      <c r="AA239" s="22"/>
      <c r="AB239" s="22"/>
      <c r="AC239" s="124"/>
      <c r="AD239" s="124"/>
      <c r="AE239" s="124"/>
      <c r="AF239" s="124"/>
      <c r="AG239" s="28"/>
      <c r="AH239" s="125"/>
      <c r="AI239" s="125"/>
      <c r="AJ239" s="125"/>
      <c r="AK239" s="28"/>
      <c r="AL239" s="120"/>
      <c r="AM239" s="120"/>
      <c r="AN239" s="120"/>
    </row>
    <row r="240" spans="1:40" x14ac:dyDescent="0.25">
      <c r="A240" s="117"/>
      <c r="B240" s="118"/>
      <c r="C240" s="119"/>
      <c r="D240" s="22" t="s">
        <v>3</v>
      </c>
      <c r="E240" s="120"/>
      <c r="F240" s="121"/>
      <c r="G240" s="121"/>
      <c r="H240" s="120"/>
      <c r="I240" s="120"/>
      <c r="J240" s="120"/>
      <c r="K240" s="120"/>
      <c r="L240" s="120"/>
      <c r="M240" s="120"/>
      <c r="N240" s="120"/>
      <c r="O240" s="121"/>
      <c r="P240" s="24"/>
      <c r="Q240" s="122"/>
      <c r="R240" s="119"/>
      <c r="S240" s="22"/>
      <c r="T240" s="120"/>
      <c r="U240" s="120"/>
      <c r="V240" s="22"/>
      <c r="W240" s="22"/>
      <c r="X240" s="120"/>
      <c r="Y240" s="22"/>
      <c r="Z240" s="120"/>
      <c r="AA240" s="22"/>
      <c r="AB240" s="22"/>
      <c r="AC240" s="124"/>
      <c r="AD240" s="124"/>
      <c r="AE240" s="124"/>
      <c r="AF240" s="124"/>
      <c r="AG240" s="28"/>
      <c r="AH240" s="125"/>
      <c r="AI240" s="125"/>
      <c r="AJ240" s="125"/>
      <c r="AK240" s="28"/>
      <c r="AL240" s="120"/>
      <c r="AM240" s="120"/>
      <c r="AN240" s="120"/>
    </row>
    <row r="241" spans="1:40" x14ac:dyDescent="0.25">
      <c r="A241" s="117"/>
      <c r="B241" s="118"/>
      <c r="C241" s="119"/>
      <c r="D241" s="22" t="s">
        <v>3</v>
      </c>
      <c r="E241" s="120"/>
      <c r="F241" s="121"/>
      <c r="G241" s="121"/>
      <c r="H241" s="120"/>
      <c r="I241" s="120"/>
      <c r="J241" s="120"/>
      <c r="K241" s="120"/>
      <c r="L241" s="120"/>
      <c r="M241" s="120"/>
      <c r="N241" s="120"/>
      <c r="O241" s="121"/>
      <c r="P241" s="24"/>
      <c r="Q241" s="122"/>
      <c r="R241" s="119"/>
      <c r="S241" s="22"/>
      <c r="T241" s="120"/>
      <c r="U241" s="120"/>
      <c r="V241" s="22"/>
      <c r="W241" s="22"/>
      <c r="X241" s="120"/>
      <c r="Y241" s="22"/>
      <c r="Z241" s="120"/>
      <c r="AA241" s="22"/>
      <c r="AB241" s="22"/>
      <c r="AC241" s="124"/>
      <c r="AD241" s="124"/>
      <c r="AE241" s="124"/>
      <c r="AF241" s="124"/>
      <c r="AG241" s="28"/>
      <c r="AH241" s="125"/>
      <c r="AI241" s="125"/>
      <c r="AJ241" s="125"/>
      <c r="AK241" s="28"/>
      <c r="AL241" s="120"/>
      <c r="AM241" s="120"/>
      <c r="AN241" s="120"/>
    </row>
    <row r="242" spans="1:40" x14ac:dyDescent="0.25">
      <c r="A242" s="117"/>
      <c r="B242" s="118"/>
      <c r="C242" s="119"/>
      <c r="D242" s="22" t="s">
        <v>3</v>
      </c>
      <c r="E242" s="120"/>
      <c r="F242" s="121"/>
      <c r="G242" s="121"/>
      <c r="H242" s="120"/>
      <c r="I242" s="120"/>
      <c r="J242" s="120"/>
      <c r="K242" s="120"/>
      <c r="L242" s="120"/>
      <c r="M242" s="120"/>
      <c r="N242" s="120"/>
      <c r="O242" s="121"/>
      <c r="P242" s="24"/>
      <c r="Q242" s="122"/>
      <c r="R242" s="119"/>
      <c r="S242" s="22"/>
      <c r="T242" s="120"/>
      <c r="U242" s="120"/>
      <c r="V242" s="22"/>
      <c r="W242" s="22"/>
      <c r="X242" s="120"/>
      <c r="Y242" s="22"/>
      <c r="Z242" s="120"/>
      <c r="AA242" s="22"/>
      <c r="AB242" s="22"/>
      <c r="AC242" s="124"/>
      <c r="AD242" s="124"/>
      <c r="AE242" s="124"/>
      <c r="AF242" s="124"/>
      <c r="AG242" s="28"/>
      <c r="AH242" s="125"/>
      <c r="AI242" s="125"/>
      <c r="AJ242" s="125"/>
      <c r="AK242" s="28"/>
      <c r="AL242" s="120"/>
      <c r="AM242" s="120"/>
      <c r="AN242" s="120"/>
    </row>
    <row r="243" spans="1:40" x14ac:dyDescent="0.25">
      <c r="A243" s="117"/>
      <c r="B243" s="118"/>
      <c r="C243" s="119"/>
      <c r="D243" s="22" t="s">
        <v>3</v>
      </c>
      <c r="E243" s="120"/>
      <c r="F243" s="121"/>
      <c r="G243" s="121"/>
      <c r="H243" s="120"/>
      <c r="I243" s="120"/>
      <c r="J243" s="120"/>
      <c r="K243" s="120"/>
      <c r="L243" s="120"/>
      <c r="M243" s="120"/>
      <c r="N243" s="120"/>
      <c r="O243" s="121"/>
      <c r="P243" s="24"/>
      <c r="Q243" s="122"/>
      <c r="R243" s="119"/>
      <c r="S243" s="22"/>
      <c r="T243" s="120"/>
      <c r="U243" s="120"/>
      <c r="V243" s="22"/>
      <c r="W243" s="22"/>
      <c r="X243" s="120"/>
      <c r="Y243" s="22"/>
      <c r="Z243" s="120"/>
      <c r="AA243" s="22"/>
      <c r="AB243" s="22"/>
      <c r="AC243" s="124"/>
      <c r="AD243" s="124"/>
      <c r="AE243" s="124"/>
      <c r="AF243" s="124"/>
      <c r="AG243" s="28"/>
      <c r="AH243" s="125"/>
      <c r="AI243" s="125"/>
      <c r="AJ243" s="125"/>
      <c r="AK243" s="28"/>
      <c r="AL243" s="120"/>
      <c r="AM243" s="120"/>
      <c r="AN243" s="120"/>
    </row>
    <row r="244" spans="1:40" x14ac:dyDescent="0.25">
      <c r="A244" s="117"/>
      <c r="B244" s="118"/>
      <c r="C244" s="119"/>
      <c r="D244" s="22" t="s">
        <v>3</v>
      </c>
      <c r="E244" s="120"/>
      <c r="F244" s="121"/>
      <c r="G244" s="121"/>
      <c r="H244" s="120"/>
      <c r="I244" s="120"/>
      <c r="J244" s="120"/>
      <c r="K244" s="120"/>
      <c r="L244" s="120"/>
      <c r="M244" s="120"/>
      <c r="N244" s="120"/>
      <c r="O244" s="121"/>
      <c r="P244" s="24"/>
      <c r="Q244" s="122"/>
      <c r="R244" s="119"/>
      <c r="S244" s="22"/>
      <c r="T244" s="120"/>
      <c r="U244" s="120"/>
      <c r="V244" s="22"/>
      <c r="W244" s="22"/>
      <c r="X244" s="120"/>
      <c r="Y244" s="22"/>
      <c r="Z244" s="120"/>
      <c r="AA244" s="22"/>
      <c r="AB244" s="22"/>
      <c r="AC244" s="124"/>
      <c r="AD244" s="124"/>
      <c r="AE244" s="124"/>
      <c r="AF244" s="124"/>
      <c r="AG244" s="28"/>
      <c r="AH244" s="125"/>
      <c r="AI244" s="125"/>
      <c r="AJ244" s="125"/>
      <c r="AK244" s="28"/>
      <c r="AL244" s="120"/>
      <c r="AM244" s="120"/>
      <c r="AN244" s="120"/>
    </row>
    <row r="245" spans="1:40" x14ac:dyDescent="0.25">
      <c r="A245" s="117"/>
      <c r="B245" s="118"/>
      <c r="C245" s="119"/>
      <c r="D245" s="22" t="s">
        <v>3</v>
      </c>
      <c r="E245" s="120"/>
      <c r="F245" s="121"/>
      <c r="G245" s="121"/>
      <c r="H245" s="120"/>
      <c r="I245" s="120"/>
      <c r="J245" s="120"/>
      <c r="K245" s="120"/>
      <c r="L245" s="120"/>
      <c r="M245" s="120"/>
      <c r="N245" s="120"/>
      <c r="O245" s="121"/>
      <c r="P245" s="24"/>
      <c r="Q245" s="122"/>
      <c r="R245" s="119"/>
      <c r="S245" s="22"/>
      <c r="T245" s="120"/>
      <c r="U245" s="120"/>
      <c r="V245" s="22"/>
      <c r="W245" s="22"/>
      <c r="X245" s="120"/>
      <c r="Y245" s="22"/>
      <c r="Z245" s="120"/>
      <c r="AA245" s="22"/>
      <c r="AB245" s="22"/>
      <c r="AC245" s="124"/>
      <c r="AD245" s="124"/>
      <c r="AE245" s="124"/>
      <c r="AF245" s="124"/>
      <c r="AG245" s="28"/>
      <c r="AH245" s="125"/>
      <c r="AI245" s="125"/>
      <c r="AJ245" s="125"/>
      <c r="AK245" s="28"/>
      <c r="AL245" s="120"/>
      <c r="AM245" s="120"/>
      <c r="AN245" s="120"/>
    </row>
    <row r="246" spans="1:40" x14ac:dyDescent="0.25">
      <c r="A246" s="117"/>
      <c r="B246" s="118"/>
      <c r="C246" s="119"/>
      <c r="D246" s="22" t="s">
        <v>3</v>
      </c>
      <c r="E246" s="120"/>
      <c r="F246" s="121"/>
      <c r="G246" s="121"/>
      <c r="H246" s="120"/>
      <c r="I246" s="120"/>
      <c r="J246" s="120"/>
      <c r="K246" s="120"/>
      <c r="L246" s="120"/>
      <c r="M246" s="120"/>
      <c r="N246" s="120"/>
      <c r="O246" s="121"/>
      <c r="P246" s="24"/>
      <c r="Q246" s="122"/>
      <c r="R246" s="119"/>
      <c r="S246" s="22"/>
      <c r="T246" s="120"/>
      <c r="U246" s="120"/>
      <c r="V246" s="22"/>
      <c r="W246" s="22"/>
      <c r="X246" s="120"/>
      <c r="Y246" s="22"/>
      <c r="Z246" s="120"/>
      <c r="AA246" s="22"/>
      <c r="AB246" s="22"/>
      <c r="AC246" s="124"/>
      <c r="AD246" s="124"/>
      <c r="AE246" s="124"/>
      <c r="AF246" s="124"/>
      <c r="AG246" s="28"/>
      <c r="AH246" s="125"/>
      <c r="AI246" s="125"/>
      <c r="AJ246" s="125"/>
      <c r="AK246" s="28"/>
      <c r="AL246" s="120"/>
      <c r="AM246" s="120"/>
      <c r="AN246" s="120"/>
    </row>
    <row r="247" spans="1:40" x14ac:dyDescent="0.25">
      <c r="A247" s="117"/>
      <c r="B247" s="118"/>
      <c r="C247" s="119"/>
      <c r="D247" s="22" t="s">
        <v>3</v>
      </c>
      <c r="E247" s="120"/>
      <c r="F247" s="121"/>
      <c r="G247" s="121"/>
      <c r="H247" s="120"/>
      <c r="I247" s="120"/>
      <c r="J247" s="120"/>
      <c r="K247" s="120"/>
      <c r="L247" s="120"/>
      <c r="M247" s="120"/>
      <c r="N247" s="120"/>
      <c r="O247" s="121"/>
      <c r="P247" s="24"/>
      <c r="Q247" s="122"/>
      <c r="R247" s="119"/>
      <c r="S247" s="22"/>
      <c r="T247" s="120"/>
      <c r="U247" s="120"/>
      <c r="V247" s="22"/>
      <c r="W247" s="22"/>
      <c r="X247" s="120"/>
      <c r="Y247" s="22"/>
      <c r="Z247" s="120"/>
      <c r="AA247" s="22"/>
      <c r="AB247" s="22"/>
      <c r="AC247" s="124"/>
      <c r="AD247" s="124"/>
      <c r="AE247" s="124"/>
      <c r="AF247" s="124"/>
      <c r="AG247" s="28"/>
      <c r="AH247" s="125"/>
      <c r="AI247" s="125"/>
      <c r="AJ247" s="125"/>
      <c r="AK247" s="28"/>
      <c r="AL247" s="120"/>
      <c r="AM247" s="120"/>
      <c r="AN247" s="120"/>
    </row>
    <row r="248" spans="1:40" x14ac:dyDescent="0.25">
      <c r="A248" s="117"/>
      <c r="B248" s="118"/>
      <c r="C248" s="119"/>
      <c r="D248" s="22" t="s">
        <v>3</v>
      </c>
      <c r="E248" s="120"/>
      <c r="F248" s="121"/>
      <c r="G248" s="121"/>
      <c r="H248" s="120"/>
      <c r="I248" s="120"/>
      <c r="J248" s="120"/>
      <c r="K248" s="120"/>
      <c r="L248" s="120"/>
      <c r="M248" s="120"/>
      <c r="N248" s="120"/>
      <c r="O248" s="121"/>
      <c r="P248" s="24"/>
      <c r="Q248" s="122"/>
      <c r="R248" s="119"/>
      <c r="S248" s="22"/>
      <c r="T248" s="120"/>
      <c r="U248" s="120"/>
      <c r="V248" s="22"/>
      <c r="W248" s="22"/>
      <c r="X248" s="120"/>
      <c r="Y248" s="22"/>
      <c r="Z248" s="120"/>
      <c r="AA248" s="22"/>
      <c r="AB248" s="22"/>
      <c r="AC248" s="124"/>
      <c r="AD248" s="124"/>
      <c r="AE248" s="124"/>
      <c r="AF248" s="124"/>
      <c r="AG248" s="28"/>
      <c r="AH248" s="125"/>
      <c r="AI248" s="125"/>
      <c r="AJ248" s="125"/>
      <c r="AK248" s="28"/>
      <c r="AL248" s="120"/>
      <c r="AM248" s="120"/>
      <c r="AN248" s="120"/>
    </row>
    <row r="249" spans="1:40" x14ac:dyDescent="0.25">
      <c r="A249" s="117"/>
      <c r="B249" s="118"/>
      <c r="C249" s="119"/>
      <c r="D249" s="22" t="s">
        <v>3</v>
      </c>
      <c r="E249" s="120"/>
      <c r="F249" s="121"/>
      <c r="G249" s="121"/>
      <c r="H249" s="120"/>
      <c r="I249" s="120"/>
      <c r="J249" s="120"/>
      <c r="K249" s="120"/>
      <c r="L249" s="120"/>
      <c r="M249" s="120"/>
      <c r="N249" s="120"/>
      <c r="O249" s="121"/>
      <c r="P249" s="24"/>
      <c r="Q249" s="122"/>
      <c r="R249" s="119"/>
      <c r="S249" s="22"/>
      <c r="T249" s="120"/>
      <c r="U249" s="120"/>
      <c r="V249" s="22"/>
      <c r="W249" s="22"/>
      <c r="X249" s="120"/>
      <c r="Y249" s="22"/>
      <c r="Z249" s="120"/>
      <c r="AA249" s="22"/>
      <c r="AB249" s="22"/>
      <c r="AC249" s="124"/>
      <c r="AD249" s="124"/>
      <c r="AE249" s="124"/>
      <c r="AF249" s="124"/>
      <c r="AG249" s="28"/>
      <c r="AH249" s="125"/>
      <c r="AI249" s="125"/>
      <c r="AJ249" s="125"/>
      <c r="AK249" s="28"/>
      <c r="AL249" s="120"/>
      <c r="AM249" s="120"/>
      <c r="AN249" s="120"/>
    </row>
    <row r="250" spans="1:40" x14ac:dyDescent="0.25">
      <c r="A250" s="117"/>
      <c r="B250" s="118"/>
      <c r="C250" s="119"/>
      <c r="D250" s="22" t="s">
        <v>3</v>
      </c>
      <c r="E250" s="120"/>
      <c r="F250" s="121"/>
      <c r="G250" s="121"/>
      <c r="H250" s="120"/>
      <c r="I250" s="120"/>
      <c r="J250" s="120"/>
      <c r="K250" s="120"/>
      <c r="L250" s="120"/>
      <c r="M250" s="120"/>
      <c r="N250" s="120"/>
      <c r="O250" s="121"/>
      <c r="P250" s="24"/>
      <c r="Q250" s="122"/>
      <c r="R250" s="119"/>
      <c r="S250" s="22"/>
      <c r="T250" s="120"/>
      <c r="U250" s="120"/>
      <c r="V250" s="22"/>
      <c r="W250" s="22"/>
      <c r="X250" s="120"/>
      <c r="Y250" s="22"/>
      <c r="Z250" s="120"/>
      <c r="AA250" s="22"/>
      <c r="AB250" s="22"/>
      <c r="AC250" s="124"/>
      <c r="AD250" s="124"/>
      <c r="AE250" s="124"/>
      <c r="AF250" s="124"/>
      <c r="AG250" s="28"/>
      <c r="AH250" s="125"/>
      <c r="AI250" s="125"/>
      <c r="AJ250" s="125"/>
      <c r="AK250" s="28"/>
      <c r="AL250" s="120"/>
      <c r="AM250" s="120"/>
      <c r="AN250" s="120"/>
    </row>
    <row r="251" spans="1:40" x14ac:dyDescent="0.25">
      <c r="A251" s="117"/>
      <c r="B251" s="118"/>
      <c r="C251" s="119"/>
      <c r="D251" s="22" t="s">
        <v>3</v>
      </c>
      <c r="E251" s="120"/>
      <c r="F251" s="121"/>
      <c r="G251" s="121"/>
      <c r="H251" s="120"/>
      <c r="I251" s="120"/>
      <c r="J251" s="120"/>
      <c r="K251" s="120"/>
      <c r="L251" s="120"/>
      <c r="M251" s="120"/>
      <c r="N251" s="120"/>
      <c r="O251" s="121"/>
      <c r="P251" s="24"/>
      <c r="Q251" s="122"/>
      <c r="R251" s="119"/>
      <c r="S251" s="22"/>
      <c r="T251" s="120"/>
      <c r="U251" s="120"/>
      <c r="V251" s="22"/>
      <c r="W251" s="22"/>
      <c r="X251" s="120"/>
      <c r="Y251" s="22"/>
      <c r="Z251" s="120"/>
      <c r="AA251" s="22"/>
      <c r="AB251" s="22"/>
      <c r="AC251" s="124"/>
      <c r="AD251" s="124"/>
      <c r="AE251" s="124"/>
      <c r="AF251" s="124"/>
      <c r="AG251" s="28"/>
      <c r="AH251" s="125"/>
      <c r="AI251" s="125"/>
      <c r="AJ251" s="125"/>
      <c r="AK251" s="28"/>
      <c r="AL251" s="120"/>
      <c r="AM251" s="120"/>
      <c r="AN251" s="120"/>
    </row>
    <row r="252" spans="1:40" x14ac:dyDescent="0.25">
      <c r="A252" s="117"/>
      <c r="B252" s="118"/>
      <c r="C252" s="119"/>
      <c r="D252" s="22" t="s">
        <v>3</v>
      </c>
      <c r="E252" s="120"/>
      <c r="F252" s="121"/>
      <c r="G252" s="121"/>
      <c r="H252" s="120"/>
      <c r="I252" s="120"/>
      <c r="J252" s="120"/>
      <c r="K252" s="120"/>
      <c r="L252" s="120"/>
      <c r="M252" s="120"/>
      <c r="N252" s="120"/>
      <c r="O252" s="121"/>
      <c r="P252" s="24"/>
      <c r="Q252" s="122"/>
      <c r="R252" s="119"/>
      <c r="S252" s="22"/>
      <c r="T252" s="120"/>
      <c r="U252" s="120"/>
      <c r="V252" s="22"/>
      <c r="W252" s="22"/>
      <c r="X252" s="120"/>
      <c r="Y252" s="22"/>
      <c r="Z252" s="120"/>
      <c r="AA252" s="22"/>
      <c r="AB252" s="22"/>
      <c r="AC252" s="124"/>
      <c r="AD252" s="124"/>
      <c r="AE252" s="124"/>
      <c r="AF252" s="124"/>
      <c r="AG252" s="28"/>
      <c r="AH252" s="125"/>
      <c r="AI252" s="125"/>
      <c r="AJ252" s="125"/>
      <c r="AK252" s="28"/>
      <c r="AL252" s="120"/>
      <c r="AM252" s="120"/>
      <c r="AN252" s="120"/>
    </row>
    <row r="253" spans="1:40" x14ac:dyDescent="0.25">
      <c r="A253" s="117"/>
      <c r="B253" s="118"/>
      <c r="C253" s="119"/>
      <c r="D253" s="22" t="s">
        <v>3</v>
      </c>
      <c r="E253" s="120"/>
      <c r="F253" s="121"/>
      <c r="G253" s="121"/>
      <c r="H253" s="120"/>
      <c r="I253" s="120"/>
      <c r="J253" s="120"/>
      <c r="K253" s="120"/>
      <c r="L253" s="120"/>
      <c r="M253" s="120"/>
      <c r="N253" s="120"/>
      <c r="O253" s="121"/>
      <c r="P253" s="24"/>
      <c r="Q253" s="122"/>
      <c r="R253" s="119"/>
      <c r="S253" s="22"/>
      <c r="T253" s="120"/>
      <c r="U253" s="120"/>
      <c r="V253" s="22"/>
      <c r="W253" s="22"/>
      <c r="X253" s="120"/>
      <c r="Y253" s="22"/>
      <c r="Z253" s="120"/>
      <c r="AA253" s="22"/>
      <c r="AB253" s="22"/>
      <c r="AC253" s="124"/>
      <c r="AD253" s="124"/>
      <c r="AE253" s="124"/>
      <c r="AF253" s="124"/>
      <c r="AG253" s="28"/>
      <c r="AH253" s="125"/>
      <c r="AI253" s="125"/>
      <c r="AJ253" s="125"/>
      <c r="AK253" s="28"/>
      <c r="AL253" s="120"/>
      <c r="AM253" s="120"/>
      <c r="AN253" s="120"/>
    </row>
    <row r="254" spans="1:40" x14ac:dyDescent="0.25">
      <c r="A254" s="117"/>
      <c r="B254" s="118"/>
      <c r="C254" s="119"/>
      <c r="D254" s="22" t="s">
        <v>3</v>
      </c>
      <c r="E254" s="120"/>
      <c r="F254" s="121"/>
      <c r="G254" s="121"/>
      <c r="H254" s="120"/>
      <c r="I254" s="120"/>
      <c r="J254" s="120"/>
      <c r="K254" s="120"/>
      <c r="L254" s="120"/>
      <c r="M254" s="120"/>
      <c r="N254" s="120"/>
      <c r="O254" s="121"/>
      <c r="P254" s="24"/>
      <c r="Q254" s="122"/>
      <c r="R254" s="119"/>
      <c r="S254" s="22"/>
      <c r="T254" s="120"/>
      <c r="U254" s="120"/>
      <c r="V254" s="22"/>
      <c r="W254" s="22"/>
      <c r="X254" s="120"/>
      <c r="Y254" s="22"/>
      <c r="Z254" s="120"/>
      <c r="AA254" s="22"/>
      <c r="AB254" s="22"/>
      <c r="AC254" s="124"/>
      <c r="AD254" s="124"/>
      <c r="AE254" s="124"/>
      <c r="AF254" s="124"/>
      <c r="AG254" s="28"/>
      <c r="AH254" s="125"/>
      <c r="AI254" s="125"/>
      <c r="AJ254" s="125"/>
      <c r="AK254" s="28"/>
      <c r="AL254" s="120"/>
      <c r="AM254" s="120"/>
      <c r="AN254" s="120"/>
    </row>
    <row r="255" spans="1:40" x14ac:dyDescent="0.25">
      <c r="A255" s="117"/>
      <c r="B255" s="118"/>
      <c r="C255" s="119"/>
      <c r="D255" s="22" t="s">
        <v>3</v>
      </c>
      <c r="E255" s="120"/>
      <c r="F255" s="121"/>
      <c r="G255" s="121"/>
      <c r="H255" s="120"/>
      <c r="I255" s="120"/>
      <c r="J255" s="120"/>
      <c r="K255" s="120"/>
      <c r="L255" s="120"/>
      <c r="M255" s="120"/>
      <c r="N255" s="120"/>
      <c r="O255" s="121"/>
      <c r="P255" s="24"/>
      <c r="Q255" s="122"/>
      <c r="R255" s="119"/>
      <c r="S255" s="22"/>
      <c r="T255" s="120"/>
      <c r="U255" s="120"/>
      <c r="V255" s="22"/>
      <c r="W255" s="22"/>
      <c r="X255" s="120"/>
      <c r="Y255" s="22"/>
      <c r="Z255" s="120"/>
      <c r="AA255" s="22"/>
      <c r="AB255" s="22"/>
      <c r="AC255" s="124"/>
      <c r="AD255" s="124"/>
      <c r="AE255" s="124"/>
      <c r="AF255" s="124"/>
      <c r="AG255" s="28"/>
      <c r="AH255" s="125"/>
      <c r="AI255" s="125"/>
      <c r="AJ255" s="125"/>
      <c r="AK255" s="28"/>
      <c r="AL255" s="120"/>
      <c r="AM255" s="120"/>
      <c r="AN255" s="120"/>
    </row>
    <row r="256" spans="1:40" x14ac:dyDescent="0.25">
      <c r="A256" s="117"/>
      <c r="B256" s="118"/>
      <c r="C256" s="119"/>
      <c r="D256" s="22" t="s">
        <v>3</v>
      </c>
      <c r="E256" s="120"/>
      <c r="F256" s="121"/>
      <c r="G256" s="121"/>
      <c r="H256" s="120"/>
      <c r="I256" s="120"/>
      <c r="J256" s="120"/>
      <c r="K256" s="120"/>
      <c r="L256" s="120"/>
      <c r="M256" s="120"/>
      <c r="N256" s="120"/>
      <c r="O256" s="121"/>
      <c r="P256" s="24"/>
      <c r="Q256" s="122"/>
      <c r="R256" s="119"/>
      <c r="S256" s="22"/>
      <c r="T256" s="120"/>
      <c r="U256" s="120"/>
      <c r="V256" s="22"/>
      <c r="W256" s="22"/>
      <c r="X256" s="120"/>
      <c r="Y256" s="22"/>
      <c r="Z256" s="120"/>
      <c r="AA256" s="22"/>
      <c r="AB256" s="22"/>
      <c r="AC256" s="124"/>
      <c r="AD256" s="124"/>
      <c r="AE256" s="124"/>
      <c r="AF256" s="124"/>
      <c r="AG256" s="28"/>
      <c r="AH256" s="125"/>
      <c r="AI256" s="125"/>
      <c r="AJ256" s="125"/>
      <c r="AK256" s="28"/>
      <c r="AL256" s="120"/>
      <c r="AM256" s="120"/>
      <c r="AN256" s="120"/>
    </row>
    <row r="257" spans="1:40" x14ac:dyDescent="0.25">
      <c r="A257" s="117"/>
      <c r="B257" s="118"/>
      <c r="C257" s="119"/>
      <c r="D257" s="22" t="s">
        <v>3</v>
      </c>
      <c r="E257" s="120"/>
      <c r="F257" s="121"/>
      <c r="G257" s="121"/>
      <c r="H257" s="120"/>
      <c r="I257" s="120"/>
      <c r="J257" s="120"/>
      <c r="K257" s="120"/>
      <c r="L257" s="120"/>
      <c r="M257" s="120"/>
      <c r="N257" s="120"/>
      <c r="O257" s="121"/>
      <c r="P257" s="24"/>
      <c r="Q257" s="122"/>
      <c r="R257" s="119"/>
      <c r="S257" s="22"/>
      <c r="T257" s="120"/>
      <c r="U257" s="120"/>
      <c r="V257" s="22"/>
      <c r="W257" s="22"/>
      <c r="X257" s="120"/>
      <c r="Y257" s="22"/>
      <c r="Z257" s="120"/>
      <c r="AA257" s="22"/>
      <c r="AB257" s="22"/>
      <c r="AC257" s="124"/>
      <c r="AD257" s="124"/>
      <c r="AE257" s="124"/>
      <c r="AF257" s="124"/>
      <c r="AG257" s="28"/>
      <c r="AH257" s="125"/>
      <c r="AI257" s="125"/>
      <c r="AJ257" s="125"/>
      <c r="AK257" s="28"/>
      <c r="AL257" s="120"/>
      <c r="AM257" s="120"/>
      <c r="AN257" s="120"/>
    </row>
    <row r="258" spans="1:40" x14ac:dyDescent="0.25">
      <c r="A258" s="117"/>
      <c r="B258" s="118"/>
      <c r="C258" s="119"/>
      <c r="D258" s="22" t="s">
        <v>3</v>
      </c>
      <c r="E258" s="120"/>
      <c r="F258" s="121"/>
      <c r="G258" s="121"/>
      <c r="H258" s="120"/>
      <c r="I258" s="120"/>
      <c r="J258" s="120"/>
      <c r="K258" s="120"/>
      <c r="L258" s="120"/>
      <c r="M258" s="120"/>
      <c r="N258" s="120"/>
      <c r="O258" s="121"/>
      <c r="P258" s="24"/>
      <c r="Q258" s="122"/>
      <c r="R258" s="119"/>
      <c r="S258" s="22"/>
      <c r="T258" s="120"/>
      <c r="U258" s="120"/>
      <c r="V258" s="22"/>
      <c r="W258" s="22"/>
      <c r="X258" s="120"/>
      <c r="Y258" s="22"/>
      <c r="Z258" s="120"/>
      <c r="AA258" s="22"/>
      <c r="AB258" s="22"/>
      <c r="AC258" s="124"/>
      <c r="AD258" s="124"/>
      <c r="AE258" s="124"/>
      <c r="AF258" s="124"/>
      <c r="AG258" s="28"/>
      <c r="AH258" s="125"/>
      <c r="AI258" s="125"/>
      <c r="AJ258" s="125"/>
      <c r="AK258" s="28"/>
      <c r="AL258" s="120"/>
      <c r="AM258" s="120"/>
      <c r="AN258" s="120"/>
    </row>
    <row r="259" spans="1:40" x14ac:dyDescent="0.25">
      <c r="A259" s="117"/>
      <c r="B259" s="118"/>
      <c r="C259" s="119"/>
      <c r="D259" s="22" t="s">
        <v>3</v>
      </c>
      <c r="E259" s="120"/>
      <c r="F259" s="121"/>
      <c r="G259" s="121"/>
      <c r="H259" s="120"/>
      <c r="I259" s="120"/>
      <c r="J259" s="120"/>
      <c r="K259" s="120"/>
      <c r="L259" s="120"/>
      <c r="M259" s="120"/>
      <c r="N259" s="120"/>
      <c r="O259" s="121"/>
      <c r="P259" s="24"/>
      <c r="Q259" s="122"/>
      <c r="R259" s="119"/>
      <c r="S259" s="22"/>
      <c r="T259" s="120"/>
      <c r="U259" s="120"/>
      <c r="V259" s="22"/>
      <c r="W259" s="22"/>
      <c r="X259" s="120"/>
      <c r="Y259" s="22"/>
      <c r="Z259" s="120"/>
      <c r="AA259" s="22"/>
      <c r="AB259" s="22"/>
      <c r="AC259" s="124"/>
      <c r="AD259" s="124"/>
      <c r="AE259" s="124"/>
      <c r="AF259" s="124"/>
      <c r="AG259" s="28"/>
      <c r="AH259" s="125"/>
      <c r="AI259" s="125"/>
      <c r="AJ259" s="125"/>
      <c r="AK259" s="28"/>
      <c r="AL259" s="120"/>
      <c r="AM259" s="120"/>
      <c r="AN259" s="120"/>
    </row>
    <row r="260" spans="1:40" x14ac:dyDescent="0.25">
      <c r="A260" s="117"/>
      <c r="B260" s="118"/>
      <c r="C260" s="119"/>
      <c r="D260" s="22" t="s">
        <v>3</v>
      </c>
      <c r="E260" s="120"/>
      <c r="F260" s="121"/>
      <c r="G260" s="121"/>
      <c r="H260" s="120"/>
      <c r="I260" s="120"/>
      <c r="J260" s="120"/>
      <c r="K260" s="120"/>
      <c r="L260" s="120"/>
      <c r="M260" s="120"/>
      <c r="N260" s="120"/>
      <c r="O260" s="121"/>
      <c r="P260" s="24"/>
      <c r="Q260" s="122"/>
      <c r="R260" s="119"/>
      <c r="S260" s="22"/>
      <c r="T260" s="120"/>
      <c r="U260" s="120"/>
      <c r="V260" s="22"/>
      <c r="W260" s="22"/>
      <c r="X260" s="120"/>
      <c r="Y260" s="22"/>
      <c r="Z260" s="120"/>
      <c r="AA260" s="22"/>
      <c r="AB260" s="22"/>
      <c r="AC260" s="124"/>
      <c r="AD260" s="124"/>
      <c r="AE260" s="124"/>
      <c r="AF260" s="124"/>
      <c r="AG260" s="28"/>
      <c r="AH260" s="125"/>
      <c r="AI260" s="125"/>
      <c r="AJ260" s="125"/>
      <c r="AK260" s="28"/>
      <c r="AL260" s="120"/>
      <c r="AM260" s="120"/>
      <c r="AN260" s="120"/>
    </row>
    <row r="261" spans="1:40" x14ac:dyDescent="0.25">
      <c r="A261" s="117"/>
      <c r="B261" s="118"/>
      <c r="C261" s="119"/>
      <c r="D261" s="22" t="s">
        <v>3</v>
      </c>
      <c r="E261" s="120"/>
      <c r="F261" s="121"/>
      <c r="G261" s="121"/>
      <c r="H261" s="120"/>
      <c r="I261" s="120"/>
      <c r="J261" s="120"/>
      <c r="K261" s="120"/>
      <c r="L261" s="120"/>
      <c r="M261" s="120"/>
      <c r="N261" s="120"/>
      <c r="O261" s="121"/>
      <c r="P261" s="24"/>
      <c r="Q261" s="122"/>
      <c r="R261" s="119"/>
      <c r="S261" s="22"/>
      <c r="T261" s="120"/>
      <c r="U261" s="120"/>
      <c r="V261" s="22"/>
      <c r="W261" s="22"/>
      <c r="X261" s="120"/>
      <c r="Y261" s="22"/>
      <c r="Z261" s="120"/>
      <c r="AA261" s="22"/>
      <c r="AB261" s="22"/>
      <c r="AC261" s="124"/>
      <c r="AD261" s="124"/>
      <c r="AE261" s="124"/>
      <c r="AF261" s="124"/>
      <c r="AG261" s="28"/>
      <c r="AH261" s="125"/>
      <c r="AI261" s="125"/>
      <c r="AJ261" s="125"/>
      <c r="AK261" s="28"/>
      <c r="AL261" s="120"/>
      <c r="AM261" s="120"/>
      <c r="AN261" s="120"/>
    </row>
    <row r="262" spans="1:40" x14ac:dyDescent="0.25">
      <c r="A262" s="117"/>
      <c r="B262" s="118"/>
      <c r="C262" s="119"/>
      <c r="D262" s="22" t="s">
        <v>3</v>
      </c>
      <c r="E262" s="120"/>
      <c r="F262" s="121"/>
      <c r="G262" s="121"/>
      <c r="H262" s="120"/>
      <c r="I262" s="120"/>
      <c r="J262" s="120"/>
      <c r="K262" s="120"/>
      <c r="L262" s="120"/>
      <c r="M262" s="120"/>
      <c r="N262" s="120"/>
      <c r="O262" s="121"/>
      <c r="P262" s="24"/>
      <c r="Q262" s="122"/>
      <c r="R262" s="119"/>
      <c r="S262" s="22"/>
      <c r="T262" s="120"/>
      <c r="U262" s="120"/>
      <c r="V262" s="22"/>
      <c r="W262" s="22"/>
      <c r="X262" s="120"/>
      <c r="Y262" s="22"/>
      <c r="Z262" s="120"/>
      <c r="AA262" s="22"/>
      <c r="AB262" s="22"/>
      <c r="AC262" s="124"/>
      <c r="AD262" s="124"/>
      <c r="AE262" s="124"/>
      <c r="AF262" s="124"/>
      <c r="AG262" s="28"/>
      <c r="AH262" s="125"/>
      <c r="AI262" s="125"/>
      <c r="AJ262" s="125"/>
      <c r="AK262" s="28"/>
      <c r="AL262" s="120"/>
      <c r="AM262" s="120"/>
      <c r="AN262" s="120"/>
    </row>
    <row r="263" spans="1:40" x14ac:dyDescent="0.25">
      <c r="A263" s="117"/>
      <c r="B263" s="118"/>
      <c r="C263" s="119"/>
      <c r="D263" s="22" t="s">
        <v>3</v>
      </c>
      <c r="E263" s="120"/>
      <c r="F263" s="121"/>
      <c r="G263" s="121"/>
      <c r="H263" s="120"/>
      <c r="I263" s="120"/>
      <c r="J263" s="120"/>
      <c r="K263" s="120"/>
      <c r="L263" s="120"/>
      <c r="M263" s="120"/>
      <c r="N263" s="120"/>
      <c r="O263" s="121"/>
      <c r="P263" s="24"/>
      <c r="Q263" s="122"/>
      <c r="R263" s="119"/>
      <c r="S263" s="22"/>
      <c r="T263" s="120"/>
      <c r="U263" s="120"/>
      <c r="V263" s="22"/>
      <c r="W263" s="22"/>
      <c r="X263" s="120"/>
      <c r="Y263" s="22"/>
      <c r="Z263" s="120"/>
      <c r="AA263" s="22"/>
      <c r="AB263" s="22"/>
      <c r="AC263" s="124"/>
      <c r="AD263" s="124"/>
      <c r="AE263" s="124"/>
      <c r="AF263" s="124"/>
      <c r="AG263" s="28"/>
      <c r="AH263" s="125"/>
      <c r="AI263" s="125"/>
      <c r="AJ263" s="125"/>
      <c r="AK263" s="28"/>
      <c r="AL263" s="120"/>
      <c r="AM263" s="120"/>
      <c r="AN263" s="120"/>
    </row>
    <row r="264" spans="1:40" x14ac:dyDescent="0.25">
      <c r="A264" s="117"/>
      <c r="B264" s="118"/>
      <c r="C264" s="119"/>
      <c r="D264" s="22" t="s">
        <v>3</v>
      </c>
      <c r="E264" s="120"/>
      <c r="F264" s="121"/>
      <c r="G264" s="121"/>
      <c r="H264" s="120"/>
      <c r="I264" s="120"/>
      <c r="J264" s="120"/>
      <c r="K264" s="120"/>
      <c r="L264" s="120"/>
      <c r="M264" s="120"/>
      <c r="N264" s="120"/>
      <c r="O264" s="121"/>
      <c r="P264" s="24"/>
      <c r="Q264" s="122"/>
      <c r="R264" s="119"/>
      <c r="S264" s="22"/>
      <c r="T264" s="120"/>
      <c r="U264" s="120"/>
      <c r="V264" s="22"/>
      <c r="W264" s="22"/>
      <c r="X264" s="120"/>
      <c r="Y264" s="22"/>
      <c r="Z264" s="120"/>
      <c r="AA264" s="22"/>
      <c r="AB264" s="22"/>
      <c r="AC264" s="124"/>
      <c r="AD264" s="124"/>
      <c r="AE264" s="124"/>
      <c r="AF264" s="124"/>
      <c r="AG264" s="28"/>
      <c r="AH264" s="125"/>
      <c r="AI264" s="125"/>
      <c r="AJ264" s="125"/>
      <c r="AK264" s="28"/>
      <c r="AL264" s="120"/>
      <c r="AM264" s="120"/>
      <c r="AN264" s="120"/>
    </row>
    <row r="265" spans="1:40" x14ac:dyDescent="0.25">
      <c r="A265" s="117"/>
      <c r="B265" s="118"/>
      <c r="C265" s="119"/>
      <c r="D265" s="22" t="s">
        <v>3</v>
      </c>
      <c r="E265" s="120"/>
      <c r="F265" s="121"/>
      <c r="G265" s="121"/>
      <c r="H265" s="120"/>
      <c r="I265" s="120"/>
      <c r="J265" s="120"/>
      <c r="K265" s="120"/>
      <c r="L265" s="120"/>
      <c r="M265" s="120"/>
      <c r="N265" s="120"/>
      <c r="O265" s="121"/>
      <c r="P265" s="24"/>
      <c r="Q265" s="122"/>
      <c r="R265" s="119"/>
      <c r="S265" s="22"/>
      <c r="T265" s="120"/>
      <c r="U265" s="120"/>
      <c r="V265" s="22"/>
      <c r="W265" s="22"/>
      <c r="X265" s="120"/>
      <c r="Y265" s="22"/>
      <c r="Z265" s="120"/>
      <c r="AA265" s="22"/>
      <c r="AB265" s="22"/>
      <c r="AC265" s="124"/>
      <c r="AD265" s="124"/>
      <c r="AE265" s="124"/>
      <c r="AF265" s="124"/>
      <c r="AG265" s="28"/>
      <c r="AH265" s="125"/>
      <c r="AI265" s="125"/>
      <c r="AJ265" s="125"/>
      <c r="AK265" s="28"/>
      <c r="AL265" s="120"/>
      <c r="AM265" s="120"/>
      <c r="AN265" s="120"/>
    </row>
    <row r="266" spans="1:40" x14ac:dyDescent="0.25">
      <c r="A266" s="117"/>
      <c r="B266" s="118"/>
      <c r="C266" s="119"/>
      <c r="D266" s="22" t="s">
        <v>3</v>
      </c>
      <c r="E266" s="120"/>
      <c r="F266" s="121"/>
      <c r="G266" s="121"/>
      <c r="H266" s="120"/>
      <c r="I266" s="120"/>
      <c r="J266" s="120"/>
      <c r="K266" s="120"/>
      <c r="L266" s="120"/>
      <c r="M266" s="120"/>
      <c r="N266" s="120"/>
      <c r="O266" s="121"/>
      <c r="P266" s="24"/>
      <c r="Q266" s="122"/>
      <c r="R266" s="119"/>
      <c r="S266" s="22"/>
      <c r="T266" s="120"/>
      <c r="U266" s="120"/>
      <c r="V266" s="22"/>
      <c r="W266" s="22"/>
      <c r="X266" s="120"/>
      <c r="Y266" s="22"/>
      <c r="Z266" s="120"/>
      <c r="AA266" s="22"/>
      <c r="AB266" s="22"/>
      <c r="AC266" s="124"/>
      <c r="AD266" s="124"/>
      <c r="AE266" s="124"/>
      <c r="AF266" s="124"/>
      <c r="AG266" s="28"/>
      <c r="AH266" s="125"/>
      <c r="AI266" s="125"/>
      <c r="AJ266" s="125"/>
      <c r="AK266" s="28"/>
      <c r="AL266" s="120"/>
      <c r="AM266" s="120"/>
      <c r="AN266" s="120"/>
    </row>
    <row r="267" spans="1:40" x14ac:dyDescent="0.25">
      <c r="A267" s="117"/>
      <c r="B267" s="118"/>
      <c r="C267" s="119"/>
      <c r="D267" s="22" t="s">
        <v>3</v>
      </c>
      <c r="E267" s="120"/>
      <c r="F267" s="121"/>
      <c r="G267" s="121"/>
      <c r="H267" s="120"/>
      <c r="I267" s="120"/>
      <c r="J267" s="120"/>
      <c r="K267" s="120"/>
      <c r="L267" s="120"/>
      <c r="M267" s="120"/>
      <c r="N267" s="120"/>
      <c r="O267" s="121"/>
      <c r="P267" s="24"/>
      <c r="Q267" s="122"/>
      <c r="R267" s="119"/>
      <c r="S267" s="22"/>
      <c r="T267" s="120"/>
      <c r="U267" s="120"/>
      <c r="V267" s="22"/>
      <c r="W267" s="22"/>
      <c r="X267" s="120"/>
      <c r="Y267" s="22"/>
      <c r="Z267" s="120"/>
      <c r="AA267" s="22"/>
      <c r="AB267" s="22"/>
      <c r="AC267" s="124"/>
      <c r="AD267" s="124"/>
      <c r="AE267" s="124"/>
      <c r="AF267" s="124"/>
      <c r="AG267" s="28"/>
      <c r="AH267" s="125"/>
      <c r="AI267" s="125"/>
      <c r="AJ267" s="125"/>
      <c r="AK267" s="28"/>
      <c r="AL267" s="120"/>
      <c r="AM267" s="120"/>
      <c r="AN267" s="120"/>
    </row>
    <row r="268" spans="1:40" x14ac:dyDescent="0.25">
      <c r="A268" s="117"/>
      <c r="B268" s="118"/>
      <c r="C268" s="119"/>
      <c r="D268" s="22" t="s">
        <v>3</v>
      </c>
      <c r="E268" s="120"/>
      <c r="F268" s="121"/>
      <c r="G268" s="121"/>
      <c r="H268" s="120"/>
      <c r="I268" s="120"/>
      <c r="J268" s="120"/>
      <c r="K268" s="120"/>
      <c r="L268" s="120"/>
      <c r="M268" s="120"/>
      <c r="N268" s="120"/>
      <c r="O268" s="121"/>
      <c r="P268" s="24"/>
      <c r="Q268" s="122"/>
      <c r="R268" s="119"/>
      <c r="S268" s="22"/>
      <c r="T268" s="120"/>
      <c r="U268" s="120"/>
      <c r="V268" s="22"/>
      <c r="W268" s="22"/>
      <c r="X268" s="120"/>
      <c r="Y268" s="22"/>
      <c r="Z268" s="120"/>
      <c r="AA268" s="22"/>
      <c r="AB268" s="22"/>
      <c r="AC268" s="124"/>
      <c r="AD268" s="124"/>
      <c r="AE268" s="124"/>
      <c r="AF268" s="124"/>
      <c r="AG268" s="28"/>
      <c r="AH268" s="125"/>
      <c r="AI268" s="125"/>
      <c r="AJ268" s="125"/>
      <c r="AK268" s="28"/>
      <c r="AL268" s="120"/>
      <c r="AM268" s="120"/>
      <c r="AN268" s="120"/>
    </row>
    <row r="269" spans="1:40" x14ac:dyDescent="0.25">
      <c r="A269" s="117"/>
      <c r="B269" s="118"/>
      <c r="C269" s="119"/>
      <c r="D269" s="22" t="s">
        <v>3</v>
      </c>
      <c r="E269" s="120"/>
      <c r="F269" s="121"/>
      <c r="G269" s="121"/>
      <c r="H269" s="120"/>
      <c r="I269" s="120"/>
      <c r="J269" s="120"/>
      <c r="K269" s="120"/>
      <c r="L269" s="120"/>
      <c r="M269" s="120"/>
      <c r="N269" s="120"/>
      <c r="O269" s="121"/>
      <c r="P269" s="24"/>
      <c r="Q269" s="122"/>
      <c r="R269" s="119"/>
      <c r="S269" s="22"/>
      <c r="T269" s="120"/>
      <c r="U269" s="120"/>
      <c r="V269" s="22"/>
      <c r="W269" s="22"/>
      <c r="X269" s="120"/>
      <c r="Y269" s="22"/>
      <c r="Z269" s="120"/>
      <c r="AA269" s="22"/>
      <c r="AB269" s="22"/>
      <c r="AC269" s="124"/>
      <c r="AD269" s="124"/>
      <c r="AE269" s="124"/>
      <c r="AF269" s="124"/>
      <c r="AG269" s="28"/>
      <c r="AH269" s="125"/>
      <c r="AI269" s="125"/>
      <c r="AJ269" s="125"/>
      <c r="AK269" s="28"/>
      <c r="AL269" s="120"/>
      <c r="AM269" s="120"/>
      <c r="AN269" s="120"/>
    </row>
    <row r="270" spans="1:40" x14ac:dyDescent="0.25">
      <c r="A270" s="117"/>
      <c r="B270" s="118"/>
      <c r="C270" s="119"/>
      <c r="D270" s="22" t="s">
        <v>3</v>
      </c>
      <c r="E270" s="120"/>
      <c r="F270" s="121"/>
      <c r="G270" s="121"/>
      <c r="H270" s="120"/>
      <c r="I270" s="120"/>
      <c r="J270" s="120"/>
      <c r="K270" s="120"/>
      <c r="L270" s="120"/>
      <c r="M270" s="120"/>
      <c r="N270" s="120"/>
      <c r="O270" s="121"/>
      <c r="P270" s="24"/>
      <c r="Q270" s="122"/>
      <c r="R270" s="119"/>
      <c r="S270" s="22"/>
      <c r="T270" s="120"/>
      <c r="U270" s="120"/>
      <c r="V270" s="22"/>
      <c r="W270" s="22"/>
      <c r="X270" s="120"/>
      <c r="Y270" s="22"/>
      <c r="Z270" s="120"/>
      <c r="AA270" s="22"/>
      <c r="AB270" s="22"/>
      <c r="AC270" s="124"/>
      <c r="AD270" s="124"/>
      <c r="AE270" s="124"/>
      <c r="AF270" s="124"/>
      <c r="AG270" s="28"/>
      <c r="AH270" s="125"/>
      <c r="AI270" s="125"/>
      <c r="AJ270" s="125"/>
      <c r="AK270" s="28"/>
      <c r="AL270" s="120"/>
      <c r="AM270" s="120"/>
      <c r="AN270" s="120"/>
    </row>
    <row r="271" spans="1:40" x14ac:dyDescent="0.25">
      <c r="A271" s="117"/>
      <c r="B271" s="118"/>
      <c r="C271" s="119"/>
      <c r="D271" s="22" t="s">
        <v>3</v>
      </c>
      <c r="E271" s="120"/>
      <c r="F271" s="121"/>
      <c r="G271" s="121"/>
      <c r="H271" s="120"/>
      <c r="I271" s="120"/>
      <c r="J271" s="120"/>
      <c r="K271" s="120"/>
      <c r="L271" s="120"/>
      <c r="M271" s="120"/>
      <c r="N271" s="120"/>
      <c r="O271" s="121"/>
      <c r="P271" s="24"/>
      <c r="Q271" s="122"/>
      <c r="R271" s="119"/>
      <c r="S271" s="22"/>
      <c r="T271" s="120"/>
      <c r="U271" s="120"/>
      <c r="V271" s="22"/>
      <c r="W271" s="22"/>
      <c r="X271" s="120"/>
      <c r="Y271" s="22"/>
      <c r="Z271" s="120"/>
      <c r="AA271" s="22"/>
      <c r="AB271" s="22"/>
      <c r="AC271" s="124"/>
      <c r="AD271" s="124"/>
      <c r="AE271" s="124"/>
      <c r="AF271" s="124"/>
      <c r="AG271" s="28"/>
      <c r="AH271" s="125"/>
      <c r="AI271" s="125"/>
      <c r="AJ271" s="125"/>
      <c r="AK271" s="28"/>
      <c r="AL271" s="120"/>
      <c r="AM271" s="120"/>
      <c r="AN271" s="120"/>
    </row>
    <row r="272" spans="1:40" x14ac:dyDescent="0.25">
      <c r="A272" s="117"/>
      <c r="B272" s="118"/>
      <c r="C272" s="119"/>
      <c r="D272" s="22" t="s">
        <v>3</v>
      </c>
      <c r="E272" s="120"/>
      <c r="F272" s="121"/>
      <c r="G272" s="121"/>
      <c r="H272" s="120"/>
      <c r="I272" s="120"/>
      <c r="J272" s="120"/>
      <c r="K272" s="120"/>
      <c r="L272" s="120"/>
      <c r="M272" s="120"/>
      <c r="N272" s="120"/>
      <c r="O272" s="121"/>
      <c r="P272" s="24"/>
      <c r="Q272" s="122"/>
      <c r="R272" s="119"/>
      <c r="S272" s="22"/>
      <c r="T272" s="120"/>
      <c r="U272" s="120"/>
      <c r="V272" s="22"/>
      <c r="W272" s="22"/>
      <c r="X272" s="120"/>
      <c r="Y272" s="22"/>
      <c r="Z272" s="120"/>
      <c r="AA272" s="22"/>
      <c r="AB272" s="22"/>
      <c r="AC272" s="124"/>
      <c r="AD272" s="124"/>
      <c r="AE272" s="124"/>
      <c r="AF272" s="124"/>
      <c r="AG272" s="28"/>
      <c r="AH272" s="125"/>
      <c r="AI272" s="125"/>
      <c r="AJ272" s="125"/>
      <c r="AK272" s="28"/>
      <c r="AL272" s="120"/>
      <c r="AM272" s="120"/>
      <c r="AN272" s="120"/>
    </row>
    <row r="273" spans="1:40" x14ac:dyDescent="0.25">
      <c r="A273" s="117"/>
      <c r="B273" s="118"/>
      <c r="C273" s="119"/>
      <c r="D273" s="22" t="s">
        <v>3</v>
      </c>
      <c r="E273" s="120"/>
      <c r="F273" s="121"/>
      <c r="G273" s="121"/>
      <c r="H273" s="120"/>
      <c r="I273" s="120"/>
      <c r="J273" s="120"/>
      <c r="K273" s="120"/>
      <c r="L273" s="120"/>
      <c r="M273" s="120"/>
      <c r="N273" s="120"/>
      <c r="O273" s="121"/>
      <c r="P273" s="24"/>
      <c r="Q273" s="122"/>
      <c r="R273" s="119"/>
      <c r="S273" s="22"/>
      <c r="T273" s="120"/>
      <c r="U273" s="120"/>
      <c r="V273" s="22"/>
      <c r="W273" s="22"/>
      <c r="X273" s="120"/>
      <c r="Y273" s="22"/>
      <c r="Z273" s="120"/>
      <c r="AA273" s="22"/>
      <c r="AB273" s="22"/>
      <c r="AC273" s="124"/>
      <c r="AD273" s="124"/>
      <c r="AE273" s="124"/>
      <c r="AF273" s="124"/>
      <c r="AG273" s="28"/>
      <c r="AH273" s="125"/>
      <c r="AI273" s="125"/>
      <c r="AJ273" s="125"/>
      <c r="AK273" s="28"/>
      <c r="AL273" s="120"/>
      <c r="AM273" s="120"/>
      <c r="AN273" s="120"/>
    </row>
    <row r="274" spans="1:40" x14ac:dyDescent="0.25">
      <c r="A274" s="117"/>
      <c r="B274" s="118"/>
      <c r="C274" s="119"/>
      <c r="D274" s="22" t="s">
        <v>3</v>
      </c>
      <c r="E274" s="120"/>
      <c r="F274" s="121"/>
      <c r="G274" s="121"/>
      <c r="H274" s="120"/>
      <c r="I274" s="120"/>
      <c r="J274" s="120"/>
      <c r="K274" s="120"/>
      <c r="L274" s="120"/>
      <c r="M274" s="120"/>
      <c r="N274" s="120"/>
      <c r="O274" s="121"/>
      <c r="P274" s="24"/>
      <c r="Q274" s="122"/>
      <c r="R274" s="119"/>
      <c r="S274" s="22"/>
      <c r="T274" s="120"/>
      <c r="U274" s="120"/>
      <c r="V274" s="22"/>
      <c r="W274" s="22"/>
      <c r="X274" s="120"/>
      <c r="Y274" s="22"/>
      <c r="Z274" s="120"/>
      <c r="AA274" s="22"/>
      <c r="AB274" s="22"/>
      <c r="AC274" s="124"/>
      <c r="AD274" s="124"/>
      <c r="AE274" s="124"/>
      <c r="AF274" s="124"/>
      <c r="AG274" s="28"/>
      <c r="AH274" s="125"/>
      <c r="AI274" s="125"/>
      <c r="AJ274" s="125"/>
      <c r="AK274" s="28"/>
      <c r="AL274" s="120"/>
      <c r="AM274" s="120"/>
      <c r="AN274" s="120"/>
    </row>
    <row r="275" spans="1:40" x14ac:dyDescent="0.25">
      <c r="A275" s="117"/>
      <c r="B275" s="118"/>
      <c r="C275" s="119"/>
      <c r="D275" s="22" t="s">
        <v>3</v>
      </c>
      <c r="E275" s="120"/>
      <c r="F275" s="121"/>
      <c r="G275" s="121"/>
      <c r="H275" s="120"/>
      <c r="I275" s="120"/>
      <c r="J275" s="120"/>
      <c r="K275" s="120"/>
      <c r="L275" s="120"/>
      <c r="M275" s="120"/>
      <c r="N275" s="120"/>
      <c r="O275" s="121"/>
      <c r="P275" s="24"/>
      <c r="Q275" s="122"/>
      <c r="R275" s="119"/>
      <c r="S275" s="22"/>
      <c r="T275" s="120"/>
      <c r="U275" s="120"/>
      <c r="V275" s="22"/>
      <c r="W275" s="22"/>
      <c r="X275" s="120"/>
      <c r="Y275" s="22"/>
      <c r="Z275" s="120"/>
      <c r="AA275" s="22"/>
      <c r="AB275" s="22"/>
      <c r="AC275" s="124"/>
      <c r="AD275" s="124"/>
      <c r="AE275" s="124"/>
      <c r="AF275" s="124"/>
      <c r="AG275" s="28"/>
      <c r="AH275" s="125"/>
      <c r="AI275" s="125"/>
      <c r="AJ275" s="125"/>
      <c r="AK275" s="28"/>
      <c r="AL275" s="120"/>
      <c r="AM275" s="120"/>
      <c r="AN275" s="120"/>
    </row>
    <row r="276" spans="1:40" x14ac:dyDescent="0.25">
      <c r="A276" s="117"/>
      <c r="B276" s="118"/>
      <c r="C276" s="119"/>
      <c r="D276" s="22" t="s">
        <v>3</v>
      </c>
      <c r="E276" s="120"/>
      <c r="F276" s="121"/>
      <c r="G276" s="121"/>
      <c r="H276" s="120"/>
      <c r="I276" s="120"/>
      <c r="J276" s="120"/>
      <c r="K276" s="120"/>
      <c r="L276" s="120"/>
      <c r="M276" s="120"/>
      <c r="N276" s="120"/>
      <c r="O276" s="121"/>
      <c r="P276" s="24"/>
      <c r="Q276" s="122"/>
      <c r="R276" s="119"/>
      <c r="S276" s="22"/>
      <c r="T276" s="120"/>
      <c r="U276" s="120"/>
      <c r="V276" s="22"/>
      <c r="W276" s="22"/>
      <c r="X276" s="120"/>
      <c r="Y276" s="22"/>
      <c r="Z276" s="120"/>
      <c r="AA276" s="22"/>
      <c r="AB276" s="22"/>
      <c r="AC276" s="124"/>
      <c r="AD276" s="124"/>
      <c r="AE276" s="124"/>
      <c r="AF276" s="124"/>
      <c r="AG276" s="28"/>
      <c r="AH276" s="125"/>
      <c r="AI276" s="125"/>
      <c r="AJ276" s="125"/>
      <c r="AK276" s="28"/>
      <c r="AL276" s="120"/>
      <c r="AM276" s="120"/>
      <c r="AN276" s="120"/>
    </row>
    <row r="277" spans="1:40" x14ac:dyDescent="0.25">
      <c r="A277" s="117"/>
      <c r="B277" s="118"/>
      <c r="C277" s="119"/>
      <c r="D277" s="22" t="s">
        <v>3</v>
      </c>
      <c r="E277" s="120"/>
      <c r="F277" s="121"/>
      <c r="G277" s="121"/>
      <c r="H277" s="120"/>
      <c r="I277" s="120"/>
      <c r="J277" s="120"/>
      <c r="K277" s="120"/>
      <c r="L277" s="120"/>
      <c r="M277" s="120"/>
      <c r="N277" s="120"/>
      <c r="O277" s="121"/>
      <c r="P277" s="24"/>
      <c r="Q277" s="122"/>
      <c r="R277" s="119"/>
      <c r="S277" s="22"/>
      <c r="T277" s="120"/>
      <c r="U277" s="120"/>
      <c r="V277" s="22"/>
      <c r="W277" s="22"/>
      <c r="X277" s="120"/>
      <c r="Y277" s="22"/>
      <c r="Z277" s="120"/>
      <c r="AA277" s="22"/>
      <c r="AB277" s="22"/>
      <c r="AC277" s="124"/>
      <c r="AD277" s="124"/>
      <c r="AE277" s="124"/>
      <c r="AF277" s="124"/>
      <c r="AG277" s="28"/>
      <c r="AH277" s="125"/>
      <c r="AI277" s="125"/>
      <c r="AJ277" s="125"/>
      <c r="AK277" s="28"/>
      <c r="AL277" s="120"/>
      <c r="AM277" s="120"/>
      <c r="AN277" s="120"/>
    </row>
    <row r="278" spans="1:40" x14ac:dyDescent="0.25">
      <c r="A278" s="117"/>
      <c r="B278" s="118"/>
      <c r="C278" s="119"/>
      <c r="D278" s="22" t="s">
        <v>3</v>
      </c>
      <c r="E278" s="120"/>
      <c r="F278" s="121"/>
      <c r="G278" s="121"/>
      <c r="H278" s="120"/>
      <c r="I278" s="120"/>
      <c r="J278" s="120"/>
      <c r="K278" s="120"/>
      <c r="L278" s="120"/>
      <c r="M278" s="120"/>
      <c r="N278" s="120"/>
      <c r="O278" s="121"/>
      <c r="P278" s="24"/>
      <c r="Q278" s="122"/>
      <c r="R278" s="119"/>
      <c r="S278" s="22"/>
      <c r="T278" s="120"/>
      <c r="U278" s="120"/>
      <c r="V278" s="22"/>
      <c r="W278" s="22"/>
      <c r="X278" s="120"/>
      <c r="Y278" s="22"/>
      <c r="Z278" s="120"/>
      <c r="AA278" s="22"/>
      <c r="AB278" s="22"/>
      <c r="AC278" s="124"/>
      <c r="AD278" s="124"/>
      <c r="AE278" s="124"/>
      <c r="AF278" s="124"/>
      <c r="AG278" s="28"/>
      <c r="AH278" s="125"/>
      <c r="AI278" s="125"/>
      <c r="AJ278" s="125"/>
      <c r="AK278" s="28"/>
      <c r="AL278" s="120"/>
      <c r="AM278" s="120"/>
      <c r="AN278" s="120"/>
    </row>
    <row r="279" spans="1:40" x14ac:dyDescent="0.25">
      <c r="A279" s="117"/>
      <c r="B279" s="118"/>
      <c r="C279" s="119"/>
      <c r="D279" s="22" t="s">
        <v>3</v>
      </c>
      <c r="E279" s="120"/>
      <c r="F279" s="121"/>
      <c r="G279" s="121"/>
      <c r="H279" s="120"/>
      <c r="I279" s="120"/>
      <c r="J279" s="120"/>
      <c r="K279" s="120"/>
      <c r="L279" s="120"/>
      <c r="M279" s="120"/>
      <c r="N279" s="120"/>
      <c r="O279" s="121"/>
      <c r="P279" s="24"/>
      <c r="Q279" s="122"/>
      <c r="R279" s="119"/>
      <c r="S279" s="22"/>
      <c r="T279" s="120"/>
      <c r="U279" s="120"/>
      <c r="V279" s="22"/>
      <c r="W279" s="22"/>
      <c r="X279" s="120"/>
      <c r="Y279" s="22"/>
      <c r="Z279" s="120"/>
      <c r="AA279" s="22"/>
      <c r="AB279" s="22"/>
      <c r="AC279" s="124"/>
      <c r="AD279" s="124"/>
      <c r="AE279" s="124"/>
      <c r="AF279" s="124"/>
      <c r="AG279" s="28"/>
      <c r="AH279" s="125"/>
      <c r="AI279" s="125"/>
      <c r="AJ279" s="125"/>
      <c r="AK279" s="28"/>
      <c r="AL279" s="120"/>
      <c r="AM279" s="120"/>
      <c r="AN279" s="120"/>
    </row>
    <row r="280" spans="1:40" x14ac:dyDescent="0.25">
      <c r="A280" s="117"/>
      <c r="B280" s="118"/>
      <c r="C280" s="119"/>
      <c r="D280" s="22" t="s">
        <v>3</v>
      </c>
      <c r="E280" s="120"/>
      <c r="F280" s="121"/>
      <c r="G280" s="121"/>
      <c r="H280" s="120"/>
      <c r="I280" s="120"/>
      <c r="J280" s="120"/>
      <c r="K280" s="120"/>
      <c r="L280" s="120"/>
      <c r="M280" s="120"/>
      <c r="N280" s="120"/>
      <c r="O280" s="121"/>
      <c r="P280" s="24"/>
      <c r="Q280" s="122"/>
      <c r="R280" s="119"/>
      <c r="S280" s="22"/>
      <c r="T280" s="120"/>
      <c r="U280" s="120"/>
      <c r="V280" s="22"/>
      <c r="W280" s="22"/>
      <c r="X280" s="120"/>
      <c r="Y280" s="22"/>
      <c r="Z280" s="120"/>
      <c r="AA280" s="22"/>
      <c r="AB280" s="22"/>
      <c r="AC280" s="124"/>
      <c r="AD280" s="124"/>
      <c r="AE280" s="124"/>
      <c r="AF280" s="124"/>
      <c r="AG280" s="28"/>
      <c r="AH280" s="125"/>
      <c r="AI280" s="125"/>
      <c r="AJ280" s="125"/>
      <c r="AK280" s="28"/>
      <c r="AL280" s="120"/>
      <c r="AM280" s="120"/>
      <c r="AN280" s="120"/>
    </row>
    <row r="281" spans="1:40" x14ac:dyDescent="0.25">
      <c r="A281" s="117"/>
      <c r="B281" s="118"/>
      <c r="C281" s="119"/>
      <c r="D281" s="22" t="s">
        <v>3</v>
      </c>
      <c r="E281" s="120"/>
      <c r="F281" s="121"/>
      <c r="G281" s="121"/>
      <c r="H281" s="120"/>
      <c r="I281" s="120"/>
      <c r="J281" s="120"/>
      <c r="K281" s="120"/>
      <c r="L281" s="120"/>
      <c r="M281" s="120"/>
      <c r="N281" s="120"/>
      <c r="O281" s="121"/>
      <c r="P281" s="24"/>
      <c r="Q281" s="122"/>
      <c r="R281" s="119"/>
      <c r="S281" s="22"/>
      <c r="T281" s="120"/>
      <c r="U281" s="120"/>
      <c r="V281" s="22"/>
      <c r="W281" s="22"/>
      <c r="X281" s="120"/>
      <c r="Y281" s="22"/>
      <c r="Z281" s="120"/>
      <c r="AA281" s="22"/>
      <c r="AB281" s="22"/>
      <c r="AC281" s="124"/>
      <c r="AD281" s="124"/>
      <c r="AE281" s="124"/>
      <c r="AF281" s="124"/>
      <c r="AG281" s="28"/>
      <c r="AH281" s="125"/>
      <c r="AI281" s="125"/>
      <c r="AJ281" s="125"/>
      <c r="AK281" s="28"/>
      <c r="AL281" s="120"/>
      <c r="AM281" s="120"/>
      <c r="AN281" s="120"/>
    </row>
    <row r="282" spans="1:40" x14ac:dyDescent="0.25">
      <c r="A282" s="117"/>
      <c r="B282" s="118"/>
      <c r="C282" s="119"/>
      <c r="D282" s="22" t="s">
        <v>3</v>
      </c>
      <c r="E282" s="120"/>
      <c r="F282" s="121"/>
      <c r="G282" s="121"/>
      <c r="H282" s="120"/>
      <c r="I282" s="120"/>
      <c r="J282" s="120"/>
      <c r="K282" s="120"/>
      <c r="L282" s="120"/>
      <c r="M282" s="120"/>
      <c r="N282" s="120"/>
      <c r="O282" s="121"/>
      <c r="P282" s="24"/>
      <c r="Q282" s="122"/>
      <c r="R282" s="119"/>
      <c r="S282" s="22"/>
      <c r="T282" s="120"/>
      <c r="U282" s="120"/>
      <c r="V282" s="22"/>
      <c r="W282" s="22"/>
      <c r="X282" s="120"/>
      <c r="Y282" s="22"/>
      <c r="Z282" s="120"/>
      <c r="AA282" s="22"/>
      <c r="AB282" s="22"/>
      <c r="AC282" s="124"/>
      <c r="AD282" s="124"/>
      <c r="AE282" s="124"/>
      <c r="AF282" s="124"/>
      <c r="AG282" s="28"/>
      <c r="AH282" s="125"/>
      <c r="AI282" s="125"/>
      <c r="AJ282" s="125"/>
      <c r="AK282" s="28"/>
      <c r="AL282" s="120"/>
      <c r="AM282" s="120"/>
      <c r="AN282" s="120"/>
    </row>
    <row r="283" spans="1:40" x14ac:dyDescent="0.25">
      <c r="A283" s="117"/>
      <c r="B283" s="118"/>
      <c r="C283" s="119"/>
      <c r="D283" s="22" t="s">
        <v>3</v>
      </c>
      <c r="E283" s="120"/>
      <c r="F283" s="121"/>
      <c r="G283" s="121"/>
      <c r="H283" s="120"/>
      <c r="I283" s="120"/>
      <c r="J283" s="120"/>
      <c r="K283" s="120"/>
      <c r="L283" s="120"/>
      <c r="M283" s="120"/>
      <c r="N283" s="120"/>
      <c r="O283" s="121"/>
      <c r="P283" s="24"/>
      <c r="Q283" s="122"/>
      <c r="R283" s="119"/>
      <c r="S283" s="22"/>
      <c r="T283" s="120"/>
      <c r="U283" s="120"/>
      <c r="V283" s="22"/>
      <c r="W283" s="22"/>
      <c r="X283" s="120"/>
      <c r="Y283" s="22"/>
      <c r="Z283" s="120"/>
      <c r="AA283" s="22"/>
      <c r="AB283" s="22"/>
      <c r="AC283" s="124"/>
      <c r="AD283" s="124"/>
      <c r="AE283" s="124"/>
      <c r="AF283" s="124"/>
      <c r="AG283" s="28"/>
      <c r="AH283" s="125"/>
      <c r="AI283" s="125"/>
      <c r="AJ283" s="125"/>
      <c r="AK283" s="28"/>
      <c r="AL283" s="120"/>
      <c r="AM283" s="120"/>
      <c r="AN283" s="120"/>
    </row>
    <row r="284" spans="1:40" x14ac:dyDescent="0.25">
      <c r="A284" s="117"/>
      <c r="B284" s="118"/>
      <c r="C284" s="119"/>
      <c r="D284" s="22" t="s">
        <v>3</v>
      </c>
      <c r="E284" s="120"/>
      <c r="F284" s="121"/>
      <c r="G284" s="121"/>
      <c r="H284" s="120"/>
      <c r="I284" s="120"/>
      <c r="J284" s="120"/>
      <c r="K284" s="120"/>
      <c r="L284" s="120"/>
      <c r="M284" s="120"/>
      <c r="N284" s="120"/>
      <c r="O284" s="121"/>
      <c r="P284" s="24"/>
      <c r="Q284" s="122"/>
      <c r="R284" s="119"/>
      <c r="S284" s="22"/>
      <c r="T284" s="120"/>
      <c r="U284" s="120"/>
      <c r="V284" s="22"/>
      <c r="W284" s="22"/>
      <c r="X284" s="120"/>
      <c r="Y284" s="22"/>
      <c r="Z284" s="120"/>
      <c r="AA284" s="22"/>
      <c r="AB284" s="22"/>
      <c r="AC284" s="124"/>
      <c r="AD284" s="124"/>
      <c r="AE284" s="124"/>
      <c r="AF284" s="124"/>
      <c r="AG284" s="28"/>
      <c r="AH284" s="125"/>
      <c r="AI284" s="125"/>
      <c r="AJ284" s="125"/>
      <c r="AK284" s="28"/>
      <c r="AL284" s="120"/>
      <c r="AM284" s="120"/>
      <c r="AN284" s="120"/>
    </row>
    <row r="285" spans="1:40" x14ac:dyDescent="0.25">
      <c r="A285" s="117"/>
      <c r="B285" s="118"/>
      <c r="C285" s="119"/>
      <c r="D285" s="22" t="s">
        <v>3</v>
      </c>
      <c r="E285" s="120"/>
      <c r="F285" s="121"/>
      <c r="G285" s="121"/>
      <c r="H285" s="120"/>
      <c r="I285" s="120"/>
      <c r="J285" s="120"/>
      <c r="K285" s="120"/>
      <c r="L285" s="120"/>
      <c r="M285" s="120"/>
      <c r="N285" s="120"/>
      <c r="O285" s="121"/>
      <c r="P285" s="24"/>
      <c r="Q285" s="122"/>
      <c r="R285" s="119"/>
      <c r="S285" s="22"/>
      <c r="T285" s="120"/>
      <c r="U285" s="120"/>
      <c r="V285" s="22"/>
      <c r="W285" s="22"/>
      <c r="X285" s="120"/>
      <c r="Y285" s="22"/>
      <c r="Z285" s="120"/>
      <c r="AA285" s="22"/>
      <c r="AB285" s="22"/>
      <c r="AC285" s="124"/>
      <c r="AD285" s="124"/>
      <c r="AE285" s="124"/>
      <c r="AF285" s="124"/>
      <c r="AG285" s="28"/>
      <c r="AH285" s="125"/>
      <c r="AI285" s="125"/>
      <c r="AJ285" s="125"/>
      <c r="AK285" s="28"/>
      <c r="AL285" s="120"/>
      <c r="AM285" s="120"/>
      <c r="AN285" s="120"/>
    </row>
    <row r="286" spans="1:40" x14ac:dyDescent="0.25">
      <c r="A286" s="117"/>
      <c r="B286" s="118"/>
      <c r="C286" s="119"/>
      <c r="D286" s="22" t="s">
        <v>3</v>
      </c>
      <c r="E286" s="120"/>
      <c r="F286" s="121"/>
      <c r="G286" s="121"/>
      <c r="H286" s="120"/>
      <c r="I286" s="120"/>
      <c r="J286" s="120"/>
      <c r="K286" s="120"/>
      <c r="L286" s="120"/>
      <c r="M286" s="120"/>
      <c r="N286" s="120"/>
      <c r="O286" s="121"/>
      <c r="P286" s="24"/>
      <c r="Q286" s="122"/>
      <c r="R286" s="119"/>
      <c r="S286" s="22"/>
      <c r="T286" s="120"/>
      <c r="U286" s="120"/>
      <c r="V286" s="22"/>
      <c r="W286" s="22"/>
      <c r="X286" s="120"/>
      <c r="Y286" s="22"/>
      <c r="Z286" s="120"/>
      <c r="AA286" s="22"/>
      <c r="AB286" s="22"/>
      <c r="AC286" s="124"/>
      <c r="AD286" s="124"/>
      <c r="AE286" s="124"/>
      <c r="AF286" s="124"/>
      <c r="AG286" s="28"/>
      <c r="AH286" s="125"/>
      <c r="AI286" s="125"/>
      <c r="AJ286" s="125"/>
      <c r="AK286" s="28"/>
      <c r="AL286" s="120"/>
      <c r="AM286" s="120"/>
      <c r="AN286" s="120"/>
    </row>
    <row r="287" spans="1:40" x14ac:dyDescent="0.25">
      <c r="A287" s="117"/>
      <c r="B287" s="118"/>
      <c r="C287" s="119"/>
      <c r="D287" s="22" t="s">
        <v>3</v>
      </c>
      <c r="E287" s="120"/>
      <c r="F287" s="121"/>
      <c r="G287" s="121"/>
      <c r="H287" s="120"/>
      <c r="I287" s="120"/>
      <c r="J287" s="120"/>
      <c r="K287" s="120"/>
      <c r="L287" s="120"/>
      <c r="M287" s="120"/>
      <c r="N287" s="120"/>
      <c r="O287" s="121"/>
      <c r="P287" s="24"/>
      <c r="Q287" s="122"/>
      <c r="R287" s="119"/>
      <c r="S287" s="22"/>
      <c r="T287" s="120"/>
      <c r="U287" s="120"/>
      <c r="V287" s="22"/>
      <c r="W287" s="22"/>
      <c r="X287" s="120"/>
      <c r="Y287" s="22"/>
      <c r="Z287" s="120"/>
      <c r="AA287" s="22"/>
      <c r="AB287" s="22"/>
      <c r="AC287" s="124"/>
      <c r="AD287" s="124"/>
      <c r="AE287" s="124"/>
      <c r="AF287" s="124"/>
      <c r="AG287" s="28"/>
      <c r="AH287" s="125"/>
      <c r="AI287" s="125"/>
      <c r="AJ287" s="125"/>
      <c r="AK287" s="28"/>
      <c r="AL287" s="120"/>
      <c r="AM287" s="120"/>
      <c r="AN287" s="120"/>
    </row>
    <row r="288" spans="1:40" x14ac:dyDescent="0.25">
      <c r="A288" s="117"/>
      <c r="B288" s="118"/>
      <c r="C288" s="119"/>
      <c r="D288" s="22" t="s">
        <v>3</v>
      </c>
      <c r="E288" s="120"/>
      <c r="F288" s="121"/>
      <c r="G288" s="121"/>
      <c r="H288" s="120"/>
      <c r="I288" s="120"/>
      <c r="J288" s="120"/>
      <c r="K288" s="120"/>
      <c r="L288" s="120"/>
      <c r="M288" s="120"/>
      <c r="N288" s="120"/>
      <c r="O288" s="121"/>
      <c r="P288" s="24"/>
      <c r="Q288" s="122"/>
      <c r="R288" s="119"/>
      <c r="S288" s="22"/>
      <c r="T288" s="120"/>
      <c r="U288" s="120"/>
      <c r="V288" s="22"/>
      <c r="W288" s="22"/>
      <c r="X288" s="120"/>
      <c r="Y288" s="22"/>
      <c r="Z288" s="120"/>
      <c r="AA288" s="22"/>
      <c r="AB288" s="22"/>
      <c r="AC288" s="124"/>
      <c r="AD288" s="124"/>
      <c r="AE288" s="124"/>
      <c r="AF288" s="124"/>
      <c r="AG288" s="28"/>
      <c r="AH288" s="125"/>
      <c r="AI288" s="125"/>
      <c r="AJ288" s="125"/>
      <c r="AK288" s="28"/>
      <c r="AL288" s="120"/>
      <c r="AM288" s="120"/>
      <c r="AN288" s="120"/>
    </row>
    <row r="289" spans="1:40" x14ac:dyDescent="0.25">
      <c r="A289" s="117"/>
      <c r="B289" s="118"/>
      <c r="C289" s="119"/>
      <c r="D289" s="22" t="s">
        <v>3</v>
      </c>
      <c r="E289" s="120"/>
      <c r="F289" s="121"/>
      <c r="G289" s="121"/>
      <c r="H289" s="120"/>
      <c r="I289" s="120"/>
      <c r="J289" s="120"/>
      <c r="K289" s="120"/>
      <c r="L289" s="120"/>
      <c r="M289" s="120"/>
      <c r="N289" s="120"/>
      <c r="O289" s="121"/>
      <c r="P289" s="24"/>
      <c r="Q289" s="122"/>
      <c r="R289" s="119"/>
      <c r="S289" s="22"/>
      <c r="T289" s="120"/>
      <c r="U289" s="120"/>
      <c r="V289" s="22"/>
      <c r="W289" s="22"/>
      <c r="X289" s="120"/>
      <c r="Y289" s="22"/>
      <c r="Z289" s="120"/>
      <c r="AA289" s="22"/>
      <c r="AB289" s="22"/>
      <c r="AC289" s="124"/>
      <c r="AD289" s="124"/>
      <c r="AE289" s="124"/>
      <c r="AF289" s="124"/>
      <c r="AG289" s="28"/>
      <c r="AH289" s="125"/>
      <c r="AI289" s="125"/>
      <c r="AJ289" s="125"/>
      <c r="AK289" s="28"/>
      <c r="AL289" s="120"/>
      <c r="AM289" s="120"/>
      <c r="AN289" s="120"/>
    </row>
    <row r="290" spans="1:40" x14ac:dyDescent="0.25">
      <c r="A290" s="117"/>
      <c r="B290" s="118"/>
      <c r="C290" s="119"/>
      <c r="D290" s="22" t="s">
        <v>3</v>
      </c>
      <c r="E290" s="120"/>
      <c r="F290" s="121"/>
      <c r="G290" s="121"/>
      <c r="H290" s="120"/>
      <c r="I290" s="120"/>
      <c r="J290" s="120"/>
      <c r="K290" s="120"/>
      <c r="L290" s="120"/>
      <c r="M290" s="120"/>
      <c r="N290" s="120"/>
      <c r="O290" s="121"/>
      <c r="P290" s="24"/>
      <c r="Q290" s="122"/>
      <c r="R290" s="119"/>
      <c r="S290" s="22"/>
      <c r="T290" s="120"/>
      <c r="U290" s="120"/>
      <c r="V290" s="22"/>
      <c r="W290" s="22"/>
      <c r="X290" s="120"/>
      <c r="Y290" s="22"/>
      <c r="Z290" s="120"/>
      <c r="AA290" s="22"/>
      <c r="AB290" s="22"/>
      <c r="AC290" s="124"/>
      <c r="AD290" s="124"/>
      <c r="AE290" s="124"/>
      <c r="AF290" s="124"/>
      <c r="AG290" s="28"/>
      <c r="AH290" s="125"/>
      <c r="AI290" s="125"/>
      <c r="AJ290" s="125"/>
      <c r="AK290" s="28"/>
      <c r="AL290" s="120"/>
      <c r="AM290" s="120"/>
      <c r="AN290" s="120"/>
    </row>
    <row r="291" spans="1:40" x14ac:dyDescent="0.25">
      <c r="A291" s="117"/>
      <c r="B291" s="118"/>
      <c r="C291" s="119"/>
      <c r="D291" s="22" t="s">
        <v>3</v>
      </c>
      <c r="E291" s="120"/>
      <c r="F291" s="121"/>
      <c r="G291" s="121"/>
      <c r="H291" s="120"/>
      <c r="I291" s="120"/>
      <c r="J291" s="120"/>
      <c r="K291" s="120"/>
      <c r="L291" s="120"/>
      <c r="M291" s="120"/>
      <c r="N291" s="120"/>
      <c r="O291" s="121"/>
      <c r="P291" s="24"/>
      <c r="Q291" s="122"/>
      <c r="R291" s="119"/>
      <c r="S291" s="22"/>
      <c r="T291" s="120"/>
      <c r="U291" s="120"/>
      <c r="V291" s="22"/>
      <c r="W291" s="22"/>
      <c r="X291" s="120"/>
      <c r="Y291" s="22"/>
      <c r="Z291" s="120"/>
      <c r="AA291" s="22"/>
      <c r="AB291" s="22"/>
      <c r="AC291" s="124"/>
      <c r="AD291" s="124"/>
      <c r="AE291" s="124"/>
      <c r="AF291" s="124"/>
      <c r="AG291" s="28"/>
      <c r="AH291" s="125"/>
      <c r="AI291" s="125"/>
      <c r="AJ291" s="125"/>
      <c r="AK291" s="28"/>
      <c r="AL291" s="120"/>
      <c r="AM291" s="120"/>
      <c r="AN291" s="120"/>
    </row>
    <row r="292" spans="1:40" x14ac:dyDescent="0.25">
      <c r="A292" s="117"/>
      <c r="B292" s="118"/>
      <c r="C292" s="119"/>
      <c r="D292" s="22" t="s">
        <v>3</v>
      </c>
      <c r="E292" s="120"/>
      <c r="F292" s="121"/>
      <c r="G292" s="121"/>
      <c r="H292" s="120"/>
      <c r="I292" s="120"/>
      <c r="J292" s="120"/>
      <c r="K292" s="120"/>
      <c r="L292" s="120"/>
      <c r="M292" s="120"/>
      <c r="N292" s="120"/>
      <c r="O292" s="121"/>
      <c r="P292" s="24"/>
      <c r="Q292" s="122"/>
      <c r="R292" s="119"/>
      <c r="S292" s="22"/>
      <c r="T292" s="120"/>
      <c r="U292" s="120"/>
      <c r="V292" s="22"/>
      <c r="W292" s="22"/>
      <c r="X292" s="120"/>
      <c r="Y292" s="22"/>
      <c r="Z292" s="120"/>
      <c r="AA292" s="22"/>
      <c r="AB292" s="22"/>
      <c r="AC292" s="124"/>
      <c r="AD292" s="124"/>
      <c r="AE292" s="124"/>
      <c r="AF292" s="124"/>
      <c r="AG292" s="28"/>
      <c r="AH292" s="125"/>
      <c r="AI292" s="125"/>
      <c r="AJ292" s="125"/>
      <c r="AK292" s="28"/>
      <c r="AL292" s="120"/>
      <c r="AM292" s="120"/>
      <c r="AN292" s="120"/>
    </row>
    <row r="293" spans="1:40" x14ac:dyDescent="0.25">
      <c r="A293" s="117"/>
      <c r="B293" s="118"/>
      <c r="C293" s="119"/>
      <c r="D293" s="22" t="s">
        <v>3</v>
      </c>
      <c r="E293" s="120"/>
      <c r="F293" s="121"/>
      <c r="G293" s="121"/>
      <c r="H293" s="120"/>
      <c r="I293" s="120"/>
      <c r="J293" s="120"/>
      <c r="K293" s="120"/>
      <c r="L293" s="120"/>
      <c r="M293" s="120"/>
      <c r="N293" s="120"/>
      <c r="O293" s="121"/>
      <c r="P293" s="24"/>
      <c r="Q293" s="122"/>
      <c r="R293" s="119"/>
      <c r="S293" s="22"/>
      <c r="T293" s="120"/>
      <c r="U293" s="120"/>
      <c r="V293" s="22"/>
      <c r="W293" s="22"/>
      <c r="X293" s="120"/>
      <c r="Y293" s="22"/>
      <c r="Z293" s="120"/>
      <c r="AA293" s="22"/>
      <c r="AB293" s="22"/>
      <c r="AC293" s="124"/>
      <c r="AD293" s="124"/>
      <c r="AE293" s="124"/>
      <c r="AF293" s="124"/>
      <c r="AG293" s="28"/>
      <c r="AH293" s="125"/>
      <c r="AI293" s="125"/>
      <c r="AJ293" s="125"/>
      <c r="AK293" s="28"/>
      <c r="AL293" s="120"/>
      <c r="AM293" s="120"/>
      <c r="AN293" s="120"/>
    </row>
    <row r="294" spans="1:40" x14ac:dyDescent="0.25">
      <c r="A294" s="117"/>
      <c r="B294" s="118"/>
      <c r="C294" s="119"/>
      <c r="D294" s="22" t="s">
        <v>3</v>
      </c>
      <c r="E294" s="120"/>
      <c r="F294" s="121"/>
      <c r="G294" s="121"/>
      <c r="H294" s="120"/>
      <c r="I294" s="120"/>
      <c r="J294" s="120"/>
      <c r="K294" s="120"/>
      <c r="L294" s="120"/>
      <c r="M294" s="120"/>
      <c r="N294" s="120"/>
      <c r="O294" s="121"/>
      <c r="P294" s="24"/>
      <c r="Q294" s="122"/>
      <c r="R294" s="119"/>
      <c r="S294" s="22"/>
      <c r="T294" s="120"/>
      <c r="U294" s="120"/>
      <c r="V294" s="22"/>
      <c r="W294" s="22"/>
      <c r="X294" s="120"/>
      <c r="Y294" s="22"/>
      <c r="Z294" s="120"/>
      <c r="AA294" s="22"/>
      <c r="AB294" s="22"/>
      <c r="AC294" s="124"/>
      <c r="AD294" s="124"/>
      <c r="AE294" s="124"/>
      <c r="AF294" s="124"/>
      <c r="AG294" s="28"/>
      <c r="AH294" s="125"/>
      <c r="AI294" s="125"/>
      <c r="AJ294" s="125"/>
      <c r="AK294" s="28"/>
      <c r="AL294" s="120"/>
      <c r="AM294" s="120"/>
      <c r="AN294" s="120"/>
    </row>
    <row r="295" spans="1:40" x14ac:dyDescent="0.25">
      <c r="A295" s="117"/>
      <c r="B295" s="118"/>
      <c r="C295" s="119"/>
      <c r="D295" s="22" t="s">
        <v>3</v>
      </c>
      <c r="E295" s="120"/>
      <c r="F295" s="121"/>
      <c r="G295" s="121"/>
      <c r="H295" s="120"/>
      <c r="I295" s="120"/>
      <c r="J295" s="120"/>
      <c r="K295" s="120"/>
      <c r="L295" s="120"/>
      <c r="M295" s="120"/>
      <c r="N295" s="120"/>
      <c r="O295" s="121"/>
      <c r="P295" s="24"/>
      <c r="Q295" s="122"/>
      <c r="R295" s="119"/>
      <c r="S295" s="22"/>
      <c r="T295" s="120"/>
      <c r="U295" s="120"/>
      <c r="V295" s="22"/>
      <c r="W295" s="22"/>
      <c r="X295" s="120"/>
      <c r="Y295" s="22"/>
      <c r="Z295" s="120"/>
      <c r="AA295" s="22"/>
      <c r="AB295" s="22"/>
      <c r="AC295" s="124"/>
      <c r="AD295" s="124"/>
      <c r="AE295" s="124"/>
      <c r="AF295" s="124"/>
      <c r="AG295" s="28"/>
      <c r="AH295" s="125"/>
      <c r="AI295" s="125"/>
      <c r="AJ295" s="125"/>
      <c r="AK295" s="28"/>
      <c r="AL295" s="120"/>
      <c r="AM295" s="120"/>
      <c r="AN295" s="120"/>
    </row>
    <row r="296" spans="1:40" x14ac:dyDescent="0.25">
      <c r="A296" s="117"/>
      <c r="B296" s="118"/>
      <c r="C296" s="119"/>
      <c r="D296" s="22" t="s">
        <v>3</v>
      </c>
      <c r="E296" s="120"/>
      <c r="F296" s="121"/>
      <c r="G296" s="121"/>
      <c r="H296" s="120"/>
      <c r="I296" s="120"/>
      <c r="J296" s="120"/>
      <c r="K296" s="120"/>
      <c r="L296" s="120"/>
      <c r="M296" s="120"/>
      <c r="N296" s="120"/>
      <c r="O296" s="121"/>
      <c r="P296" s="24"/>
      <c r="Q296" s="122"/>
      <c r="R296" s="119"/>
      <c r="S296" s="22"/>
      <c r="T296" s="120"/>
      <c r="U296" s="120"/>
      <c r="V296" s="22"/>
      <c r="W296" s="22"/>
      <c r="X296" s="120"/>
      <c r="Y296" s="22"/>
      <c r="Z296" s="120"/>
      <c r="AA296" s="22"/>
      <c r="AB296" s="22"/>
      <c r="AC296" s="124"/>
      <c r="AD296" s="124"/>
      <c r="AE296" s="124"/>
      <c r="AF296" s="124"/>
      <c r="AG296" s="28"/>
      <c r="AH296" s="125"/>
      <c r="AI296" s="125"/>
      <c r="AJ296" s="125"/>
      <c r="AK296" s="28"/>
      <c r="AL296" s="120"/>
      <c r="AM296" s="120"/>
      <c r="AN296" s="120"/>
    </row>
    <row r="297" spans="1:40" x14ac:dyDescent="0.25">
      <c r="A297" s="117"/>
      <c r="B297" s="118"/>
      <c r="C297" s="119"/>
      <c r="D297" s="22" t="s">
        <v>3</v>
      </c>
      <c r="E297" s="120"/>
      <c r="F297" s="121"/>
      <c r="G297" s="121"/>
      <c r="H297" s="120"/>
      <c r="I297" s="120"/>
      <c r="J297" s="120"/>
      <c r="K297" s="120"/>
      <c r="L297" s="120"/>
      <c r="M297" s="120"/>
      <c r="N297" s="120"/>
      <c r="O297" s="121"/>
      <c r="P297" s="24"/>
      <c r="Q297" s="122"/>
      <c r="R297" s="119"/>
      <c r="S297" s="22"/>
      <c r="T297" s="120"/>
      <c r="U297" s="120"/>
      <c r="V297" s="22"/>
      <c r="W297" s="22"/>
      <c r="X297" s="120"/>
      <c r="Y297" s="22"/>
      <c r="Z297" s="120"/>
      <c r="AA297" s="22"/>
      <c r="AB297" s="22"/>
      <c r="AC297" s="124"/>
      <c r="AD297" s="124"/>
      <c r="AE297" s="124"/>
      <c r="AF297" s="124"/>
      <c r="AG297" s="28"/>
      <c r="AH297" s="125"/>
      <c r="AI297" s="125"/>
      <c r="AJ297" s="125"/>
      <c r="AK297" s="28"/>
      <c r="AL297" s="120"/>
      <c r="AM297" s="120"/>
      <c r="AN297" s="120"/>
    </row>
    <row r="298" spans="1:40" x14ac:dyDescent="0.25">
      <c r="A298" s="117"/>
      <c r="B298" s="118"/>
      <c r="C298" s="119"/>
      <c r="D298" s="22" t="s">
        <v>3</v>
      </c>
      <c r="E298" s="120"/>
      <c r="F298" s="121"/>
      <c r="G298" s="121"/>
      <c r="H298" s="120"/>
      <c r="I298" s="120"/>
      <c r="J298" s="120"/>
      <c r="K298" s="120"/>
      <c r="L298" s="120"/>
      <c r="M298" s="120"/>
      <c r="N298" s="120"/>
      <c r="O298" s="121"/>
      <c r="P298" s="24"/>
      <c r="Q298" s="122"/>
      <c r="R298" s="119"/>
      <c r="S298" s="22"/>
      <c r="T298" s="120"/>
      <c r="U298" s="120"/>
      <c r="V298" s="22"/>
      <c r="W298" s="22"/>
      <c r="X298" s="120"/>
      <c r="Y298" s="22"/>
      <c r="Z298" s="120"/>
      <c r="AA298" s="22"/>
      <c r="AB298" s="22"/>
      <c r="AC298" s="124"/>
      <c r="AD298" s="124"/>
      <c r="AE298" s="124"/>
      <c r="AF298" s="124"/>
      <c r="AG298" s="28"/>
      <c r="AH298" s="125"/>
      <c r="AI298" s="125"/>
      <c r="AJ298" s="125"/>
      <c r="AK298" s="28"/>
      <c r="AL298" s="120"/>
      <c r="AM298" s="120"/>
      <c r="AN298" s="120"/>
    </row>
    <row r="299" spans="1:40" x14ac:dyDescent="0.25">
      <c r="A299" s="117"/>
      <c r="B299" s="118"/>
      <c r="C299" s="119"/>
      <c r="D299" s="22" t="s">
        <v>3</v>
      </c>
      <c r="E299" s="120"/>
      <c r="F299" s="121"/>
      <c r="G299" s="121"/>
      <c r="H299" s="120"/>
      <c r="I299" s="120"/>
      <c r="J299" s="120"/>
      <c r="K299" s="120"/>
      <c r="L299" s="120"/>
      <c r="M299" s="120"/>
      <c r="N299" s="120"/>
      <c r="O299" s="121"/>
      <c r="P299" s="24"/>
      <c r="Q299" s="122"/>
      <c r="R299" s="119"/>
      <c r="S299" s="22"/>
      <c r="T299" s="120"/>
      <c r="U299" s="120"/>
      <c r="V299" s="22"/>
      <c r="W299" s="22"/>
      <c r="X299" s="120"/>
      <c r="Y299" s="22"/>
      <c r="Z299" s="120"/>
      <c r="AA299" s="22"/>
      <c r="AB299" s="22"/>
      <c r="AC299" s="124"/>
      <c r="AD299" s="124"/>
      <c r="AE299" s="124"/>
      <c r="AF299" s="124"/>
      <c r="AG299" s="28"/>
      <c r="AH299" s="125"/>
      <c r="AI299" s="125"/>
      <c r="AJ299" s="125"/>
      <c r="AK299" s="28"/>
      <c r="AL299" s="120"/>
      <c r="AM299" s="120"/>
      <c r="AN299" s="120"/>
    </row>
    <row r="300" spans="1:40" x14ac:dyDescent="0.25">
      <c r="A300" s="117"/>
      <c r="B300" s="118"/>
      <c r="C300" s="119"/>
      <c r="D300" s="22" t="s">
        <v>3</v>
      </c>
      <c r="E300" s="120"/>
      <c r="F300" s="121"/>
      <c r="G300" s="121"/>
      <c r="H300" s="120"/>
      <c r="I300" s="120"/>
      <c r="J300" s="120"/>
      <c r="K300" s="120"/>
      <c r="L300" s="120"/>
      <c r="M300" s="120"/>
      <c r="N300" s="120"/>
      <c r="O300" s="121"/>
      <c r="P300" s="24"/>
      <c r="Q300" s="122"/>
      <c r="R300" s="119"/>
      <c r="S300" s="22"/>
      <c r="T300" s="120"/>
      <c r="U300" s="120"/>
      <c r="V300" s="22"/>
      <c r="W300" s="22"/>
      <c r="X300" s="120"/>
      <c r="Y300" s="22"/>
      <c r="Z300" s="120"/>
      <c r="AA300" s="22"/>
      <c r="AB300" s="22"/>
      <c r="AC300" s="124"/>
      <c r="AD300" s="124"/>
      <c r="AE300" s="124"/>
      <c r="AF300" s="124"/>
      <c r="AG300" s="28"/>
      <c r="AH300" s="125"/>
      <c r="AI300" s="125"/>
      <c r="AJ300" s="125"/>
      <c r="AK300" s="28"/>
      <c r="AL300" s="120"/>
      <c r="AM300" s="120"/>
      <c r="AN300" s="120"/>
    </row>
    <row r="301" spans="1:40" x14ac:dyDescent="0.25">
      <c r="A301" s="117"/>
      <c r="B301" s="118"/>
      <c r="C301" s="119"/>
      <c r="D301" s="22" t="s">
        <v>3</v>
      </c>
      <c r="E301" s="120"/>
      <c r="F301" s="121"/>
      <c r="G301" s="121"/>
      <c r="H301" s="120"/>
      <c r="I301" s="120"/>
      <c r="J301" s="120"/>
      <c r="K301" s="120"/>
      <c r="L301" s="120"/>
      <c r="M301" s="120"/>
      <c r="N301" s="120"/>
      <c r="O301" s="121"/>
      <c r="P301" s="24"/>
      <c r="Q301" s="122"/>
      <c r="R301" s="119"/>
      <c r="S301" s="22"/>
      <c r="T301" s="120"/>
      <c r="U301" s="120"/>
      <c r="V301" s="22"/>
      <c r="W301" s="22"/>
      <c r="X301" s="120"/>
      <c r="Y301" s="22"/>
      <c r="Z301" s="120"/>
      <c r="AA301" s="22"/>
      <c r="AB301" s="22"/>
      <c r="AC301" s="124"/>
      <c r="AD301" s="124"/>
      <c r="AE301" s="124"/>
      <c r="AF301" s="124"/>
      <c r="AG301" s="28"/>
      <c r="AH301" s="125"/>
      <c r="AI301" s="125"/>
      <c r="AJ301" s="125"/>
      <c r="AK301" s="28"/>
      <c r="AL301" s="120"/>
      <c r="AM301" s="120"/>
      <c r="AN301" s="120"/>
    </row>
    <row r="302" spans="1:40" x14ac:dyDescent="0.25">
      <c r="A302" s="117"/>
      <c r="B302" s="118"/>
      <c r="C302" s="119"/>
      <c r="D302" s="22" t="s">
        <v>3</v>
      </c>
      <c r="E302" s="120"/>
      <c r="F302" s="121"/>
      <c r="G302" s="121"/>
      <c r="H302" s="120"/>
      <c r="I302" s="120"/>
      <c r="J302" s="120"/>
      <c r="K302" s="120"/>
      <c r="L302" s="120"/>
      <c r="M302" s="120"/>
      <c r="N302" s="120"/>
      <c r="O302" s="121"/>
      <c r="P302" s="24"/>
      <c r="Q302" s="122"/>
      <c r="R302" s="119"/>
      <c r="S302" s="22"/>
      <c r="T302" s="120"/>
      <c r="U302" s="120"/>
      <c r="V302" s="22"/>
      <c r="W302" s="22"/>
      <c r="X302" s="120"/>
      <c r="Y302" s="22"/>
      <c r="Z302" s="120"/>
      <c r="AA302" s="22"/>
      <c r="AB302" s="22"/>
      <c r="AC302" s="124"/>
      <c r="AD302" s="124"/>
      <c r="AE302" s="124"/>
      <c r="AF302" s="124"/>
      <c r="AG302" s="28"/>
      <c r="AH302" s="125"/>
      <c r="AI302" s="125"/>
      <c r="AJ302" s="125"/>
      <c r="AK302" s="28"/>
      <c r="AL302" s="120"/>
      <c r="AM302" s="120"/>
      <c r="AN302" s="120"/>
    </row>
    <row r="303" spans="1:40" x14ac:dyDescent="0.25">
      <c r="A303" s="117"/>
      <c r="B303" s="118"/>
      <c r="C303" s="119"/>
      <c r="D303" s="22" t="s">
        <v>3</v>
      </c>
      <c r="E303" s="120"/>
      <c r="F303" s="121"/>
      <c r="G303" s="121"/>
      <c r="H303" s="120"/>
      <c r="I303" s="120"/>
      <c r="J303" s="120"/>
      <c r="K303" s="120"/>
      <c r="L303" s="120"/>
      <c r="M303" s="120"/>
      <c r="N303" s="120"/>
      <c r="O303" s="121"/>
      <c r="P303" s="24"/>
      <c r="Q303" s="122"/>
      <c r="R303" s="119"/>
      <c r="S303" s="22"/>
      <c r="T303" s="120"/>
      <c r="U303" s="120"/>
      <c r="V303" s="22"/>
      <c r="W303" s="22"/>
      <c r="X303" s="120"/>
      <c r="Y303" s="22"/>
      <c r="Z303" s="120"/>
      <c r="AA303" s="22"/>
      <c r="AB303" s="22"/>
      <c r="AC303" s="124"/>
      <c r="AD303" s="124"/>
      <c r="AE303" s="124"/>
      <c r="AF303" s="124"/>
      <c r="AG303" s="28"/>
      <c r="AH303" s="125"/>
      <c r="AI303" s="125"/>
      <c r="AJ303" s="125"/>
      <c r="AK303" s="28"/>
      <c r="AL303" s="120"/>
      <c r="AM303" s="120"/>
      <c r="AN303" s="120"/>
    </row>
    <row r="304" spans="1:40" x14ac:dyDescent="0.25">
      <c r="A304" s="117"/>
      <c r="B304" s="118"/>
      <c r="C304" s="119"/>
      <c r="D304" s="22" t="s">
        <v>3</v>
      </c>
      <c r="E304" s="120"/>
      <c r="F304" s="121"/>
      <c r="G304" s="121"/>
      <c r="H304" s="120"/>
      <c r="I304" s="120"/>
      <c r="J304" s="120"/>
      <c r="K304" s="120"/>
      <c r="L304" s="120"/>
      <c r="M304" s="120"/>
      <c r="N304" s="120"/>
      <c r="O304" s="121"/>
      <c r="P304" s="24"/>
      <c r="Q304" s="122"/>
      <c r="R304" s="119"/>
      <c r="S304" s="22"/>
      <c r="T304" s="120"/>
      <c r="U304" s="120"/>
      <c r="V304" s="22"/>
      <c r="W304" s="22"/>
      <c r="X304" s="120"/>
      <c r="Y304" s="22"/>
      <c r="Z304" s="120"/>
      <c r="AA304" s="22"/>
      <c r="AB304" s="22"/>
      <c r="AC304" s="124"/>
      <c r="AD304" s="124"/>
      <c r="AE304" s="124"/>
      <c r="AF304" s="124"/>
      <c r="AG304" s="28"/>
      <c r="AH304" s="125"/>
      <c r="AI304" s="125"/>
      <c r="AJ304" s="125"/>
      <c r="AK304" s="28"/>
      <c r="AL304" s="120"/>
      <c r="AM304" s="120"/>
      <c r="AN304" s="120"/>
    </row>
    <row r="305" spans="1:40" x14ac:dyDescent="0.25">
      <c r="A305" s="117"/>
      <c r="B305" s="118"/>
      <c r="C305" s="119"/>
      <c r="D305" s="22" t="s">
        <v>3</v>
      </c>
      <c r="E305" s="120"/>
      <c r="F305" s="121"/>
      <c r="G305" s="121"/>
      <c r="H305" s="120"/>
      <c r="I305" s="120"/>
      <c r="J305" s="120"/>
      <c r="K305" s="120"/>
      <c r="L305" s="120"/>
      <c r="M305" s="120"/>
      <c r="N305" s="120"/>
      <c r="O305" s="121"/>
      <c r="P305" s="24"/>
      <c r="Q305" s="122"/>
      <c r="R305" s="119"/>
      <c r="S305" s="22"/>
      <c r="T305" s="120"/>
      <c r="U305" s="120"/>
      <c r="V305" s="22"/>
      <c r="W305" s="22"/>
      <c r="X305" s="120"/>
      <c r="Y305" s="22"/>
      <c r="Z305" s="120"/>
      <c r="AA305" s="22"/>
      <c r="AB305" s="22"/>
      <c r="AC305" s="124"/>
      <c r="AD305" s="124"/>
      <c r="AE305" s="124"/>
      <c r="AF305" s="124"/>
      <c r="AG305" s="28"/>
      <c r="AH305" s="125"/>
      <c r="AI305" s="125"/>
      <c r="AJ305" s="125"/>
      <c r="AK305" s="28"/>
      <c r="AL305" s="120"/>
      <c r="AM305" s="120"/>
      <c r="AN305" s="120"/>
    </row>
    <row r="306" spans="1:40" x14ac:dyDescent="0.25">
      <c r="A306" s="117"/>
      <c r="B306" s="118"/>
      <c r="C306" s="119"/>
      <c r="D306" s="22" t="s">
        <v>3</v>
      </c>
      <c r="E306" s="120"/>
      <c r="F306" s="121"/>
      <c r="G306" s="121"/>
      <c r="H306" s="120"/>
      <c r="I306" s="120"/>
      <c r="J306" s="120"/>
      <c r="K306" s="120"/>
      <c r="L306" s="120"/>
      <c r="M306" s="120"/>
      <c r="N306" s="120"/>
      <c r="O306" s="121"/>
      <c r="P306" s="24"/>
      <c r="Q306" s="122"/>
      <c r="R306" s="119"/>
      <c r="S306" s="22"/>
      <c r="T306" s="120"/>
      <c r="U306" s="120"/>
      <c r="V306" s="22"/>
      <c r="W306" s="22"/>
      <c r="X306" s="120"/>
      <c r="Y306" s="22"/>
      <c r="Z306" s="120"/>
      <c r="AA306" s="22"/>
      <c r="AB306" s="22"/>
      <c r="AC306" s="124"/>
      <c r="AD306" s="124"/>
      <c r="AE306" s="124"/>
      <c r="AF306" s="124"/>
      <c r="AG306" s="28"/>
      <c r="AH306" s="125"/>
      <c r="AI306" s="125"/>
      <c r="AJ306" s="125"/>
      <c r="AK306" s="28"/>
      <c r="AL306" s="120"/>
      <c r="AM306" s="120"/>
      <c r="AN306" s="120"/>
    </row>
    <row r="307" spans="1:40" x14ac:dyDescent="0.25">
      <c r="A307" s="117"/>
      <c r="B307" s="118"/>
      <c r="C307" s="119"/>
      <c r="D307" s="22" t="s">
        <v>3</v>
      </c>
      <c r="E307" s="120"/>
      <c r="F307" s="121"/>
      <c r="G307" s="121"/>
      <c r="H307" s="120"/>
      <c r="I307" s="120"/>
      <c r="J307" s="120"/>
      <c r="K307" s="120"/>
      <c r="L307" s="120"/>
      <c r="M307" s="120"/>
      <c r="N307" s="120"/>
      <c r="O307" s="121"/>
      <c r="P307" s="24"/>
      <c r="Q307" s="122"/>
      <c r="R307" s="119"/>
      <c r="S307" s="22"/>
      <c r="T307" s="120"/>
      <c r="U307" s="120"/>
      <c r="V307" s="22"/>
      <c r="W307" s="22"/>
      <c r="X307" s="120"/>
      <c r="Y307" s="22"/>
      <c r="Z307" s="120"/>
      <c r="AA307" s="22"/>
      <c r="AB307" s="22"/>
      <c r="AC307" s="124"/>
      <c r="AD307" s="124"/>
      <c r="AE307" s="124"/>
      <c r="AF307" s="124"/>
      <c r="AG307" s="28"/>
      <c r="AH307" s="125"/>
      <c r="AI307" s="125"/>
      <c r="AJ307" s="125"/>
      <c r="AK307" s="28"/>
      <c r="AL307" s="120"/>
      <c r="AM307" s="120"/>
      <c r="AN307" s="120"/>
    </row>
    <row r="308" spans="1:40" x14ac:dyDescent="0.25">
      <c r="A308" s="117"/>
      <c r="B308" s="118"/>
      <c r="C308" s="119"/>
      <c r="D308" s="22" t="s">
        <v>3</v>
      </c>
      <c r="E308" s="120"/>
      <c r="F308" s="121"/>
      <c r="G308" s="121"/>
      <c r="H308" s="120"/>
      <c r="I308" s="120"/>
      <c r="J308" s="120"/>
      <c r="K308" s="120"/>
      <c r="L308" s="120"/>
      <c r="M308" s="120"/>
      <c r="N308" s="120"/>
      <c r="O308" s="121"/>
      <c r="P308" s="24"/>
      <c r="Q308" s="122"/>
      <c r="R308" s="119"/>
      <c r="S308" s="22"/>
      <c r="T308" s="120"/>
      <c r="U308" s="120"/>
      <c r="V308" s="22"/>
      <c r="W308" s="22"/>
      <c r="X308" s="120"/>
      <c r="Y308" s="22"/>
      <c r="Z308" s="120"/>
      <c r="AA308" s="22"/>
      <c r="AB308" s="22"/>
      <c r="AC308" s="124"/>
      <c r="AD308" s="124"/>
      <c r="AE308" s="124"/>
      <c r="AF308" s="124"/>
      <c r="AG308" s="28"/>
      <c r="AH308" s="125"/>
      <c r="AI308" s="125"/>
      <c r="AJ308" s="125"/>
      <c r="AK308" s="28"/>
      <c r="AL308" s="120"/>
      <c r="AM308" s="120"/>
      <c r="AN308" s="120"/>
    </row>
    <row r="309" spans="1:40" x14ac:dyDescent="0.25">
      <c r="B309" s="28"/>
      <c r="C309" s="23"/>
      <c r="D309" s="22" t="s">
        <v>3</v>
      </c>
      <c r="E309" s="22"/>
      <c r="F309" s="24"/>
      <c r="G309" s="24"/>
      <c r="H309" s="22"/>
      <c r="I309" s="22"/>
      <c r="J309" s="22"/>
      <c r="K309" s="22"/>
      <c r="L309" s="22"/>
      <c r="M309" s="22"/>
      <c r="N309" s="22"/>
      <c r="O309" s="24"/>
      <c r="P309" s="24"/>
      <c r="Q309" s="25"/>
      <c r="R309" s="23"/>
      <c r="S309" s="22"/>
      <c r="T309" s="22"/>
      <c r="U309" s="22"/>
      <c r="V309" s="22"/>
      <c r="W309" s="22"/>
      <c r="X309" s="22"/>
      <c r="Y309" s="22"/>
      <c r="Z309" s="22"/>
      <c r="AA309" s="22"/>
      <c r="AB309" s="22"/>
      <c r="AC309" s="26"/>
      <c r="AD309" s="26"/>
      <c r="AE309" s="26"/>
      <c r="AF309" s="26"/>
      <c r="AG309" s="28"/>
      <c r="AH309" s="52"/>
      <c r="AI309" s="52"/>
      <c r="AJ309" s="52"/>
      <c r="AK309" s="28"/>
      <c r="AL309" s="22"/>
      <c r="AM309" s="22"/>
      <c r="AN309" s="22"/>
    </row>
    <row r="310" spans="1:40" x14ac:dyDescent="0.25">
      <c r="B310" s="28"/>
      <c r="C310" s="23"/>
      <c r="D310" s="22" t="s">
        <v>3</v>
      </c>
      <c r="E310" s="22"/>
      <c r="F310" s="24"/>
      <c r="G310" s="24"/>
      <c r="H310" s="22"/>
      <c r="I310" s="22"/>
      <c r="J310" s="22"/>
      <c r="K310" s="22"/>
      <c r="L310" s="22"/>
      <c r="M310" s="22"/>
      <c r="N310" s="22"/>
      <c r="O310" s="24"/>
      <c r="P310" s="24"/>
      <c r="Q310" s="25"/>
      <c r="R310" s="23"/>
      <c r="S310" s="22"/>
      <c r="T310" s="22"/>
      <c r="U310" s="22"/>
      <c r="V310" s="22"/>
      <c r="W310" s="22"/>
      <c r="X310" s="22"/>
      <c r="Y310" s="22"/>
      <c r="Z310" s="22"/>
      <c r="AA310" s="22"/>
      <c r="AB310" s="22"/>
      <c r="AC310" s="26"/>
      <c r="AD310" s="26"/>
      <c r="AE310" s="26"/>
      <c r="AF310" s="26"/>
      <c r="AG310" s="28"/>
      <c r="AH310" s="52"/>
      <c r="AI310" s="52"/>
      <c r="AJ310" s="52"/>
      <c r="AK310" s="28"/>
      <c r="AL310" s="22"/>
      <c r="AM310" s="22"/>
      <c r="AN310" s="22"/>
    </row>
    <row r="311" spans="1:40" x14ac:dyDescent="0.25">
      <c r="B311" s="22"/>
      <c r="C311" s="22"/>
      <c r="D311" s="22" t="s">
        <v>3</v>
      </c>
      <c r="E311" s="22"/>
      <c r="F311" s="24"/>
      <c r="G311" s="24"/>
      <c r="H311" s="22"/>
      <c r="I311" s="22"/>
      <c r="J311" s="22"/>
      <c r="K311" s="22"/>
      <c r="L311" s="22"/>
      <c r="M311" s="22"/>
      <c r="N311" s="22"/>
      <c r="O311" s="22"/>
      <c r="P311" s="22"/>
      <c r="Q311" s="25"/>
      <c r="R311" s="23"/>
      <c r="S311" s="22"/>
      <c r="T311" s="22"/>
      <c r="U311" s="22"/>
      <c r="V311" s="22"/>
      <c r="W311" s="22"/>
      <c r="X311" s="22"/>
      <c r="Y311" s="22"/>
      <c r="Z311" s="22"/>
      <c r="AA311" s="22"/>
      <c r="AB311" s="22"/>
      <c r="AC311" s="27"/>
      <c r="AD311" s="27"/>
      <c r="AE311" s="27"/>
      <c r="AF311" s="27"/>
      <c r="AG311" s="28"/>
      <c r="AH311" s="52"/>
      <c r="AI311" s="52"/>
      <c r="AJ311" s="52"/>
      <c r="AK311" s="28"/>
      <c r="AL311" s="22"/>
      <c r="AM311" s="22"/>
      <c r="AN311" s="22"/>
    </row>
    <row r="312" spans="1:40" x14ac:dyDescent="0.25">
      <c r="B312" s="22"/>
      <c r="C312" s="22"/>
      <c r="D312" s="22" t="s">
        <v>3</v>
      </c>
      <c r="E312" s="22"/>
      <c r="F312" s="24"/>
      <c r="G312" s="24"/>
      <c r="H312" s="22"/>
      <c r="I312" s="22"/>
      <c r="J312" s="22"/>
      <c r="K312" s="22"/>
      <c r="L312" s="22"/>
      <c r="M312" s="22"/>
      <c r="N312" s="22"/>
      <c r="O312" s="22"/>
      <c r="P312" s="22"/>
      <c r="Q312" s="25"/>
      <c r="R312" s="23"/>
      <c r="S312" s="22"/>
      <c r="T312" s="22"/>
      <c r="U312" s="22"/>
      <c r="V312" s="22"/>
      <c r="W312" s="22"/>
      <c r="X312" s="22"/>
      <c r="Y312" s="22"/>
      <c r="Z312" s="22"/>
      <c r="AA312" s="22"/>
      <c r="AB312" s="22"/>
      <c r="AC312" s="27"/>
      <c r="AD312" s="27"/>
      <c r="AE312" s="27"/>
      <c r="AF312" s="27"/>
      <c r="AG312" s="28"/>
      <c r="AH312" s="52"/>
      <c r="AI312" s="52"/>
      <c r="AJ312" s="52"/>
      <c r="AK312" s="28"/>
      <c r="AL312" s="22"/>
      <c r="AM312" s="22"/>
      <c r="AN312" s="22"/>
    </row>
  </sheetData>
  <customSheetViews>
    <customSheetView guid="{250915DF-0B97-45D7-B29D-7EED4C89C1C1}" scale="70" topLeftCell="A37">
      <pane xSplit="2" ySplit="11" topLeftCell="V147" activePane="bottomRight" state="frozen"/>
      <selection pane="bottomRight" activeCell="AB56" sqref="AB56:AB157"/>
      <pageMargins left="0.7" right="0.7" top="0.75" bottom="0.75" header="0.3" footer="0.3"/>
      <pageSetup orientation="portrait" horizontalDpi="300" verticalDpi="0" r:id="rId1"/>
    </customSheetView>
    <customSheetView guid="{D33AC7AF-C8AB-4CE9-94C7-9237011A5FC3}" scale="85" showAutoFilter="1" topLeftCell="Z100">
      <selection activeCell="AL123" sqref="AL123"/>
      <pageMargins left="0.7" right="0.7" top="0.75" bottom="0.75" header="0.3" footer="0.3"/>
      <pageSetup orientation="portrait" horizontalDpi="300" verticalDpi="0" r:id="rId2"/>
      <autoFilter ref="B47:AN312"/>
    </customSheetView>
    <customSheetView guid="{336B6883-2145-4B58-921E-CEC7185A847E}" scale="70" filter="1" showAutoFilter="1">
      <selection activeCell="I7" sqref="I7"/>
      <pageMargins left="0.7" right="0.7" top="0.75" bottom="0.75" header="0.3" footer="0.3"/>
      <pageSetup orientation="portrait" horizontalDpi="300" verticalDpi="0" r:id="rId3"/>
      <autoFilter ref="S47:S312">
        <filterColumn colId="0">
          <filters>
            <filter val="dac.luu-cong"/>
          </filters>
        </filterColumn>
      </autoFilter>
    </customSheetView>
    <customSheetView guid="{A2C66332-A809-458E-971B-FDB6D62C74C3}" scale="70" showAutoFilter="1" hiddenColumns="1" topLeftCell="U58">
      <selection activeCell="T93" sqref="T93:AM98"/>
      <pageMargins left="0.7" right="0.7" top="0.75" bottom="0.75" header="0.3" footer="0.3"/>
      <pageSetup orientation="portrait" horizontalDpi="300" verticalDpi="0" r:id="rId4"/>
      <autoFilter ref="B47:AN312"/>
    </customSheetView>
    <customSheetView guid="{7ECC2B8E-6A82-42F5-8AB0-4A51C54EA5EC}" scale="70" showAutoFilter="1" topLeftCell="U124">
      <selection activeCell="AN153" sqref="AN153"/>
      <pageMargins left="0.7" right="0.7" top="0.75" bottom="0.75" header="0.3" footer="0.3"/>
      <pageSetup orientation="portrait" horizontalDpi="300" verticalDpi="0" r:id="rId5"/>
      <autoFilter ref="B47:AN312"/>
    </customSheetView>
    <customSheetView guid="{3B3E6719-EACB-4D2C-89C1-05FFAB6020FD}" scale="85" topLeftCell="O62">
      <selection activeCell="U81" sqref="U81"/>
      <pageMargins left="0.7" right="0.7" top="0.75" bottom="0.75" header="0.3" footer="0.3"/>
      <pageSetup orientation="portrait" horizontalDpi="300" verticalDpi="0" r:id="rId6"/>
    </customSheetView>
  </customSheetViews>
  <conditionalFormatting sqref="AG48 AG52:AG101 AG103:AG312">
    <cfRule type="cellIs" dxfId="239" priority="51" operator="equal">
      <formula>"OK"</formula>
    </cfRule>
    <cfRule type="cellIs" dxfId="238" priority="52" operator="equal">
      <formula>"NG"</formula>
    </cfRule>
  </conditionalFormatting>
  <conditionalFormatting sqref="H4:H13">
    <cfRule type="cellIs" dxfId="237" priority="47" operator="equal">
      <formula>1</formula>
    </cfRule>
    <cfRule type="cellIs" dxfId="236" priority="48" operator="lessThan">
      <formula>1</formula>
    </cfRule>
  </conditionalFormatting>
  <conditionalFormatting sqref="H19:H28">
    <cfRule type="cellIs" dxfId="235" priority="41" operator="equal">
      <formula>1</formula>
    </cfRule>
    <cfRule type="cellIs" dxfId="234" priority="42" operator="lessThan">
      <formula>1</formula>
    </cfRule>
  </conditionalFormatting>
  <conditionalFormatting sqref="D14">
    <cfRule type="expression" dxfId="233" priority="40">
      <formula>$D$14=SUM($D$4:$D$13)</formula>
    </cfRule>
  </conditionalFormatting>
  <conditionalFormatting sqref="E14">
    <cfRule type="expression" dxfId="232" priority="39">
      <formula>$E$14=SUM($E$4:$E$13)</formula>
    </cfRule>
  </conditionalFormatting>
  <conditionalFormatting sqref="F14">
    <cfRule type="expression" dxfId="231" priority="38">
      <formula>$F$14=SUM($F$4:$F$13)</formula>
    </cfRule>
  </conditionalFormatting>
  <conditionalFormatting sqref="H29">
    <cfRule type="cellIs" dxfId="230" priority="31" operator="equal">
      <formula>1</formula>
    </cfRule>
    <cfRule type="cellIs" dxfId="229" priority="32" operator="lessThan">
      <formula>1</formula>
    </cfRule>
  </conditionalFormatting>
  <conditionalFormatting sqref="D29">
    <cfRule type="expression" dxfId="228" priority="30">
      <formula>$D$29=SUM($D$19:$D$28)</formula>
    </cfRule>
  </conditionalFormatting>
  <conditionalFormatting sqref="E29">
    <cfRule type="expression" dxfId="227" priority="29">
      <formula>$E$29=SUM($E$19:$E$28)</formula>
    </cfRule>
  </conditionalFormatting>
  <conditionalFormatting sqref="F29">
    <cfRule type="expression" dxfId="226" priority="35">
      <formula>$F$29=SUM($F$19:$F$28)</formula>
    </cfRule>
  </conditionalFormatting>
  <conditionalFormatting sqref="H34">
    <cfRule type="cellIs" dxfId="225" priority="21" operator="equal">
      <formula>1</formula>
    </cfRule>
    <cfRule type="cellIs" dxfId="224" priority="22" operator="lessThan">
      <formula>1</formula>
    </cfRule>
  </conditionalFormatting>
  <conditionalFormatting sqref="H35:H43">
    <cfRule type="cellIs" dxfId="223" priority="19" operator="equal">
      <formula>1</formula>
    </cfRule>
    <cfRule type="cellIs" dxfId="222" priority="20" operator="lessThan">
      <formula>1</formula>
    </cfRule>
  </conditionalFormatting>
  <conditionalFormatting sqref="H44">
    <cfRule type="cellIs" dxfId="221" priority="17" operator="equal">
      <formula>1</formula>
    </cfRule>
    <cfRule type="cellIs" dxfId="220" priority="18" operator="lessThan">
      <formula>1</formula>
    </cfRule>
  </conditionalFormatting>
  <conditionalFormatting sqref="AG49">
    <cfRule type="cellIs" dxfId="219" priority="12" operator="equal">
      <formula>"OK"</formula>
    </cfRule>
    <cfRule type="cellIs" dxfId="218" priority="13" operator="equal">
      <formula>"NG"</formula>
    </cfRule>
  </conditionalFormatting>
  <conditionalFormatting sqref="AG50">
    <cfRule type="cellIs" dxfId="217" priority="9" operator="equal">
      <formula>"OK"</formula>
    </cfRule>
    <cfRule type="cellIs" dxfId="216" priority="10" operator="equal">
      <formula>"NG"</formula>
    </cfRule>
  </conditionalFormatting>
  <conditionalFormatting sqref="AG51">
    <cfRule type="cellIs" dxfId="215" priority="6" operator="equal">
      <formula>"OK"</formula>
    </cfRule>
    <cfRule type="cellIs" dxfId="214" priority="7" operator="equal">
      <formula>"NG"</formula>
    </cfRule>
  </conditionalFormatting>
  <conditionalFormatting sqref="AG102">
    <cfRule type="cellIs" dxfId="213" priority="3" operator="equal">
      <formula>"OK"</formula>
    </cfRule>
    <cfRule type="cellIs" dxfId="212" priority="4" operator="equal">
      <formula>"NG"</formula>
    </cfRule>
  </conditionalFormatting>
  <dataValidations count="3">
    <dataValidation type="list" allowBlank="1" showInputMessage="1" showErrorMessage="1" sqref="K48:K143">
      <formula1>"""Auto"",""Manual"""</formula1>
    </dataValidation>
    <dataValidation type="list" allowBlank="1" showInputMessage="1" showErrorMessage="1" sqref="AG48:AG312">
      <formula1>"OK,NG"</formula1>
    </dataValidation>
    <dataValidation type="list" allowBlank="1" showInputMessage="1" showErrorMessage="1" sqref="AB48:AB312">
      <formula1>"YES,NO"</formula1>
    </dataValidation>
  </dataValidations>
  <pageMargins left="0.7" right="0.7" top="0.75" bottom="0.75" header="0.3" footer="0.3"/>
  <pageSetup orientation="portrait" horizontalDpi="300" verticalDpi="0" r:id="rId7"/>
  <legacyDrawing r:id="rId8"/>
  <extLst>
    <ext xmlns:x14="http://schemas.microsoft.com/office/spreadsheetml/2009/9/main" uri="{78C0D931-6437-407d-A8EE-F0AAD7539E65}">
      <x14:conditionalFormattings>
        <x14:conditionalFormatting xmlns:xm="http://schemas.microsoft.com/office/excel/2006/main">
          <x14:cfRule type="cellIs" priority="49" operator="greaterThanOrEqual" id="{EF07378C-0EBA-428F-A0B2-F4CD356377F4}">
            <xm:f>Table!$D$4</xm:f>
            <x14:dxf>
              <font>
                <color rgb="FF006100"/>
              </font>
              <fill>
                <patternFill>
                  <bgColor rgb="FFC6EFCE"/>
                </patternFill>
              </fill>
            </x14:dxf>
          </x14:cfRule>
          <x14:cfRule type="cellIs" priority="50" operator="lessThan" id="{B38BDB15-061E-4133-A7BA-7AA44A02A10B}">
            <xm:f>Table!$D$4</xm:f>
            <x14:dxf>
              <font>
                <color rgb="FF9C0006"/>
              </font>
              <fill>
                <patternFill>
                  <bgColor rgb="FFFFC7CE"/>
                </patternFill>
              </fill>
            </x14:dxf>
          </x14:cfRule>
          <xm:sqref>G4:G13</xm:sqref>
        </x14:conditionalFormatting>
        <x14:conditionalFormatting xmlns:xm="http://schemas.microsoft.com/office/excel/2006/main">
          <x14:cfRule type="cellIs" priority="43" operator="greaterThanOrEqual" id="{32FAAC68-9CBE-4694-89D9-1941F183634E}">
            <xm:f>Table!$C$4</xm:f>
            <x14:dxf>
              <font>
                <color rgb="FF006100"/>
              </font>
              <fill>
                <patternFill>
                  <bgColor rgb="FFC6EFCE"/>
                </patternFill>
              </fill>
            </x14:dxf>
          </x14:cfRule>
          <x14:cfRule type="cellIs" priority="44" operator="lessThan" id="{FB4CB170-EF47-4D63-ACD8-494EA43F0F3E}">
            <xm:f>Table!$C$4</xm:f>
            <x14:dxf>
              <font>
                <color rgb="FF9C0006"/>
              </font>
              <fill>
                <patternFill>
                  <bgColor rgb="FFFFC7CE"/>
                </patternFill>
              </fill>
            </x14:dxf>
          </x14:cfRule>
          <xm:sqref>G19:G28</xm:sqref>
        </x14:conditionalFormatting>
        <x14:conditionalFormatting xmlns:xm="http://schemas.microsoft.com/office/excel/2006/main">
          <x14:cfRule type="cellIs" priority="36" operator="greaterThanOrEqual" id="{8BA02261-D5AC-4D7D-8097-C6083852185B}">
            <xm:f>Table!$D$4</xm:f>
            <x14:dxf>
              <font>
                <color rgb="FF006100"/>
              </font>
              <fill>
                <patternFill>
                  <bgColor rgb="FFC6EFCE"/>
                </patternFill>
              </fill>
            </x14:dxf>
          </x14:cfRule>
          <x14:cfRule type="cellIs" priority="37" operator="lessThan" id="{D8F3BF24-40AD-4FB2-8BA7-426FDDABDE61}">
            <xm:f>Table!$D$4</xm:f>
            <x14:dxf>
              <font>
                <color rgb="FF9C0006"/>
              </font>
              <fill>
                <patternFill>
                  <bgColor rgb="FFFFC7CE"/>
                </patternFill>
              </fill>
            </x14:dxf>
          </x14:cfRule>
          <xm:sqref>G14</xm:sqref>
        </x14:conditionalFormatting>
        <x14:conditionalFormatting xmlns:xm="http://schemas.microsoft.com/office/excel/2006/main">
          <x14:cfRule type="cellIs" priority="33" operator="greaterThanOrEqual" id="{9D314E8F-3D85-4B49-9B85-68C1DBD552D5}">
            <xm:f>Table!$C$4</xm:f>
            <x14:dxf>
              <font>
                <color rgb="FF006100"/>
              </font>
              <fill>
                <patternFill>
                  <bgColor rgb="FFC6EFCE"/>
                </patternFill>
              </fill>
            </x14:dxf>
          </x14:cfRule>
          <x14:cfRule type="cellIs" priority="34" operator="lessThan" id="{08D23F66-4767-479F-8125-067518E86666}">
            <xm:f>Table!$C$4</xm:f>
            <x14:dxf>
              <font>
                <color rgb="FF9C0006"/>
              </font>
              <fill>
                <patternFill>
                  <bgColor rgb="FFFFC7CE"/>
                </patternFill>
              </fill>
            </x14:dxf>
          </x14:cfRule>
          <xm:sqref>G29</xm:sqref>
        </x14:conditionalFormatting>
        <x14:conditionalFormatting xmlns:xm="http://schemas.microsoft.com/office/excel/2006/main">
          <x14:cfRule type="cellIs" priority="27" operator="greaterThanOrEqual" id="{3F707884-64A9-4CBB-802E-A388093CBABB}">
            <xm:f>Table!$D$4</xm:f>
            <x14:dxf>
              <font>
                <color rgb="FF006100"/>
              </font>
              <fill>
                <patternFill>
                  <bgColor rgb="FFC6EFCE"/>
                </patternFill>
              </fill>
            </x14:dxf>
          </x14:cfRule>
          <x14:cfRule type="cellIs" priority="28" operator="lessThan" id="{33F37F2A-FB5C-4576-A292-6BB40A25DA62}">
            <xm:f>Table!$D$4</xm:f>
            <x14:dxf>
              <font>
                <color rgb="FF9C0006"/>
              </font>
              <fill>
                <patternFill>
                  <bgColor rgb="FFFFC7CE"/>
                </patternFill>
              </fill>
            </x14:dxf>
          </x14:cfRule>
          <xm:sqref>G44</xm:sqref>
        </x14:conditionalFormatting>
        <x14:conditionalFormatting xmlns:xm="http://schemas.microsoft.com/office/excel/2006/main">
          <x14:cfRule type="cellIs" priority="25" operator="greaterThanOrEqual" id="{E02FB0D9-1DE1-428B-9774-C38D67662F0E}">
            <xm:f>Table!$D$4</xm:f>
            <x14:dxf>
              <font>
                <color rgb="FF006100"/>
              </font>
              <fill>
                <patternFill>
                  <bgColor rgb="FFC6EFCE"/>
                </patternFill>
              </fill>
            </x14:dxf>
          </x14:cfRule>
          <x14:cfRule type="cellIs" priority="26" operator="lessThan" id="{AD89B918-D906-432B-B83C-4A60D15541E6}">
            <xm:f>Table!$D$4</xm:f>
            <x14:dxf>
              <font>
                <color rgb="FF9C0006"/>
              </font>
              <fill>
                <patternFill>
                  <bgColor rgb="FFFFC7CE"/>
                </patternFill>
              </fill>
            </x14:dxf>
          </x14:cfRule>
          <xm:sqref>G34</xm:sqref>
        </x14:conditionalFormatting>
        <x14:conditionalFormatting xmlns:xm="http://schemas.microsoft.com/office/excel/2006/main">
          <x14:cfRule type="cellIs" priority="23" operator="greaterThanOrEqual" id="{3F8A5248-9852-4C84-9674-EE3B2C175B2C}">
            <xm:f>Table!$D$4</xm:f>
            <x14:dxf>
              <font>
                <color rgb="FF006100"/>
              </font>
              <fill>
                <patternFill>
                  <bgColor rgb="FFC6EFCE"/>
                </patternFill>
              </fill>
            </x14:dxf>
          </x14:cfRule>
          <x14:cfRule type="cellIs" priority="24" operator="lessThan" id="{9CD216EC-B780-4F0D-98CC-C4CDDEE40D52}">
            <xm:f>Table!$D$4</xm:f>
            <x14:dxf>
              <font>
                <color rgb="FF9C0006"/>
              </font>
              <fill>
                <patternFill>
                  <bgColor rgb="FFFFC7CE"/>
                </patternFill>
              </fill>
            </x14:dxf>
          </x14:cfRule>
          <xm:sqref>G35:G43</xm:sqref>
        </x14:conditionalFormatting>
        <x14:conditionalFormatting xmlns:xm="http://schemas.microsoft.com/office/excel/2006/main">
          <x14:cfRule type="expression" priority="14" id="{D6B90FDC-77C9-41DC-8B3C-F976FF600DD4}">
            <xm:f>OR(AK48=Table!$C$36,AK48=Table!$C$37)</xm:f>
            <x14:dxf>
              <font>
                <color rgb="FF9C0006"/>
              </font>
              <fill>
                <patternFill>
                  <bgColor rgb="FFFFC7CE"/>
                </patternFill>
              </fill>
            </x14:dxf>
          </x14:cfRule>
          <xm:sqref>AK48 AK52:AK312</xm:sqref>
        </x14:conditionalFormatting>
        <x14:conditionalFormatting xmlns:xm="http://schemas.microsoft.com/office/excel/2006/main">
          <x14:cfRule type="expression" priority="11" id="{EABBBB38-C09D-4054-9E13-DFCFF60105F3}">
            <xm:f>OR(AK49=Table!$C$36,AK49=Table!$C$37)</xm:f>
            <x14:dxf>
              <font>
                <color rgb="FF9C0006"/>
              </font>
              <fill>
                <patternFill>
                  <bgColor rgb="FFFFC7CE"/>
                </patternFill>
              </fill>
            </x14:dxf>
          </x14:cfRule>
          <xm:sqref>AK49</xm:sqref>
        </x14:conditionalFormatting>
        <x14:conditionalFormatting xmlns:xm="http://schemas.microsoft.com/office/excel/2006/main">
          <x14:cfRule type="expression" priority="8" id="{79D863E4-922D-4708-96E7-5EC4EAC8B114}">
            <xm:f>OR(AK50=Table!$C$36,AK50=Table!$C$37)</xm:f>
            <x14:dxf>
              <font>
                <color rgb="FF9C0006"/>
              </font>
              <fill>
                <patternFill>
                  <bgColor rgb="FFFFC7CE"/>
                </patternFill>
              </fill>
            </x14:dxf>
          </x14:cfRule>
          <xm:sqref>AK50</xm:sqref>
        </x14:conditionalFormatting>
        <x14:conditionalFormatting xmlns:xm="http://schemas.microsoft.com/office/excel/2006/main">
          <x14:cfRule type="expression" priority="5" id="{6B284CC1-92CC-496C-B7C9-222442DB75B9}">
            <xm:f>OR(AK51=Table!$C$36,AK51=Table!$C$37)</xm:f>
            <x14:dxf>
              <font>
                <color rgb="FF9C0006"/>
              </font>
              <fill>
                <patternFill>
                  <bgColor rgb="FFFFC7CE"/>
                </patternFill>
              </fill>
            </x14:dxf>
          </x14:cfRule>
          <xm:sqref>AK51</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14:formula1>
            <xm:f>Table!$C$26:$C$32</xm:f>
          </x14:formula1>
          <xm:sqref>AA48:AA122 AA124:AA312</xm:sqref>
        </x14:dataValidation>
        <x14:dataValidation type="list" allowBlank="1" showInputMessage="1" showErrorMessage="1">
          <x14:formula1>
            <xm:f>Table!$C$8:$C$9</xm:f>
          </x14:formula1>
          <xm:sqref>D48:D312</xm:sqref>
        </x14:dataValidation>
        <x14:dataValidation type="list" allowBlank="1" showInputMessage="1" showErrorMessage="1">
          <x14:formula1>
            <xm:f>Table!$C$13:$C$22</xm:f>
          </x14:formula1>
          <xm:sqref>S48:S312</xm:sqref>
        </x14:dataValidation>
        <x14:dataValidation type="list" allowBlank="1" showInputMessage="1" showErrorMessage="1">
          <x14:formula1>
            <xm:f>Table!$C$36:$C$38</xm:f>
          </x14:formula1>
          <xm:sqref>AK48:AK312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50"/>
  </sheetPr>
  <dimension ref="A1:AK328"/>
  <sheetViews>
    <sheetView topLeftCell="G50" zoomScale="70" zoomScaleNormal="70" workbookViewId="0">
      <selection activeCell="V50" sqref="V1:V1048576"/>
    </sheetView>
  </sheetViews>
  <sheetFormatPr defaultRowHeight="15" x14ac:dyDescent="0.25"/>
  <cols>
    <col min="3" max="3" width="17" customWidth="1"/>
    <col min="5" max="5" width="37.7109375" customWidth="1"/>
    <col min="6" max="6" width="36.28515625" customWidth="1"/>
    <col min="7" max="7" width="15" customWidth="1"/>
    <col min="8" max="8" width="65.7109375" bestFit="1" customWidth="1"/>
    <col min="11" max="11" width="49.7109375" bestFit="1" customWidth="1"/>
    <col min="12" max="12" width="33.42578125" customWidth="1"/>
    <col min="13" max="13" width="38.140625" customWidth="1"/>
    <col min="24" max="24" width="19.28515625" bestFit="1" customWidth="1"/>
    <col min="25" max="25" width="17.42578125" bestFit="1" customWidth="1"/>
    <col min="26" max="26" width="16" bestFit="1" customWidth="1"/>
    <col min="27" max="28" width="15" bestFit="1" customWidth="1"/>
    <col min="30" max="30" width="7.7109375" bestFit="1" customWidth="1"/>
    <col min="31" max="31" width="4.42578125" bestFit="1" customWidth="1"/>
    <col min="32" max="32" width="12.5703125" customWidth="1"/>
    <col min="33" max="33" width="14.140625" customWidth="1"/>
    <col min="34" max="34" width="14" customWidth="1"/>
    <col min="35" max="36" width="43.42578125" customWidth="1"/>
  </cols>
  <sheetData>
    <row r="1" spans="1:8" x14ac:dyDescent="0.25">
      <c r="A1" s="1" t="s">
        <v>853</v>
      </c>
    </row>
    <row r="2" spans="1:8" x14ac:dyDescent="0.25">
      <c r="B2" s="1" t="s">
        <v>58</v>
      </c>
    </row>
    <row r="3" spans="1:8" x14ac:dyDescent="0.25">
      <c r="B3" s="2" t="s">
        <v>0</v>
      </c>
      <c r="C3" s="2" t="s">
        <v>8</v>
      </c>
      <c r="D3" s="2" t="s">
        <v>464</v>
      </c>
      <c r="E3" s="2" t="s">
        <v>59</v>
      </c>
      <c r="F3" s="2" t="s">
        <v>491</v>
      </c>
      <c r="G3" s="2" t="s">
        <v>23</v>
      </c>
      <c r="H3" s="4" t="s">
        <v>25</v>
      </c>
    </row>
    <row r="4" spans="1:8" x14ac:dyDescent="0.25">
      <c r="B4" s="3">
        <v>1</v>
      </c>
      <c r="C4" s="34" t="s">
        <v>6</v>
      </c>
      <c r="D4" s="73">
        <f>SUMIFS($T$63:$T$327,$D$63:$D$327,Table!$D$3,$P$63:$P$327,C4)</f>
        <v>1921.5</v>
      </c>
      <c r="E4" s="73">
        <f>SUMIFS($T$63:$T$327,$D$63:$D$327,Table!$D$3,$P$63:$P$327,C4)-SUM(SUMIFS($T$63:$T$327,$D$63:$D$327,Table!$D$3,$P$63:$P$327,C4,$X$63:$X$327,{"Ongoing","N/A",""}))</f>
        <v>1921.5</v>
      </c>
      <c r="F4" s="73">
        <f>1/8*(SUMIFS($W$63:$W$327,$D$63:$D$327,Table!$D$3,$P$63:$P$327,C4)-SUM(SUMIFS($W$63:$W$327,$D$63:$D$327,Table!$D$3,$P$63:$P$327,C4,$X$63:$X$327,{"Ongoing","N/A",""})))</f>
        <v>5.125</v>
      </c>
      <c r="G4" s="73">
        <f>IF(ISERROR(E4/(F4)),"N/A",E4/F4)</f>
        <v>374.92682926829269</v>
      </c>
      <c r="H4" s="74">
        <f>IF(ISERROR(E4/D4),"N/A",E4/D4)</f>
        <v>1</v>
      </c>
    </row>
    <row r="5" spans="1:8" x14ac:dyDescent="0.25">
      <c r="B5" s="3">
        <v>2</v>
      </c>
      <c r="C5" s="34" t="s">
        <v>70</v>
      </c>
      <c r="D5" s="73">
        <f>SUMIFS($T$63:$T$327,$D$63:$D$327,Table!$D$3,$P$63:$P$327,C5)</f>
        <v>2351.25</v>
      </c>
      <c r="E5" s="73">
        <f>SUMIFS($T$63:$T$327,$D$63:$D$327,Table!$D$3,$P$63:$P$327,C5)-SUM(SUMIFS($T$63:$T$327,$D$63:$D$327,Table!$D$3,$P$63:$P$327,C5,$X$63:$X$327,{"Ongoing","N/A",""}))</f>
        <v>2351.25</v>
      </c>
      <c r="F5" s="73">
        <f>1/8*(SUMIFS($W$63:$W$327,$D$63:$D$327,Table!$D$3,$P$63:$P$327,C5)-SUM(SUMIFS($W$63:$W$327,$D$63:$D$327,Table!$D$3,$P$63:$P$327,C5,$X$63:$X$327,{"Ongoing","N/A",""})))</f>
        <v>4</v>
      </c>
      <c r="G5" s="73">
        <f t="shared" ref="G5:G6" si="0">IF(ISERROR(E5/(F5)),"N/A",E5/F5)</f>
        <v>587.8125</v>
      </c>
      <c r="H5" s="74">
        <f t="shared" ref="H5:H14" si="1">IF(ISERROR(E5/D5),"N/A",E5/D5)</f>
        <v>1</v>
      </c>
    </row>
    <row r="6" spans="1:8" x14ac:dyDescent="0.25">
      <c r="B6" s="3">
        <v>3</v>
      </c>
      <c r="C6" s="34" t="s">
        <v>71</v>
      </c>
      <c r="D6" s="73">
        <f>SUMIFS($T$63:$T$327,$D$63:$D$327,Table!$D$3,$P$63:$P$327,C6)</f>
        <v>2614.5</v>
      </c>
      <c r="E6" s="73">
        <f>SUMIFS($T$63:$T$327,$D$63:$D$327,Table!$D$3,$P$63:$P$327,C6)-SUM(SUMIFS($T$63:$T$327,$D$63:$D$327,Table!$D$3,$P$63:$P$327,C6,$X$63:$X$327,{"Ongoing","N/A",""}))</f>
        <v>2614.5</v>
      </c>
      <c r="F6" s="73">
        <f>1/8*(SUMIFS($W$63:$W$327,$D$63:$D$327,Table!$D$3,$P$63:$P$327,C6)-SUM(SUMIFS($W$63:$W$327,$D$63:$D$327,Table!$D$3,$P$63:$P$327,C6,$X$63:$X$327,{"Ongoing","N/A",""})))</f>
        <v>5.75</v>
      </c>
      <c r="G6" s="73">
        <f t="shared" si="0"/>
        <v>454.69565217391306</v>
      </c>
      <c r="H6" s="74">
        <f t="shared" si="1"/>
        <v>1</v>
      </c>
    </row>
    <row r="7" spans="1:8" x14ac:dyDescent="0.25">
      <c r="B7" s="3">
        <v>4</v>
      </c>
      <c r="C7" s="34" t="s">
        <v>72</v>
      </c>
      <c r="D7" s="73">
        <f>SUMIFS($T$63:$T$327,$D$63:$D$327,Table!$D$3,$P$63:$P$327,C7)</f>
        <v>2155.5</v>
      </c>
      <c r="E7" s="73">
        <f>SUMIFS($T$63:$T$327,$D$63:$D$327,Table!$D$3,$P$63:$P$327,C7)-SUM(SUMIFS($T$63:$T$327,$D$63:$D$327,Table!$D$3,$P$63:$P$327,C7,$X$63:$X$327,{"Ongoing","N/A",""}))</f>
        <v>2155.5</v>
      </c>
      <c r="F7" s="73">
        <f>1/8*(SUMIFS($W$63:$W$327,$D$63:$D$327,Table!$D$3,$P$63:$P$327,C7)-SUM(SUMIFS($W$63:$W$327,$D$63:$D$327,Table!$D$3,$P$63:$P$327,C7,$X$63:$X$327,{"Ongoing","N/A",""})))</f>
        <v>5.25</v>
      </c>
      <c r="G7" s="73">
        <f t="shared" ref="G7:G13" si="2">IF(ISERROR(E7/(F7)),"N/A",E7/F7)</f>
        <v>410.57142857142856</v>
      </c>
      <c r="H7" s="74">
        <f t="shared" ref="H7:H13" si="3">IF(ISERROR(E7/D7),"N/A",E7/D7)</f>
        <v>1</v>
      </c>
    </row>
    <row r="8" spans="1:8" x14ac:dyDescent="0.25">
      <c r="B8" s="3">
        <v>5</v>
      </c>
      <c r="C8" s="34" t="s">
        <v>73</v>
      </c>
      <c r="D8" s="73">
        <f>SUMIFS($T$63:$T$327,$D$63:$D$327,Table!$D$3,$P$63:$P$327,C8)</f>
        <v>0</v>
      </c>
      <c r="E8" s="73">
        <f>SUMIFS($T$63:$T$327,$D$63:$D$327,Table!$D$3,$P$63:$P$327,C8)-SUM(SUMIFS($T$63:$T$327,$D$63:$D$327,Table!$D$3,$P$63:$P$327,C8,$X$63:$X$327,{"Ongoing","N/A",""}))</f>
        <v>0</v>
      </c>
      <c r="F8" s="73">
        <f>1/8*(SUMIFS($W$63:$W$327,$D$63:$D$327,Table!$D$3,$P$63:$P$327,C8)-SUM(SUMIFS($W$63:$W$327,$D$63:$D$327,Table!$D$3,$P$63:$P$327,C8,$X$63:$X$327,{"Ongoing","N/A",""})))</f>
        <v>0</v>
      </c>
      <c r="G8" s="73" t="str">
        <f t="shared" si="2"/>
        <v>N/A</v>
      </c>
      <c r="H8" s="74" t="str">
        <f t="shared" si="3"/>
        <v>N/A</v>
      </c>
    </row>
    <row r="9" spans="1:8" x14ac:dyDescent="0.25">
      <c r="B9" s="3">
        <v>6</v>
      </c>
      <c r="C9" s="34" t="s">
        <v>74</v>
      </c>
      <c r="D9" s="73">
        <f>SUMIFS($T$63:$T$327,$D$63:$D$327,Table!$D$3,$P$63:$P$327,C9)</f>
        <v>0</v>
      </c>
      <c r="E9" s="73">
        <f>SUMIFS($T$63:$T$327,$D$63:$D$327,Table!$D$3,$P$63:$P$327,C9)-SUM(SUMIFS($T$63:$T$327,$D$63:$D$327,Table!$D$3,$P$63:$P$327,C9,$X$63:$X$327,{"Ongoing","N/A",""}))</f>
        <v>0</v>
      </c>
      <c r="F9" s="73">
        <f>1/8*(SUMIFS($W$63:$W$327,$D$63:$D$327,Table!$D$3,$P$63:$P$327,C9)-SUM(SUMIFS($W$63:$W$327,$D$63:$D$327,Table!$D$3,$P$63:$P$327,C9,$X$63:$X$327,{"Ongoing","N/A",""})))</f>
        <v>0</v>
      </c>
      <c r="G9" s="73" t="str">
        <f t="shared" si="2"/>
        <v>N/A</v>
      </c>
      <c r="H9" s="74" t="str">
        <f t="shared" si="3"/>
        <v>N/A</v>
      </c>
    </row>
    <row r="10" spans="1:8" x14ac:dyDescent="0.25">
      <c r="B10" s="3">
        <v>7</v>
      </c>
      <c r="C10" s="34" t="s">
        <v>75</v>
      </c>
      <c r="D10" s="73">
        <f>SUMIFS($T$63:$T$327,$D$63:$D$327,Table!$D$3,$P$63:$P$327,C10)</f>
        <v>0</v>
      </c>
      <c r="E10" s="73">
        <f>SUMIFS($T$63:$T$327,$D$63:$D$327,Table!$D$3,$P$63:$P$327,C10)-SUM(SUMIFS($T$63:$T$327,$D$63:$D$327,Table!$D$3,$P$63:$P$327,C10,$X$63:$X$327,{"Ongoing","N/A",""}))</f>
        <v>0</v>
      </c>
      <c r="F10" s="73">
        <f>1/8*(SUMIFS($W$63:$W$327,$D$63:$D$327,Table!$D$3,$P$63:$P$327,C10)-SUM(SUMIFS($W$63:$W$327,$D$63:$D$327,Table!$D$3,$P$63:$P$327,C10,$X$63:$X$327,{"Ongoing","N/A",""})))</f>
        <v>0</v>
      </c>
      <c r="G10" s="73" t="str">
        <f t="shared" si="2"/>
        <v>N/A</v>
      </c>
      <c r="H10" s="74" t="str">
        <f t="shared" si="3"/>
        <v>N/A</v>
      </c>
    </row>
    <row r="11" spans="1:8" x14ac:dyDescent="0.25">
      <c r="B11" s="3">
        <v>8</v>
      </c>
      <c r="C11" s="34" t="s">
        <v>76</v>
      </c>
      <c r="D11" s="73">
        <f>SUMIFS($T$63:$T$327,$D$63:$D$327,Table!$D$3,$P$63:$P$327,C11)</f>
        <v>0</v>
      </c>
      <c r="E11" s="73">
        <f>SUMIFS($T$63:$T$327,$D$63:$D$327,Table!$D$3,$P$63:$P$327,C11)-SUM(SUMIFS($T$63:$T$327,$D$63:$D$327,Table!$D$3,$P$63:$P$327,C11,$X$63:$X$327,{"Ongoing","N/A",""}))</f>
        <v>0</v>
      </c>
      <c r="F11" s="73">
        <f>1/8*(SUMIFS($W$63:$W$327,$D$63:$D$327,Table!$D$3,$P$63:$P$327,C11)-SUM(SUMIFS($W$63:$W$327,$D$63:$D$327,Table!$D$3,$P$63:$P$327,C11,$X$63:$X$327,{"Ongoing","N/A",""})))</f>
        <v>0</v>
      </c>
      <c r="G11" s="73" t="str">
        <f t="shared" si="2"/>
        <v>N/A</v>
      </c>
      <c r="H11" s="74" t="str">
        <f t="shared" si="3"/>
        <v>N/A</v>
      </c>
    </row>
    <row r="12" spans="1:8" x14ac:dyDescent="0.25">
      <c r="B12" s="3">
        <v>9</v>
      </c>
      <c r="C12" s="34" t="s">
        <v>931</v>
      </c>
      <c r="D12" s="73">
        <f>SUMIFS($T$63:$T$327,$D$63:$D$327,Table!$D$3,$P$63:$P$327,C12)</f>
        <v>292.5</v>
      </c>
      <c r="E12" s="73">
        <f>SUMIFS($T$63:$T$327,$D$63:$D$327,Table!$D$3,$P$63:$P$327,C12)-SUM(SUMIFS($T$63:$T$327,$D$63:$D$327,Table!$D$3,$P$63:$P$327,C12,$X$63:$X$327,{"Ongoing","N/A",""}))</f>
        <v>292.5</v>
      </c>
      <c r="F12" s="73">
        <f>1/8*(SUMIFS($W$63:$W$327,$D$63:$D$327,Table!$D$3,$P$63:$P$327,C12)-SUM(SUMIFS($W$63:$W$327,$D$63:$D$327,Table!$D$3,$P$63:$P$327,C12,$X$63:$X$327,{"Ongoing","N/A",""})))</f>
        <v>0.625</v>
      </c>
      <c r="G12" s="73">
        <f t="shared" si="2"/>
        <v>468</v>
      </c>
      <c r="H12" s="74">
        <f t="shared" si="3"/>
        <v>1</v>
      </c>
    </row>
    <row r="13" spans="1:8" x14ac:dyDescent="0.25">
      <c r="B13" s="3">
        <v>10</v>
      </c>
      <c r="C13" s="34" t="s">
        <v>932</v>
      </c>
      <c r="D13" s="73">
        <f>SUMIFS($T$63:$T$327,$D$63:$D$327,Table!$D$3,$P$63:$P$327,C13)</f>
        <v>247.5</v>
      </c>
      <c r="E13" s="73">
        <f>SUMIFS($T$63:$T$327,$D$63:$D$327,Table!$D$3,$P$63:$P$327,C13)-SUM(SUMIFS($T$63:$T$327,$D$63:$D$327,Table!$D$3,$P$63:$P$327,C13,$X$63:$X$327,{"Ongoing","N/A",""}))</f>
        <v>247.5</v>
      </c>
      <c r="F13" s="73">
        <f>1/8*(SUMIFS($W$63:$W$327,$D$63:$D$327,Table!$D$3,$P$63:$P$327,C13)-SUM(SUMIFS($W$63:$W$327,$D$63:$D$327,Table!$D$3,$P$63:$P$327,C13,$X$63:$X$327,{"Ongoing","N/A",""})))</f>
        <v>0.55000000000000004</v>
      </c>
      <c r="G13" s="73">
        <f t="shared" si="2"/>
        <v>449.99999999999994</v>
      </c>
      <c r="H13" s="74">
        <f t="shared" si="3"/>
        <v>1</v>
      </c>
    </row>
    <row r="14" spans="1:8" x14ac:dyDescent="0.25">
      <c r="B14" s="2" t="s">
        <v>284</v>
      </c>
      <c r="C14" s="33"/>
      <c r="D14" s="75">
        <f>SUMIFS($T$63:$T$327,$D$63:$D$327,Table!$D$3)</f>
        <v>9582.75</v>
      </c>
      <c r="E14" s="75">
        <f>SUMIFS($T$63:$T$327,$D$63:$D$327,Table!$D$3)-SUM(SUMIFS($T$63:$T$327,$D$63:$D$327,Table!$D$3,$X$63:$X$327,{"Ongoing","N/A",""}))</f>
        <v>9582.75</v>
      </c>
      <c r="F14" s="75">
        <f>1/8*(SUMIFS($W$63:$W$327,$D$63:$D$327,Table!$D$3)-SUM(SUMIFS($W$63:$W$327,$D$63:$D$327,Table!$D$3,$X$63:$X$327,{"Ongoing","N/A",""})))</f>
        <v>21.299999999999997</v>
      </c>
      <c r="G14" s="73">
        <f>IF(ISERROR(E14/(F14)),"N/A",E14/F14)</f>
        <v>449.89436619718316</v>
      </c>
      <c r="H14" s="74">
        <f t="shared" si="1"/>
        <v>1</v>
      </c>
    </row>
    <row r="17" spans="2:12" x14ac:dyDescent="0.25">
      <c r="B17" s="1" t="s">
        <v>57</v>
      </c>
    </row>
    <row r="18" spans="2:12" x14ac:dyDescent="0.25">
      <c r="B18" s="2" t="s">
        <v>0</v>
      </c>
      <c r="C18" s="2" t="s">
        <v>8</v>
      </c>
      <c r="D18" s="2" t="s">
        <v>464</v>
      </c>
      <c r="E18" s="2" t="s">
        <v>59</v>
      </c>
      <c r="F18" s="2" t="s">
        <v>491</v>
      </c>
      <c r="G18" s="2" t="s">
        <v>23</v>
      </c>
      <c r="H18" s="4" t="s">
        <v>25</v>
      </c>
    </row>
    <row r="19" spans="2:12" x14ac:dyDescent="0.25">
      <c r="B19" s="3">
        <v>1</v>
      </c>
      <c r="C19" s="34" t="s">
        <v>6</v>
      </c>
      <c r="D19" s="73">
        <f>SUMIFS($T$63:$T$327,$D$63:$D$327,Table!$C$3,$P$63:$P$327,C19)</f>
        <v>2099.425999999999</v>
      </c>
      <c r="E19" s="73">
        <f>SUMIFS($U$63:$U$327,$D$63:$D$327,Table!$C$3,$P$63:$P$327,C19)-SUM(SUMIFS($U$63:$U$327,$D$63:$D$327,Table!$C$3,$P$63:$P$327,C19,$X$63:$X$327,{"Ongoing","N/A",""}))</f>
        <v>2099.425999999999</v>
      </c>
      <c r="F19" s="73">
        <f>1/8*(SUMIFS($W$63:$W$327,$D$63:$D$327,Table!$C$3,$P$63:$P$327,C19)-SUM(SUMIFS($W$63:$W$327,$D$63:$D$327,Table!$C$3,$P$63:$P$327,C19,$X$63:$X$327,{"Ongoing","N/A",""})))</f>
        <v>17.5</v>
      </c>
      <c r="G19" s="73">
        <f>IF(ISERROR(E19/(F19)),"N/A",E19/F19)</f>
        <v>119.96719999999995</v>
      </c>
      <c r="H19" s="74">
        <f>IF(ISERROR(E19/D19),"N/A",E19/D19)</f>
        <v>1</v>
      </c>
    </row>
    <row r="20" spans="2:12" x14ac:dyDescent="0.25">
      <c r="B20" s="3">
        <v>2</v>
      </c>
      <c r="C20" s="34" t="s">
        <v>70</v>
      </c>
      <c r="D20" s="73">
        <f>SUMIFS($T$63:$T$327,$D$63:$D$327,Table!$C$3,$P$63:$P$327,C20)</f>
        <v>2207.7339999999995</v>
      </c>
      <c r="E20" s="73">
        <f>SUMIFS($U$63:$U$327,$D$63:$D$327,Table!$C$3,$P$63:$P$327,C20)-SUM(SUMIFS($U$63:$U$327,$D$63:$D$327,Table!$C$3,$P$63:$P$327,C20,$X$63:$X$327,{"Ongoing","N/A",""}))</f>
        <v>2207.7339999999995</v>
      </c>
      <c r="F20" s="73">
        <f>1/8*(SUMIFS($W$63:$W$327,$D$63:$D$327,Table!$C$3,$P$63:$P$327,C20)-SUM(SUMIFS($W$63:$W$327,$D$63:$D$327,Table!$C$3,$P$63:$P$327,C20,$X$63:$X$327,{"Ongoing","N/A",""})))</f>
        <v>15.750000000000002</v>
      </c>
      <c r="G20" s="73">
        <f t="shared" ref="G20:G29" si="4">IF(ISERROR(E20/(F20)),"N/A",E20/F20)</f>
        <v>140.17358730158725</v>
      </c>
      <c r="H20" s="74">
        <f t="shared" ref="H20:H29" si="5">IF(ISERROR(E20/D20),"N/A",E20/D20)</f>
        <v>1</v>
      </c>
    </row>
    <row r="21" spans="2:12" x14ac:dyDescent="0.25">
      <c r="B21" s="3">
        <v>3</v>
      </c>
      <c r="C21" s="34" t="s">
        <v>71</v>
      </c>
      <c r="D21" s="73">
        <f>SUMIFS($T$63:$T$327,$D$63:$D$327,Table!$C$3,$P$63:$P$327,C21)</f>
        <v>1347.6160000000002</v>
      </c>
      <c r="E21" s="73">
        <f>SUMIFS($U$63:$U$327,$D$63:$D$327,Table!$C$3,$P$63:$P$327,C21)-SUM(SUMIFS($U$63:$U$327,$D$63:$D$327,Table!$C$3,$P$63:$P$327,C21,$X$63:$X$327,{"Ongoing","N/A",""}))</f>
        <v>1347.6160000000002</v>
      </c>
      <c r="F21" s="73">
        <f>1/8*(SUMIFS($W$63:$W$327,$D$63:$D$327,Table!$C$3,$P$63:$P$327,C21)-SUM(SUMIFS($W$63:$W$327,$D$63:$D$327,Table!$C$3,$P$63:$P$327,C21,$X$63:$X$327,{"Ongoing","N/A",""})))</f>
        <v>12.875</v>
      </c>
      <c r="G21" s="73">
        <f t="shared" ref="G21:G28" si="6">IF(ISERROR(E21/(F21)),"N/A",E21/F21)</f>
        <v>104.66920388349516</v>
      </c>
      <c r="H21" s="74">
        <f t="shared" ref="H21:H28" si="7">IF(ISERROR(E21/D21),"N/A",E21/D21)</f>
        <v>1</v>
      </c>
    </row>
    <row r="22" spans="2:12" x14ac:dyDescent="0.25">
      <c r="B22" s="3">
        <v>4</v>
      </c>
      <c r="C22" s="34" t="s">
        <v>72</v>
      </c>
      <c r="D22" s="73">
        <f>SUMIFS($T$63:$T$327,$D$63:$D$327,Table!$C$3,$P$63:$P$327,C22)</f>
        <v>2046.5319999999995</v>
      </c>
      <c r="E22" s="73">
        <f>SUMIFS($U$63:$U$327,$D$63:$D$327,Table!$C$3,$P$63:$P$327,C22)-SUM(SUMIFS($U$63:$U$327,$D$63:$D$327,Table!$C$3,$P$63:$P$327,C22,$X$63:$X$327,{"Ongoing","N/A",""}))</f>
        <v>2046.5319999999995</v>
      </c>
      <c r="F22" s="73">
        <f>1/8*(SUMIFS($W$63:$W$327,$D$63:$D$327,Table!$C$3,$P$63:$P$327,C22)-SUM(SUMIFS($W$63:$W$327,$D$63:$D$327,Table!$C$3,$P$63:$P$327,C22,$X$63:$X$327,{"Ongoing","N/A",""})))</f>
        <v>15.625</v>
      </c>
      <c r="G22" s="73">
        <f t="shared" si="6"/>
        <v>130.97804799999997</v>
      </c>
      <c r="H22" s="74">
        <f t="shared" si="7"/>
        <v>1</v>
      </c>
    </row>
    <row r="23" spans="2:12" x14ac:dyDescent="0.25">
      <c r="B23" s="3">
        <v>5</v>
      </c>
      <c r="C23" s="34" t="s">
        <v>73</v>
      </c>
      <c r="D23" s="73">
        <f>SUMIFS($T$63:$T$327,$D$63:$D$327,Table!$C$3,$P$63:$P$327,C23)</f>
        <v>0</v>
      </c>
      <c r="E23" s="73">
        <f>SUMIFS($U$63:$U$327,$D$63:$D$327,Table!$C$3,$P$63:$P$327,C23)-SUM(SUMIFS($U$63:$U$327,$D$63:$D$327,Table!$C$3,$P$63:$P$327,C23,$X$63:$X$327,{"Ongoing","N/A",""}))</f>
        <v>0</v>
      </c>
      <c r="F23" s="73">
        <f>1/8*(SUMIFS($W$63:$W$327,$D$63:$D$327,Table!$C$3,$P$63:$P$327,C23)-SUM(SUMIFS($W$63:$W$327,$D$63:$D$327,Table!$C$3,$P$63:$P$327,C23,$X$63:$X$327,{"Ongoing","N/A",""})))</f>
        <v>0</v>
      </c>
      <c r="G23" s="73" t="str">
        <f t="shared" si="6"/>
        <v>N/A</v>
      </c>
      <c r="H23" s="74" t="str">
        <f t="shared" si="7"/>
        <v>N/A</v>
      </c>
    </row>
    <row r="24" spans="2:12" x14ac:dyDescent="0.25">
      <c r="B24" s="3">
        <v>6</v>
      </c>
      <c r="C24" s="34" t="s">
        <v>74</v>
      </c>
      <c r="D24" s="73">
        <f>SUMIFS($T$63:$T$327,$D$63:$D$327,Table!$C$3,$P$63:$P$327,C24)</f>
        <v>0</v>
      </c>
      <c r="E24" s="73">
        <f>SUMIFS($U$63:$U$327,$D$63:$D$327,Table!$C$3,$P$63:$P$327,C24)-SUM(SUMIFS($U$63:$U$327,$D$63:$D$327,Table!$C$3,$P$63:$P$327,C24,$X$63:$X$327,{"Ongoing","N/A",""}))</f>
        <v>0</v>
      </c>
      <c r="F24" s="73">
        <f>1/8*(SUMIFS($W$63:$W$327,$D$63:$D$327,Table!$C$3,$P$63:$P$327,C24)-SUM(SUMIFS($W$63:$W$327,$D$63:$D$327,Table!$C$3,$P$63:$P$327,C24,$X$63:$X$327,{"Ongoing","N/A",""})))</f>
        <v>0</v>
      </c>
      <c r="G24" s="73" t="str">
        <f t="shared" si="6"/>
        <v>N/A</v>
      </c>
      <c r="H24" s="74" t="str">
        <f t="shared" si="7"/>
        <v>N/A</v>
      </c>
    </row>
    <row r="25" spans="2:12" x14ac:dyDescent="0.25">
      <c r="B25" s="3">
        <v>7</v>
      </c>
      <c r="C25" s="34" t="s">
        <v>75</v>
      </c>
      <c r="D25" s="73">
        <f>SUMIFS($T$63:$T$327,$D$63:$D$327,Table!$C$3,$P$63:$P$327,C25)</f>
        <v>0</v>
      </c>
      <c r="E25" s="73">
        <f>SUMIFS($U$63:$U$327,$D$63:$D$327,Table!$C$3,$P$63:$P$327,C25)-SUM(SUMIFS($U$63:$U$327,$D$63:$D$327,Table!$C$3,$P$63:$P$327,C25,$X$63:$X$327,{"Ongoing","N/A",""}))</f>
        <v>0</v>
      </c>
      <c r="F25" s="73">
        <f>1/8*(SUMIFS($W$63:$W$327,$D$63:$D$327,Table!$C$3,$P$63:$P$327,C25)-SUM(SUMIFS($W$63:$W$327,$D$63:$D$327,Table!$C$3,$P$63:$P$327,C25,$X$63:$X$327,{"Ongoing","N/A",""})))</f>
        <v>0</v>
      </c>
      <c r="G25" s="73" t="str">
        <f t="shared" si="6"/>
        <v>N/A</v>
      </c>
      <c r="H25" s="74" t="str">
        <f t="shared" si="7"/>
        <v>N/A</v>
      </c>
    </row>
    <row r="26" spans="2:12" x14ac:dyDescent="0.25">
      <c r="B26" s="3">
        <v>8</v>
      </c>
      <c r="C26" s="34" t="s">
        <v>76</v>
      </c>
      <c r="D26" s="73">
        <f>SUMIFS($T$63:$T$327,$D$63:$D$327,Table!$C$3,$P$63:$P$327,C26)</f>
        <v>0</v>
      </c>
      <c r="E26" s="73">
        <f>SUMIFS($U$63:$U$327,$D$63:$D$327,Table!$C$3,$P$63:$P$327,C26)-SUM(SUMIFS($U$63:$U$327,$D$63:$D$327,Table!$C$3,$P$63:$P$327,C26,$X$63:$X$327,{"Ongoing","N/A",""}))</f>
        <v>0</v>
      </c>
      <c r="F26" s="73">
        <f>1/8*(SUMIFS($W$63:$W$327,$D$63:$D$327,Table!$C$3,$P$63:$P$327,C26)-SUM(SUMIFS($W$63:$W$327,$D$63:$D$327,Table!$C$3,$P$63:$P$327,C26,$X$63:$X$327,{"Ongoing","N/A",""})))</f>
        <v>0</v>
      </c>
      <c r="G26" s="73" t="str">
        <f t="shared" si="6"/>
        <v>N/A</v>
      </c>
      <c r="H26" s="74" t="str">
        <f t="shared" si="7"/>
        <v>N/A</v>
      </c>
    </row>
    <row r="27" spans="2:12" x14ac:dyDescent="0.25">
      <c r="B27" s="3">
        <v>9</v>
      </c>
      <c r="C27" s="34" t="s">
        <v>931</v>
      </c>
      <c r="D27" s="73">
        <f>SUMIFS($T$63:$T$327,$D$63:$D$327,Table!$C$3,$P$63:$P$327,C27)</f>
        <v>0</v>
      </c>
      <c r="E27" s="73">
        <f>SUMIFS($U$63:$U$327,$D$63:$D$327,Table!$C$3,$P$63:$P$327,C27)-SUM(SUMIFS($U$63:$U$327,$D$63:$D$327,Table!$C$3,$P$63:$P$327,C27,$X$63:$X$327,{"Ongoing","N/A",""}))</f>
        <v>0</v>
      </c>
      <c r="F27" s="73">
        <f>1/8*(SUMIFS($W$63:$W$327,$D$63:$D$327,Table!$C$3,$P$63:$P$327,C27)-SUM(SUMIFS($W$63:$W$327,$D$63:$D$327,Table!$C$3,$P$63:$P$327,C27,$X$63:$X$327,{"Ongoing","N/A",""})))</f>
        <v>0</v>
      </c>
      <c r="G27" s="73" t="str">
        <f t="shared" si="6"/>
        <v>N/A</v>
      </c>
      <c r="H27" s="74" t="str">
        <f t="shared" si="7"/>
        <v>N/A</v>
      </c>
    </row>
    <row r="28" spans="2:12" x14ac:dyDescent="0.25">
      <c r="B28" s="3">
        <v>10</v>
      </c>
      <c r="C28" s="34" t="s">
        <v>932</v>
      </c>
      <c r="D28" s="73">
        <f>SUMIFS($T$63:$T$327,$D$63:$D$327,Table!$C$3,$P$63:$P$327,C28)</f>
        <v>0</v>
      </c>
      <c r="E28" s="73">
        <f>SUMIFS($U$63:$U$327,$D$63:$D$327,Table!$C$3,$P$63:$P$327,C28)-SUM(SUMIFS($U$63:$U$327,$D$63:$D$327,Table!$C$3,$P$63:$P$327,C28,$X$63:$X$327,{"Ongoing","N/A",""}))</f>
        <v>0</v>
      </c>
      <c r="F28" s="73">
        <f>1/8*(SUMIFS($W$63:$W$327,$D$63:$D$327,Table!$C$3,$P$63:$P$327,C28)-SUM(SUMIFS($W$63:$W$327,$D$63:$D$327,Table!$C$3,$P$63:$P$327,C28,$X$63:$X$327,{"Ongoing","N/A",""})))</f>
        <v>0</v>
      </c>
      <c r="G28" s="73" t="str">
        <f t="shared" si="6"/>
        <v>N/A</v>
      </c>
      <c r="H28" s="74" t="str">
        <f t="shared" si="7"/>
        <v>N/A</v>
      </c>
    </row>
    <row r="29" spans="2:12" x14ac:dyDescent="0.25">
      <c r="B29" s="2" t="s">
        <v>284</v>
      </c>
      <c r="C29" s="33"/>
      <c r="D29" s="75">
        <f>ROUND(SUMIFS($T$63:$T$327,$D$63:$D$327,Table!$C$3),3)</f>
        <v>7701.308</v>
      </c>
      <c r="E29" s="75">
        <f>ROUND(SUMIFS($T$63:$T$327,$D$63:$D$327,Table!$C$3)-SUM(SUMIFS($T$63:$T$327,$D$63:$D$327,Table!$C$3,$X$63:$X$327,{"Ongoing","N/A",""})),3)</f>
        <v>7701.308</v>
      </c>
      <c r="F29" s="75">
        <f>1/8*(SUMIFS($W$63:$W$327,$D$63:$D$327,Table!$C$3)-SUM(SUMIFS($W$63:$W$327,$D$63:$D$327,Table!$C$3,$X$63:$X$327,{"Ongoing","N/A",""})))</f>
        <v>61.749999999999993</v>
      </c>
      <c r="G29" s="73">
        <f t="shared" si="4"/>
        <v>124.71753846153848</v>
      </c>
      <c r="H29" s="74">
        <f t="shared" si="5"/>
        <v>1</v>
      </c>
      <c r="L29" s="6"/>
    </row>
    <row r="31" spans="2:12" ht="19.5" customHeight="1" x14ac:dyDescent="0.25"/>
    <row r="32" spans="2:12" x14ac:dyDescent="0.25">
      <c r="B32" s="1" t="s">
        <v>285</v>
      </c>
    </row>
    <row r="33" spans="2:8" x14ac:dyDescent="0.25">
      <c r="B33" s="2" t="s">
        <v>0</v>
      </c>
      <c r="C33" s="2" t="s">
        <v>8</v>
      </c>
      <c r="D33" s="2" t="s">
        <v>464</v>
      </c>
      <c r="E33" s="2" t="s">
        <v>59</v>
      </c>
      <c r="F33" s="2" t="s">
        <v>226</v>
      </c>
      <c r="G33" s="2" t="s">
        <v>23</v>
      </c>
      <c r="H33" s="4" t="s">
        <v>25</v>
      </c>
    </row>
    <row r="34" spans="2:8" x14ac:dyDescent="0.25">
      <c r="B34" s="3">
        <v>1</v>
      </c>
      <c r="C34" s="34" t="s">
        <v>6</v>
      </c>
      <c r="D34" s="73">
        <f>SUM(D19*Table!$D$4/Table!$C$4,D4)</f>
        <v>9188.7438461538441</v>
      </c>
      <c r="E34" s="73">
        <f>SUM(E19*Table!$D$4/Table!$C$4,E4)</f>
        <v>9188.7438461538441</v>
      </c>
      <c r="F34" s="73">
        <f ca="1">$C$60</f>
        <v>31</v>
      </c>
      <c r="G34" s="73">
        <f t="shared" ref="G34" ca="1" si="8">IF(ISERROR(E34/(F34)),"N/A",E34/F34)</f>
        <v>296.41109181141434</v>
      </c>
      <c r="H34" s="74">
        <f t="shared" ref="H34:H44" si="9">IF(ISERROR(E34/D34),"N/A",E34/D34)</f>
        <v>1</v>
      </c>
    </row>
    <row r="35" spans="2:8" x14ac:dyDescent="0.25">
      <c r="B35" s="3">
        <v>2</v>
      </c>
      <c r="C35" s="34" t="s">
        <v>70</v>
      </c>
      <c r="D35" s="73">
        <f>SUM(D20*Table!$D$4/Table!$C$4,D5)</f>
        <v>9993.4061538461538</v>
      </c>
      <c r="E35" s="73">
        <f>SUM(E20*Table!$D$4/Table!$C$4,E5)</f>
        <v>9993.4061538461538</v>
      </c>
      <c r="F35" s="73">
        <f ca="1">$C$60</f>
        <v>31</v>
      </c>
      <c r="G35" s="73">
        <f ca="1">IF(ISERROR(E35/(F35)),"N/A",E35/F35)</f>
        <v>322.3679404466501</v>
      </c>
      <c r="H35" s="74">
        <f t="shared" si="9"/>
        <v>1</v>
      </c>
    </row>
    <row r="36" spans="2:8" x14ac:dyDescent="0.25">
      <c r="B36" s="3">
        <v>3</v>
      </c>
      <c r="C36" s="34" t="s">
        <v>71</v>
      </c>
      <c r="D36" s="73">
        <f>SUM(D21*Table!$D$4/Table!$C$4,D6)</f>
        <v>7279.3246153846158</v>
      </c>
      <c r="E36" s="73">
        <f>SUM(E21*Table!$D$4/Table!$C$4,E6)</f>
        <v>7279.3246153846158</v>
      </c>
      <c r="F36" s="73">
        <f t="shared" ref="F36:F43" ca="1" si="10">$C$60</f>
        <v>31</v>
      </c>
      <c r="G36" s="73">
        <f t="shared" ref="G36:G43" ca="1" si="11">IF(ISERROR(E36/(F36)),"N/A",E36/F36)</f>
        <v>234.81692307692308</v>
      </c>
      <c r="H36" s="74">
        <f t="shared" ref="H36:H43" si="12">IF(ISERROR(E36/D36),"N/A",E36/D36)</f>
        <v>1</v>
      </c>
    </row>
    <row r="37" spans="2:8" x14ac:dyDescent="0.25">
      <c r="B37" s="3">
        <v>4</v>
      </c>
      <c r="C37" s="34" t="s">
        <v>72</v>
      </c>
      <c r="D37" s="73">
        <f>SUM(D22*Table!$D$4/Table!$C$4,D7)</f>
        <v>9239.6492307692279</v>
      </c>
      <c r="E37" s="73">
        <f>SUM(E22*Table!$D$4/Table!$C$4,E7)</f>
        <v>9239.6492307692279</v>
      </c>
      <c r="F37" s="73">
        <f t="shared" ca="1" si="10"/>
        <v>31</v>
      </c>
      <c r="G37" s="73">
        <f t="shared" ca="1" si="11"/>
        <v>298.05320099255573</v>
      </c>
      <c r="H37" s="74">
        <f t="shared" si="12"/>
        <v>1</v>
      </c>
    </row>
    <row r="38" spans="2:8" x14ac:dyDescent="0.25">
      <c r="B38" s="3">
        <v>5</v>
      </c>
      <c r="C38" s="34" t="s">
        <v>73</v>
      </c>
      <c r="D38" s="73">
        <f>SUM(D23*Table!$D$4/Table!$C$4,D8)</f>
        <v>0</v>
      </c>
      <c r="E38" s="73">
        <f>SUM(E23*Table!$D$4/Table!$C$4,E8)</f>
        <v>0</v>
      </c>
      <c r="F38" s="73">
        <f t="shared" ca="1" si="10"/>
        <v>31</v>
      </c>
      <c r="G38" s="73">
        <f t="shared" ca="1" si="11"/>
        <v>0</v>
      </c>
      <c r="H38" s="74" t="str">
        <f t="shared" si="12"/>
        <v>N/A</v>
      </c>
    </row>
    <row r="39" spans="2:8" x14ac:dyDescent="0.25">
      <c r="B39" s="3">
        <v>6</v>
      </c>
      <c r="C39" s="34" t="s">
        <v>74</v>
      </c>
      <c r="D39" s="73">
        <f>SUM(D24*Table!$D$4/Table!$C$4,D9)</f>
        <v>0</v>
      </c>
      <c r="E39" s="73">
        <f>SUM(E24*Table!$D$4/Table!$C$4,E9)</f>
        <v>0</v>
      </c>
      <c r="F39" s="73">
        <f t="shared" ca="1" si="10"/>
        <v>31</v>
      </c>
      <c r="G39" s="73">
        <f t="shared" ca="1" si="11"/>
        <v>0</v>
      </c>
      <c r="H39" s="74" t="str">
        <f t="shared" si="12"/>
        <v>N/A</v>
      </c>
    </row>
    <row r="40" spans="2:8" x14ac:dyDescent="0.25">
      <c r="B40" s="3">
        <v>7</v>
      </c>
      <c r="C40" s="34" t="s">
        <v>75</v>
      </c>
      <c r="D40" s="73">
        <f>SUM(D25*Table!$D$4/Table!$C$4,D10)</f>
        <v>0</v>
      </c>
      <c r="E40" s="73">
        <f>SUM(E25*Table!$D$4/Table!$C$4,E10)</f>
        <v>0</v>
      </c>
      <c r="F40" s="73">
        <f t="shared" ca="1" si="10"/>
        <v>31</v>
      </c>
      <c r="G40" s="73">
        <f t="shared" ca="1" si="11"/>
        <v>0</v>
      </c>
      <c r="H40" s="74" t="str">
        <f t="shared" si="12"/>
        <v>N/A</v>
      </c>
    </row>
    <row r="41" spans="2:8" x14ac:dyDescent="0.25">
      <c r="B41" s="3">
        <v>8</v>
      </c>
      <c r="C41" s="34" t="s">
        <v>76</v>
      </c>
      <c r="D41" s="73">
        <f>SUM(D26*Table!$D$4/Table!$C$4,D11)</f>
        <v>0</v>
      </c>
      <c r="E41" s="73">
        <f>SUM(E26*Table!$D$4/Table!$C$4,E11)</f>
        <v>0</v>
      </c>
      <c r="F41" s="73">
        <f t="shared" ca="1" si="10"/>
        <v>31</v>
      </c>
      <c r="G41" s="73">
        <f t="shared" ca="1" si="11"/>
        <v>0</v>
      </c>
      <c r="H41" s="74" t="str">
        <f t="shared" si="12"/>
        <v>N/A</v>
      </c>
    </row>
    <row r="42" spans="2:8" x14ac:dyDescent="0.25">
      <c r="B42" s="3">
        <v>9</v>
      </c>
      <c r="C42" s="34" t="s">
        <v>931</v>
      </c>
      <c r="D42" s="73">
        <f>SUM(D27*Table!$D$4/Table!$C$4,D12)</f>
        <v>292.5</v>
      </c>
      <c r="E42" s="73">
        <f>SUM(E27*Table!$D$4/Table!$C$4,E12)</f>
        <v>292.5</v>
      </c>
      <c r="F42" s="73">
        <f t="shared" ca="1" si="10"/>
        <v>31</v>
      </c>
      <c r="G42" s="73">
        <f t="shared" ca="1" si="11"/>
        <v>9.435483870967742</v>
      </c>
      <c r="H42" s="74">
        <f t="shared" si="12"/>
        <v>1</v>
      </c>
    </row>
    <row r="43" spans="2:8" x14ac:dyDescent="0.25">
      <c r="B43" s="3">
        <v>10</v>
      </c>
      <c r="C43" s="34" t="s">
        <v>932</v>
      </c>
      <c r="D43" s="73">
        <f>SUM(D28*Table!$D$4/Table!$C$4,D13)</f>
        <v>247.5</v>
      </c>
      <c r="E43" s="73">
        <f>SUM(E28*Table!$D$4/Table!$C$4,E13)</f>
        <v>247.5</v>
      </c>
      <c r="F43" s="73">
        <f t="shared" ca="1" si="10"/>
        <v>31</v>
      </c>
      <c r="G43" s="73">
        <f t="shared" ca="1" si="11"/>
        <v>7.9838709677419351</v>
      </c>
      <c r="H43" s="74">
        <f t="shared" si="12"/>
        <v>1</v>
      </c>
    </row>
    <row r="44" spans="2:8" x14ac:dyDescent="0.25">
      <c r="B44" s="2" t="s">
        <v>284</v>
      </c>
      <c r="C44" s="33"/>
      <c r="D44" s="73">
        <f>SUM(D34:D43)</f>
        <v>36241.123846153845</v>
      </c>
      <c r="E44" s="73">
        <f>SUM(E34:E43)</f>
        <v>36241.123846153845</v>
      </c>
      <c r="F44" s="73">
        <f ca="1">$C$60*5</f>
        <v>155</v>
      </c>
      <c r="G44" s="73">
        <f ca="1">IF(ISERROR(E44/(F44)),"N/A",E44/F44)</f>
        <v>233.81370223325061</v>
      </c>
      <c r="H44" s="74">
        <f t="shared" si="9"/>
        <v>1</v>
      </c>
    </row>
    <row r="47" spans="2:8" x14ac:dyDescent="0.25">
      <c r="B47" s="1" t="s">
        <v>45</v>
      </c>
    </row>
    <row r="48" spans="2:8" x14ac:dyDescent="0.25">
      <c r="C48" s="1" t="s">
        <v>47</v>
      </c>
    </row>
    <row r="49" spans="1:37" x14ac:dyDescent="0.25">
      <c r="D49" t="s">
        <v>46</v>
      </c>
    </row>
    <row r="50" spans="1:37" x14ac:dyDescent="0.25">
      <c r="D50" t="s">
        <v>214</v>
      </c>
    </row>
    <row r="51" spans="1:37" x14ac:dyDescent="0.25">
      <c r="C51" s="1" t="s">
        <v>48</v>
      </c>
    </row>
    <row r="52" spans="1:37" x14ac:dyDescent="0.25">
      <c r="D52" t="s">
        <v>49</v>
      </c>
    </row>
    <row r="53" spans="1:37" x14ac:dyDescent="0.25">
      <c r="D53" t="s">
        <v>50</v>
      </c>
    </row>
    <row r="57" spans="1:37" x14ac:dyDescent="0.25">
      <c r="B57" s="1" t="s">
        <v>44</v>
      </c>
      <c r="C57" s="65">
        <v>43896</v>
      </c>
      <c r="E57" s="65">
        <f ca="1">TODAY()</f>
        <v>43938</v>
      </c>
    </row>
    <row r="58" spans="1:37" x14ac:dyDescent="0.25">
      <c r="B58" s="1" t="s">
        <v>31</v>
      </c>
      <c r="C58" s="7">
        <f ca="1">SUM(INT((WEEKDAY(C57-{2,3,4,5,6}) +E57-C57)/7))</f>
        <v>31</v>
      </c>
    </row>
    <row r="59" spans="1:37" x14ac:dyDescent="0.25">
      <c r="B59" s="1" t="s">
        <v>739</v>
      </c>
      <c r="C59" s="7">
        <v>1</v>
      </c>
    </row>
    <row r="60" spans="1:37" x14ac:dyDescent="0.25">
      <c r="B60" s="1" t="s">
        <v>286</v>
      </c>
      <c r="C60">
        <f ca="1">IF(TODAY()&lt;E57,SUM(INT((WEEKDAY(C57-{2,3,4,5,6})+TODAY()-C57)/7)),SUM(INT((WEEKDAY(C57-{2,3,4,5,6})+E57-C57)/7)))</f>
        <v>31</v>
      </c>
    </row>
    <row r="62" spans="1:37" x14ac:dyDescent="0.25">
      <c r="B62" s="2" t="s">
        <v>0</v>
      </c>
      <c r="C62" s="2" t="s">
        <v>69</v>
      </c>
      <c r="D62" s="2" t="s">
        <v>1</v>
      </c>
      <c r="E62" s="2" t="s">
        <v>62</v>
      </c>
      <c r="F62" s="2" t="s">
        <v>63</v>
      </c>
      <c r="G62" s="2" t="s">
        <v>288</v>
      </c>
      <c r="H62" s="2" t="s">
        <v>64</v>
      </c>
      <c r="I62" s="2" t="s">
        <v>287</v>
      </c>
      <c r="J62" s="2" t="s">
        <v>78</v>
      </c>
      <c r="K62" s="2" t="s">
        <v>77</v>
      </c>
      <c r="L62" s="2" t="s">
        <v>68</v>
      </c>
      <c r="M62" s="2" t="s">
        <v>86</v>
      </c>
      <c r="N62" s="16" t="s">
        <v>61</v>
      </c>
      <c r="O62" s="4" t="s">
        <v>7</v>
      </c>
      <c r="P62" s="4" t="s">
        <v>8</v>
      </c>
      <c r="Q62" s="4" t="s">
        <v>84</v>
      </c>
      <c r="R62" s="4" t="s">
        <v>98</v>
      </c>
      <c r="S62" s="4" t="s">
        <v>81</v>
      </c>
      <c r="T62" s="4" t="s">
        <v>82</v>
      </c>
      <c r="U62" s="4" t="s">
        <v>59</v>
      </c>
      <c r="V62" s="4" t="s">
        <v>85</v>
      </c>
      <c r="W62" s="4" t="s">
        <v>60</v>
      </c>
      <c r="X62" s="4" t="s">
        <v>18</v>
      </c>
      <c r="Y62" s="4" t="s">
        <v>65</v>
      </c>
      <c r="Z62" s="4" t="s">
        <v>66</v>
      </c>
      <c r="AA62" s="2" t="s">
        <v>12</v>
      </c>
      <c r="AB62" s="2" t="s">
        <v>13</v>
      </c>
      <c r="AC62" s="2" t="s">
        <v>83</v>
      </c>
      <c r="AD62" s="2" t="s">
        <v>851</v>
      </c>
      <c r="AE62" s="2" t="s">
        <v>852</v>
      </c>
      <c r="AF62" s="2" t="s">
        <v>14</v>
      </c>
      <c r="AG62" s="2" t="s">
        <v>15</v>
      </c>
      <c r="AH62" s="4" t="s">
        <v>16</v>
      </c>
      <c r="AI62" s="4" t="s">
        <v>742</v>
      </c>
      <c r="AJ62" s="4" t="s">
        <v>741</v>
      </c>
      <c r="AK62" s="4" t="s">
        <v>87</v>
      </c>
    </row>
    <row r="63" spans="1:37" x14ac:dyDescent="0.25">
      <c r="B63" s="44">
        <v>1</v>
      </c>
      <c r="C63" s="23">
        <v>20200305</v>
      </c>
      <c r="D63" s="22" t="s">
        <v>2</v>
      </c>
      <c r="E63" s="22" t="s">
        <v>861</v>
      </c>
      <c r="F63" s="24" t="s">
        <v>67</v>
      </c>
      <c r="G63" s="22" t="s">
        <v>121</v>
      </c>
      <c r="H63" s="22" t="s">
        <v>161</v>
      </c>
      <c r="I63" s="22" t="s">
        <v>67</v>
      </c>
      <c r="J63" s="24" t="s">
        <v>67</v>
      </c>
      <c r="K63" s="22" t="s">
        <v>160</v>
      </c>
      <c r="L63" s="24" t="s">
        <v>100</v>
      </c>
      <c r="M63" s="24" t="s">
        <v>474</v>
      </c>
      <c r="N63" s="25" t="s">
        <v>501</v>
      </c>
      <c r="O63" s="23" t="s">
        <v>199</v>
      </c>
      <c r="P63" s="22" t="s">
        <v>6</v>
      </c>
      <c r="Q63" s="22"/>
      <c r="R63" s="22"/>
      <c r="S63" s="22">
        <v>38</v>
      </c>
      <c r="T63" s="22">
        <f>ROUND(IF(D63=Table!$C$3,V63*Table!$C$4/8,V63*Table!$D$4/8),3)</f>
        <v>37.293999999999997</v>
      </c>
      <c r="U63" s="22">
        <f>T63</f>
        <v>37.293999999999997</v>
      </c>
      <c r="V63" s="22">
        <v>2.2949999999999999</v>
      </c>
      <c r="W63" s="22">
        <v>2</v>
      </c>
      <c r="X63" s="22" t="s">
        <v>80</v>
      </c>
      <c r="Y63" s="26">
        <v>43896</v>
      </c>
      <c r="Z63" s="26">
        <v>43901</v>
      </c>
      <c r="AA63" s="26">
        <v>43896</v>
      </c>
      <c r="AB63" s="26">
        <v>43896</v>
      </c>
      <c r="AC63" s="28" t="s">
        <v>201</v>
      </c>
      <c r="AD63" s="28"/>
      <c r="AE63" s="28"/>
      <c r="AF63" s="54">
        <v>1</v>
      </c>
      <c r="AG63" s="54">
        <v>1</v>
      </c>
      <c r="AH63" s="54">
        <v>1</v>
      </c>
      <c r="AI63" s="22"/>
      <c r="AJ63" s="22"/>
      <c r="AK63" s="22"/>
    </row>
    <row r="64" spans="1:37" x14ac:dyDescent="0.25">
      <c r="A64" s="18"/>
      <c r="B64" s="44">
        <v>2</v>
      </c>
      <c r="C64" s="20">
        <v>20200305</v>
      </c>
      <c r="D64" s="28" t="s">
        <v>2</v>
      </c>
      <c r="E64" s="28" t="s">
        <v>861</v>
      </c>
      <c r="F64" s="24" t="s">
        <v>67</v>
      </c>
      <c r="G64" s="22" t="s">
        <v>122</v>
      </c>
      <c r="H64" s="22" t="s">
        <v>162</v>
      </c>
      <c r="I64" s="22" t="s">
        <v>67</v>
      </c>
      <c r="J64" s="22" t="s">
        <v>67</v>
      </c>
      <c r="K64" s="22" t="s">
        <v>160</v>
      </c>
      <c r="L64" s="24" t="s">
        <v>101</v>
      </c>
      <c r="M64" s="24" t="s">
        <v>474</v>
      </c>
      <c r="N64" s="25" t="s">
        <v>502</v>
      </c>
      <c r="O64" s="23" t="s">
        <v>199</v>
      </c>
      <c r="P64" s="28" t="s">
        <v>6</v>
      </c>
      <c r="Q64" s="28"/>
      <c r="R64" s="22"/>
      <c r="S64" s="22">
        <v>26</v>
      </c>
      <c r="T64" s="22">
        <f>ROUND(IF(D64=Table!$C$3,V64*Table!$C$4/8,V64*Table!$D$4/8),3)</f>
        <v>20.719000000000001</v>
      </c>
      <c r="U64" s="22">
        <f t="shared" ref="U64:U127" si="13">T64</f>
        <v>20.719000000000001</v>
      </c>
      <c r="V64" s="22">
        <v>1.2749999999999999</v>
      </c>
      <c r="W64" s="22">
        <v>1</v>
      </c>
      <c r="X64" s="22" t="s">
        <v>80</v>
      </c>
      <c r="Y64" s="26">
        <v>43896</v>
      </c>
      <c r="Z64" s="26">
        <v>43901</v>
      </c>
      <c r="AA64" s="26">
        <v>43896</v>
      </c>
      <c r="AB64" s="26">
        <v>43899</v>
      </c>
      <c r="AC64" s="28" t="s">
        <v>201</v>
      </c>
      <c r="AD64" s="28"/>
      <c r="AE64" s="28"/>
      <c r="AF64" s="54">
        <v>1</v>
      </c>
      <c r="AG64" s="54">
        <v>1</v>
      </c>
      <c r="AH64" s="54" t="s">
        <v>216</v>
      </c>
      <c r="AI64" s="22"/>
      <c r="AJ64" s="22"/>
      <c r="AK64" s="22"/>
    </row>
    <row r="65" spans="1:37" x14ac:dyDescent="0.25">
      <c r="B65" s="44">
        <v>3</v>
      </c>
      <c r="C65" s="23">
        <v>20200305</v>
      </c>
      <c r="D65" s="22" t="s">
        <v>2</v>
      </c>
      <c r="E65" s="22" t="s">
        <v>861</v>
      </c>
      <c r="F65" s="24" t="s">
        <v>67</v>
      </c>
      <c r="G65" s="22" t="s">
        <v>123</v>
      </c>
      <c r="H65" s="22" t="s">
        <v>163</v>
      </c>
      <c r="I65" s="22" t="s">
        <v>67</v>
      </c>
      <c r="J65" s="22" t="s">
        <v>67</v>
      </c>
      <c r="K65" s="22" t="s">
        <v>160</v>
      </c>
      <c r="L65" s="24" t="s">
        <v>102</v>
      </c>
      <c r="M65" s="24" t="s">
        <v>474</v>
      </c>
      <c r="N65" s="25" t="s">
        <v>503</v>
      </c>
      <c r="O65" s="23" t="s">
        <v>199</v>
      </c>
      <c r="P65" s="22" t="s">
        <v>6</v>
      </c>
      <c r="Q65" s="22"/>
      <c r="R65" s="22"/>
      <c r="S65" s="22">
        <v>35</v>
      </c>
      <c r="T65" s="22">
        <f>ROUND(IF(D65=Table!$C$3,V65*Table!$C$4/8,V65*Table!$D$4/8),3)</f>
        <v>26.244</v>
      </c>
      <c r="U65" s="22">
        <f t="shared" si="13"/>
        <v>26.244</v>
      </c>
      <c r="V65" s="22">
        <v>1.615</v>
      </c>
      <c r="W65" s="22">
        <v>1</v>
      </c>
      <c r="X65" s="22" t="s">
        <v>80</v>
      </c>
      <c r="Y65" s="26">
        <v>43896</v>
      </c>
      <c r="Z65" s="26">
        <v>43901</v>
      </c>
      <c r="AA65" s="26">
        <v>43896</v>
      </c>
      <c r="AB65" s="26">
        <v>43899</v>
      </c>
      <c r="AC65" s="28" t="s">
        <v>201</v>
      </c>
      <c r="AD65" s="28"/>
      <c r="AE65" s="28"/>
      <c r="AF65" s="54">
        <v>1</v>
      </c>
      <c r="AG65" s="54">
        <v>1</v>
      </c>
      <c r="AH65" s="54">
        <v>1</v>
      </c>
      <c r="AI65" s="22"/>
      <c r="AJ65" s="22"/>
      <c r="AK65" s="22"/>
    </row>
    <row r="66" spans="1:37" x14ac:dyDescent="0.25">
      <c r="B66" s="44">
        <v>4</v>
      </c>
      <c r="C66" s="23">
        <v>20200305</v>
      </c>
      <c r="D66" s="22" t="s">
        <v>2</v>
      </c>
      <c r="E66" s="22" t="s">
        <v>861</v>
      </c>
      <c r="F66" s="24" t="s">
        <v>67</v>
      </c>
      <c r="G66" s="22" t="s">
        <v>124</v>
      </c>
      <c r="H66" s="22" t="s">
        <v>164</v>
      </c>
      <c r="I66" s="22" t="s">
        <v>67</v>
      </c>
      <c r="J66" s="22" t="s">
        <v>67</v>
      </c>
      <c r="K66" s="22" t="s">
        <v>160</v>
      </c>
      <c r="L66" s="24" t="s">
        <v>103</v>
      </c>
      <c r="M66" s="24" t="s">
        <v>474</v>
      </c>
      <c r="N66" s="25" t="s">
        <v>504</v>
      </c>
      <c r="O66" s="23" t="s">
        <v>199</v>
      </c>
      <c r="P66" s="22" t="s">
        <v>6</v>
      </c>
      <c r="Q66" s="22"/>
      <c r="R66" s="22"/>
      <c r="S66" s="22">
        <v>55</v>
      </c>
      <c r="T66" s="22">
        <f>ROUND(IF(D66=Table!$C$3,V66*Table!$C$4/8,V66*Table!$D$4/8),3)</f>
        <v>37.293999999999997</v>
      </c>
      <c r="U66" s="22">
        <f t="shared" si="13"/>
        <v>37.293999999999997</v>
      </c>
      <c r="V66" s="22">
        <v>2.2949999999999999</v>
      </c>
      <c r="W66" s="22">
        <v>3</v>
      </c>
      <c r="X66" s="22" t="s">
        <v>80</v>
      </c>
      <c r="Y66" s="26">
        <v>43896</v>
      </c>
      <c r="Z66" s="26">
        <v>43901</v>
      </c>
      <c r="AA66" s="26">
        <v>43896</v>
      </c>
      <c r="AB66" s="26">
        <v>43901</v>
      </c>
      <c r="AC66" s="28" t="s">
        <v>201</v>
      </c>
      <c r="AD66" s="28"/>
      <c r="AE66" s="28"/>
      <c r="AF66" s="54">
        <v>1</v>
      </c>
      <c r="AG66" s="54">
        <v>1</v>
      </c>
      <c r="AH66" s="54">
        <v>1</v>
      </c>
      <c r="AI66" s="22"/>
      <c r="AJ66" s="22"/>
      <c r="AK66" s="30"/>
    </row>
    <row r="67" spans="1:37" x14ac:dyDescent="0.25">
      <c r="B67" s="44">
        <v>5</v>
      </c>
      <c r="C67" s="23">
        <v>20200305</v>
      </c>
      <c r="D67" s="22" t="s">
        <v>2</v>
      </c>
      <c r="E67" s="22" t="s">
        <v>861</v>
      </c>
      <c r="F67" s="24" t="s">
        <v>67</v>
      </c>
      <c r="G67" s="22" t="s">
        <v>125</v>
      </c>
      <c r="H67" s="22" t="s">
        <v>165</v>
      </c>
      <c r="I67" s="22" t="s">
        <v>67</v>
      </c>
      <c r="J67" s="22" t="s">
        <v>67</v>
      </c>
      <c r="K67" s="22" t="s">
        <v>160</v>
      </c>
      <c r="L67" s="24" t="s">
        <v>104</v>
      </c>
      <c r="M67" s="24" t="s">
        <v>474</v>
      </c>
      <c r="N67" s="25" t="s">
        <v>505</v>
      </c>
      <c r="O67" s="23" t="s">
        <v>199</v>
      </c>
      <c r="P67" s="22" t="s">
        <v>6</v>
      </c>
      <c r="Q67" s="22"/>
      <c r="R67" s="22"/>
      <c r="S67" s="22">
        <v>150</v>
      </c>
      <c r="T67" s="22">
        <f>ROUND(IF(D67=Table!$C$3,V67*Table!$C$4/8,V67*Table!$D$4/8),3)</f>
        <v>125.694</v>
      </c>
      <c r="U67" s="22">
        <f t="shared" si="13"/>
        <v>125.694</v>
      </c>
      <c r="V67" s="22">
        <v>7.7349999999999994</v>
      </c>
      <c r="W67" s="22">
        <v>8</v>
      </c>
      <c r="X67" s="22" t="s">
        <v>80</v>
      </c>
      <c r="Y67" s="26">
        <v>43896</v>
      </c>
      <c r="Z67" s="26">
        <v>43901</v>
      </c>
      <c r="AA67" s="26">
        <v>43896</v>
      </c>
      <c r="AB67" s="26">
        <v>43900</v>
      </c>
      <c r="AC67" s="28" t="s">
        <v>201</v>
      </c>
      <c r="AD67" s="28"/>
      <c r="AE67" s="28"/>
      <c r="AF67" s="54">
        <v>0.96599999999999997</v>
      </c>
      <c r="AG67" s="54">
        <v>0.96699999999999997</v>
      </c>
      <c r="AH67" s="55">
        <v>1</v>
      </c>
      <c r="AI67" s="22" t="s">
        <v>215</v>
      </c>
      <c r="AJ67" s="22"/>
      <c r="AK67" s="22"/>
    </row>
    <row r="68" spans="1:37" x14ac:dyDescent="0.25">
      <c r="B68" s="44">
        <v>6</v>
      </c>
      <c r="C68" s="23">
        <v>20200305</v>
      </c>
      <c r="D68" s="22" t="s">
        <v>2</v>
      </c>
      <c r="E68" s="22" t="s">
        <v>861</v>
      </c>
      <c r="F68" s="24" t="s">
        <v>67</v>
      </c>
      <c r="G68" s="22" t="s">
        <v>126</v>
      </c>
      <c r="H68" s="22" t="s">
        <v>166</v>
      </c>
      <c r="I68" s="22" t="s">
        <v>67</v>
      </c>
      <c r="J68" s="22" t="s">
        <v>67</v>
      </c>
      <c r="K68" s="22" t="s">
        <v>160</v>
      </c>
      <c r="L68" s="24" t="s">
        <v>105</v>
      </c>
      <c r="M68" s="24" t="s">
        <v>474</v>
      </c>
      <c r="N68" s="25" t="s">
        <v>506</v>
      </c>
      <c r="O68" s="23" t="s">
        <v>199</v>
      </c>
      <c r="P68" s="22" t="s">
        <v>6</v>
      </c>
      <c r="Q68" s="22"/>
      <c r="R68" s="22"/>
      <c r="S68" s="22">
        <v>195</v>
      </c>
      <c r="T68" s="22">
        <f>ROUND(IF(D68=Table!$C$3,V68*Table!$C$4/8,V68*Table!$D$4/8),3)</f>
        <v>169.89400000000001</v>
      </c>
      <c r="U68" s="22">
        <f t="shared" si="13"/>
        <v>169.89400000000001</v>
      </c>
      <c r="V68" s="22">
        <v>10.455</v>
      </c>
      <c r="W68" s="22">
        <v>11</v>
      </c>
      <c r="X68" s="22" t="s">
        <v>80</v>
      </c>
      <c r="Y68" s="26">
        <v>43896</v>
      </c>
      <c r="Z68" s="26">
        <v>43901</v>
      </c>
      <c r="AA68" s="26">
        <v>43902</v>
      </c>
      <c r="AB68" s="26">
        <v>43903</v>
      </c>
      <c r="AC68" s="28" t="s">
        <v>202</v>
      </c>
      <c r="AD68" s="28"/>
      <c r="AE68" s="28"/>
      <c r="AF68" s="54">
        <v>0.95099999999999996</v>
      </c>
      <c r="AG68" s="54">
        <v>0.94900000000000007</v>
      </c>
      <c r="AH68" s="54">
        <v>0.90400000000000003</v>
      </c>
      <c r="AI68" s="22" t="s">
        <v>475</v>
      </c>
      <c r="AJ68" s="22"/>
      <c r="AK68" s="22"/>
    </row>
    <row r="69" spans="1:37" x14ac:dyDescent="0.25">
      <c r="A69" s="18"/>
      <c r="B69" s="44">
        <v>7</v>
      </c>
      <c r="C69" s="23">
        <v>20200305</v>
      </c>
      <c r="D69" s="29" t="s">
        <v>2</v>
      </c>
      <c r="E69" s="29" t="s">
        <v>861</v>
      </c>
      <c r="F69" s="24" t="s">
        <v>67</v>
      </c>
      <c r="G69" s="22" t="s">
        <v>127</v>
      </c>
      <c r="H69" s="22" t="s">
        <v>167</v>
      </c>
      <c r="I69" s="22" t="s">
        <v>67</v>
      </c>
      <c r="J69" s="22" t="s">
        <v>67</v>
      </c>
      <c r="K69" s="22" t="s">
        <v>160</v>
      </c>
      <c r="L69" s="24" t="s">
        <v>106</v>
      </c>
      <c r="M69" s="24" t="s">
        <v>474</v>
      </c>
      <c r="N69" s="25" t="s">
        <v>507</v>
      </c>
      <c r="O69" s="23" t="s">
        <v>199</v>
      </c>
      <c r="P69" s="20" t="s">
        <v>6</v>
      </c>
      <c r="Q69" s="20"/>
      <c r="R69" s="22"/>
      <c r="S69" s="22">
        <v>99</v>
      </c>
      <c r="T69" s="22">
        <f>ROUND(IF(D69=Table!$C$3,V69*Table!$C$4/8,V69*Table!$D$4/8),3)</f>
        <v>59.393999999999998</v>
      </c>
      <c r="U69" s="22">
        <f t="shared" si="13"/>
        <v>59.393999999999998</v>
      </c>
      <c r="V69" s="22">
        <v>3.6549999999999998</v>
      </c>
      <c r="W69" s="22">
        <v>2</v>
      </c>
      <c r="X69" s="22" t="s">
        <v>80</v>
      </c>
      <c r="Y69" s="26">
        <v>43896</v>
      </c>
      <c r="Z69" s="26">
        <v>43901</v>
      </c>
      <c r="AA69" s="26">
        <v>43903</v>
      </c>
      <c r="AB69" s="26">
        <v>43903</v>
      </c>
      <c r="AC69" s="28" t="s">
        <v>201</v>
      </c>
      <c r="AD69" s="28"/>
      <c r="AE69" s="28"/>
      <c r="AF69" s="54">
        <v>1</v>
      </c>
      <c r="AG69" s="54">
        <v>1</v>
      </c>
      <c r="AH69" s="54">
        <v>1</v>
      </c>
      <c r="AI69" s="22"/>
      <c r="AJ69" s="22"/>
      <c r="AK69" s="22"/>
    </row>
    <row r="70" spans="1:37" x14ac:dyDescent="0.25">
      <c r="B70" s="44">
        <v>8</v>
      </c>
      <c r="C70" s="23">
        <v>20200305</v>
      </c>
      <c r="D70" s="21" t="s">
        <v>2</v>
      </c>
      <c r="E70" s="21" t="s">
        <v>861</v>
      </c>
      <c r="F70" s="24" t="s">
        <v>67</v>
      </c>
      <c r="G70" s="22" t="s">
        <v>128</v>
      </c>
      <c r="H70" s="22" t="s">
        <v>168</v>
      </c>
      <c r="I70" s="22" t="s">
        <v>67</v>
      </c>
      <c r="J70" s="22" t="s">
        <v>67</v>
      </c>
      <c r="K70" s="22" t="s">
        <v>160</v>
      </c>
      <c r="L70" s="24" t="s">
        <v>107</v>
      </c>
      <c r="M70" s="24" t="s">
        <v>474</v>
      </c>
      <c r="N70" s="25" t="s">
        <v>508</v>
      </c>
      <c r="O70" s="23" t="s">
        <v>199</v>
      </c>
      <c r="P70" s="21" t="s">
        <v>6</v>
      </c>
      <c r="Q70" s="21"/>
      <c r="R70" s="22"/>
      <c r="S70" s="22">
        <v>49</v>
      </c>
      <c r="T70" s="22">
        <f>ROUND(IF(D70=Table!$C$3,V70*Table!$C$4/8,V70*Table!$D$4/8),3)</f>
        <v>42.819000000000003</v>
      </c>
      <c r="U70" s="22">
        <f t="shared" si="13"/>
        <v>42.819000000000003</v>
      </c>
      <c r="V70" s="22">
        <v>2.6349999999999998</v>
      </c>
      <c r="W70" s="22">
        <v>3</v>
      </c>
      <c r="X70" s="22" t="s">
        <v>80</v>
      </c>
      <c r="Y70" s="26">
        <v>43896</v>
      </c>
      <c r="Z70" s="26">
        <v>43901</v>
      </c>
      <c r="AA70" s="26">
        <v>43901</v>
      </c>
      <c r="AB70" s="26">
        <v>43901</v>
      </c>
      <c r="AC70" s="28" t="s">
        <v>201</v>
      </c>
      <c r="AD70" s="28"/>
      <c r="AE70" s="28"/>
      <c r="AF70" s="54">
        <v>1</v>
      </c>
      <c r="AG70" s="54">
        <v>1</v>
      </c>
      <c r="AH70" s="54">
        <v>1</v>
      </c>
      <c r="AI70" s="22"/>
      <c r="AJ70" s="22"/>
      <c r="AK70" s="22"/>
    </row>
    <row r="71" spans="1:37" x14ac:dyDescent="0.25">
      <c r="A71" s="19"/>
      <c r="B71" s="44">
        <v>9</v>
      </c>
      <c r="C71" s="23">
        <v>20200305</v>
      </c>
      <c r="D71" s="20" t="s">
        <v>2</v>
      </c>
      <c r="E71" s="20" t="s">
        <v>861</v>
      </c>
      <c r="F71" s="24" t="s">
        <v>67</v>
      </c>
      <c r="G71" s="22" t="s">
        <v>129</v>
      </c>
      <c r="H71" s="22" t="s">
        <v>169</v>
      </c>
      <c r="I71" s="22" t="s">
        <v>67</v>
      </c>
      <c r="J71" s="22" t="s">
        <v>67</v>
      </c>
      <c r="K71" s="22" t="s">
        <v>160</v>
      </c>
      <c r="L71" s="24" t="s">
        <v>108</v>
      </c>
      <c r="M71" s="24" t="s">
        <v>474</v>
      </c>
      <c r="N71" s="25" t="s">
        <v>509</v>
      </c>
      <c r="O71" s="23" t="s">
        <v>199</v>
      </c>
      <c r="P71" s="20" t="s">
        <v>6</v>
      </c>
      <c r="Q71" s="20"/>
      <c r="R71" s="22"/>
      <c r="S71" s="22">
        <v>62</v>
      </c>
      <c r="T71" s="22">
        <f>ROUND(IF(D71=Table!$C$3,V71*Table!$C$4/8,V71*Table!$D$4/8),3)</f>
        <v>26.244</v>
      </c>
      <c r="U71" s="22">
        <f t="shared" si="13"/>
        <v>26.244</v>
      </c>
      <c r="V71" s="22">
        <v>1.615</v>
      </c>
      <c r="W71" s="22">
        <v>2</v>
      </c>
      <c r="X71" s="22" t="s">
        <v>80</v>
      </c>
      <c r="Y71" s="26">
        <v>43896</v>
      </c>
      <c r="Z71" s="26">
        <v>43901</v>
      </c>
      <c r="AA71" s="26">
        <v>43902</v>
      </c>
      <c r="AB71" s="26">
        <v>43902</v>
      </c>
      <c r="AC71" s="28" t="s">
        <v>201</v>
      </c>
      <c r="AD71" s="28"/>
      <c r="AE71" s="28"/>
      <c r="AF71" s="54">
        <v>0.70700000000000007</v>
      </c>
      <c r="AG71" s="54">
        <v>0.77800000000000002</v>
      </c>
      <c r="AH71" s="54">
        <v>1</v>
      </c>
      <c r="AI71" s="22" t="s">
        <v>476</v>
      </c>
      <c r="AJ71" s="22"/>
      <c r="AK71" s="22"/>
    </row>
    <row r="72" spans="1:37" x14ac:dyDescent="0.25">
      <c r="B72" s="44">
        <v>10</v>
      </c>
      <c r="C72" s="23">
        <v>20200305</v>
      </c>
      <c r="D72" s="22" t="s">
        <v>2</v>
      </c>
      <c r="E72" s="22" t="s">
        <v>861</v>
      </c>
      <c r="F72" s="24" t="s">
        <v>67</v>
      </c>
      <c r="G72" s="22" t="s">
        <v>130</v>
      </c>
      <c r="H72" s="22" t="s">
        <v>745</v>
      </c>
      <c r="I72" s="22" t="s">
        <v>67</v>
      </c>
      <c r="J72" s="22" t="s">
        <v>67</v>
      </c>
      <c r="K72" s="22" t="s">
        <v>160</v>
      </c>
      <c r="L72" s="24" t="s">
        <v>109</v>
      </c>
      <c r="M72" s="24" t="s">
        <v>474</v>
      </c>
      <c r="N72" s="25" t="s">
        <v>510</v>
      </c>
      <c r="O72" s="23" t="s">
        <v>199</v>
      </c>
      <c r="P72" s="21" t="s">
        <v>6</v>
      </c>
      <c r="Q72" s="21"/>
      <c r="R72" s="22"/>
      <c r="S72" s="22">
        <v>70</v>
      </c>
      <c r="T72" s="22">
        <f>ROUND(IF(D72=Table!$C$3,V72*Table!$C$4/8,V72*Table!$D$4/8),3)</f>
        <v>48.344000000000001</v>
      </c>
      <c r="U72" s="22">
        <f t="shared" si="13"/>
        <v>48.344000000000001</v>
      </c>
      <c r="V72" s="22">
        <v>2.9750000000000001</v>
      </c>
      <c r="W72" s="22">
        <v>2</v>
      </c>
      <c r="X72" s="22" t="s">
        <v>80</v>
      </c>
      <c r="Y72" s="26">
        <v>43896</v>
      </c>
      <c r="Z72" s="26">
        <v>43901</v>
      </c>
      <c r="AA72" s="26">
        <v>43902</v>
      </c>
      <c r="AB72" s="26">
        <v>43902</v>
      </c>
      <c r="AC72" s="28" t="s">
        <v>202</v>
      </c>
      <c r="AD72" s="28"/>
      <c r="AE72" s="28"/>
      <c r="AF72" s="54">
        <v>1</v>
      </c>
      <c r="AG72" s="54">
        <v>1</v>
      </c>
      <c r="AH72" s="54">
        <v>1</v>
      </c>
      <c r="AI72" s="22"/>
      <c r="AJ72" s="22"/>
      <c r="AK72" s="22"/>
    </row>
    <row r="73" spans="1:37" x14ac:dyDescent="0.25">
      <c r="B73" s="44">
        <v>11</v>
      </c>
      <c r="C73" s="23">
        <v>20200305</v>
      </c>
      <c r="D73" s="22" t="s">
        <v>2</v>
      </c>
      <c r="E73" s="22" t="s">
        <v>861</v>
      </c>
      <c r="F73" s="24" t="s">
        <v>67</v>
      </c>
      <c r="G73" s="22" t="s">
        <v>131</v>
      </c>
      <c r="H73" s="22" t="s">
        <v>170</v>
      </c>
      <c r="I73" s="22" t="s">
        <v>67</v>
      </c>
      <c r="J73" s="22" t="s">
        <v>67</v>
      </c>
      <c r="K73" s="22" t="s">
        <v>160</v>
      </c>
      <c r="L73" s="24" t="s">
        <v>110</v>
      </c>
      <c r="M73" s="24" t="s">
        <v>474</v>
      </c>
      <c r="N73" s="25" t="s">
        <v>511</v>
      </c>
      <c r="O73" s="23" t="s">
        <v>199</v>
      </c>
      <c r="P73" s="21" t="s">
        <v>6</v>
      </c>
      <c r="Q73" s="21"/>
      <c r="R73" s="22"/>
      <c r="S73" s="22">
        <v>20</v>
      </c>
      <c r="T73" s="22">
        <f>ROUND(IF(D73=Table!$C$3,V73*Table!$C$4/8,V73*Table!$D$4/8),3)</f>
        <v>26.244</v>
      </c>
      <c r="U73" s="22">
        <f t="shared" si="13"/>
        <v>26.244</v>
      </c>
      <c r="V73" s="22">
        <v>1.615</v>
      </c>
      <c r="W73" s="22">
        <v>1</v>
      </c>
      <c r="X73" s="22" t="s">
        <v>80</v>
      </c>
      <c r="Y73" s="26">
        <v>43896</v>
      </c>
      <c r="Z73" s="26">
        <v>43901</v>
      </c>
      <c r="AA73" s="26">
        <v>43902</v>
      </c>
      <c r="AB73" s="26">
        <v>43902</v>
      </c>
      <c r="AC73" s="28" t="s">
        <v>201</v>
      </c>
      <c r="AD73" s="28"/>
      <c r="AE73" s="28"/>
      <c r="AF73" s="54">
        <v>1</v>
      </c>
      <c r="AG73" s="54">
        <v>1</v>
      </c>
      <c r="AH73" s="54">
        <v>1</v>
      </c>
      <c r="AI73" s="22"/>
      <c r="AJ73" s="22"/>
      <c r="AK73" s="22"/>
    </row>
    <row r="74" spans="1:37" x14ac:dyDescent="0.25">
      <c r="B74" s="44">
        <v>12</v>
      </c>
      <c r="C74" s="23">
        <v>20200305</v>
      </c>
      <c r="D74" s="22" t="s">
        <v>2</v>
      </c>
      <c r="E74" s="22" t="s">
        <v>861</v>
      </c>
      <c r="F74" s="24" t="s">
        <v>67</v>
      </c>
      <c r="G74" s="22" t="s">
        <v>132</v>
      </c>
      <c r="H74" s="22" t="s">
        <v>171</v>
      </c>
      <c r="I74" s="22" t="s">
        <v>67</v>
      </c>
      <c r="J74" s="22" t="s">
        <v>67</v>
      </c>
      <c r="K74" s="22" t="s">
        <v>160</v>
      </c>
      <c r="L74" s="24" t="s">
        <v>111</v>
      </c>
      <c r="M74" s="24" t="s">
        <v>474</v>
      </c>
      <c r="N74" s="25" t="s">
        <v>512</v>
      </c>
      <c r="O74" s="23" t="s">
        <v>198</v>
      </c>
      <c r="P74" s="21" t="s">
        <v>70</v>
      </c>
      <c r="Q74" s="21"/>
      <c r="R74" s="22"/>
      <c r="S74" s="22">
        <v>317</v>
      </c>
      <c r="T74" s="22">
        <f>ROUND(IF(D74=Table!$C$3,V74*Table!$C$4/8,V74*Table!$D$4/8),3)</f>
        <v>147.79400000000001</v>
      </c>
      <c r="U74" s="22">
        <f t="shared" si="13"/>
        <v>147.79400000000001</v>
      </c>
      <c r="V74" s="22">
        <v>9.0949999999999989</v>
      </c>
      <c r="W74" s="22">
        <v>8</v>
      </c>
      <c r="X74" s="22" t="s">
        <v>80</v>
      </c>
      <c r="Y74" s="26">
        <v>43896</v>
      </c>
      <c r="Z74" s="26">
        <v>43901</v>
      </c>
      <c r="AA74" s="26">
        <v>43902</v>
      </c>
      <c r="AB74" s="26">
        <v>43902</v>
      </c>
      <c r="AC74" s="28" t="s">
        <v>202</v>
      </c>
      <c r="AD74" s="28"/>
      <c r="AE74" s="28"/>
      <c r="AF74" s="54">
        <v>0.93799999999999994</v>
      </c>
      <c r="AG74" s="54">
        <v>0.94</v>
      </c>
      <c r="AH74" s="54">
        <v>1</v>
      </c>
      <c r="AI74" s="22" t="s">
        <v>477</v>
      </c>
      <c r="AJ74" s="36"/>
      <c r="AK74" s="22"/>
    </row>
    <row r="75" spans="1:37" x14ac:dyDescent="0.25">
      <c r="B75" s="44">
        <v>13</v>
      </c>
      <c r="C75" s="23">
        <v>20200305</v>
      </c>
      <c r="D75" s="22" t="s">
        <v>2</v>
      </c>
      <c r="E75" s="22" t="s">
        <v>861</v>
      </c>
      <c r="F75" s="24" t="s">
        <v>67</v>
      </c>
      <c r="G75" s="22" t="s">
        <v>133</v>
      </c>
      <c r="H75" s="22" t="s">
        <v>172</v>
      </c>
      <c r="I75" s="22" t="s">
        <v>67</v>
      </c>
      <c r="J75" s="22" t="s">
        <v>67</v>
      </c>
      <c r="K75" s="22" t="s">
        <v>160</v>
      </c>
      <c r="L75" s="24" t="s">
        <v>112</v>
      </c>
      <c r="M75" s="24" t="s">
        <v>474</v>
      </c>
      <c r="N75" s="25" t="s">
        <v>513</v>
      </c>
      <c r="O75" s="23" t="s">
        <v>198</v>
      </c>
      <c r="P75" s="22" t="s">
        <v>70</v>
      </c>
      <c r="Q75" s="22"/>
      <c r="R75" s="22"/>
      <c r="S75" s="22">
        <v>93</v>
      </c>
      <c r="T75" s="22">
        <f>ROUND(IF(D75=Table!$C$3,V75*Table!$C$4/8,V75*Table!$D$4/8),3)</f>
        <v>48.344000000000001</v>
      </c>
      <c r="U75" s="22">
        <f t="shared" si="13"/>
        <v>48.344000000000001</v>
      </c>
      <c r="V75" s="22">
        <v>2.9750000000000001</v>
      </c>
      <c r="W75" s="22">
        <v>4</v>
      </c>
      <c r="X75" s="22" t="s">
        <v>80</v>
      </c>
      <c r="Y75" s="26">
        <v>43896</v>
      </c>
      <c r="Z75" s="26">
        <v>43901</v>
      </c>
      <c r="AA75" s="26">
        <v>43901</v>
      </c>
      <c r="AB75" s="26">
        <v>43901</v>
      </c>
      <c r="AC75" s="28" t="s">
        <v>202</v>
      </c>
      <c r="AD75" s="28"/>
      <c r="AE75" s="28"/>
      <c r="AF75" s="54">
        <v>0.91700000000000004</v>
      </c>
      <c r="AG75" s="54">
        <v>0.91700000000000004</v>
      </c>
      <c r="AH75" s="54" t="s">
        <v>216</v>
      </c>
      <c r="AI75" s="22" t="s">
        <v>224</v>
      </c>
      <c r="AJ75" s="22"/>
      <c r="AK75" s="22"/>
    </row>
    <row r="76" spans="1:37" x14ac:dyDescent="0.25">
      <c r="B76" s="44">
        <v>14</v>
      </c>
      <c r="C76" s="23">
        <v>20200305</v>
      </c>
      <c r="D76" s="22" t="s">
        <v>2</v>
      </c>
      <c r="E76" s="22" t="s">
        <v>861</v>
      </c>
      <c r="F76" s="24" t="s">
        <v>67</v>
      </c>
      <c r="G76" s="22" t="s">
        <v>134</v>
      </c>
      <c r="H76" s="22" t="s">
        <v>173</v>
      </c>
      <c r="I76" s="22" t="s">
        <v>67</v>
      </c>
      <c r="J76" s="22" t="s">
        <v>67</v>
      </c>
      <c r="K76" s="22" t="s">
        <v>160</v>
      </c>
      <c r="L76" s="24" t="s">
        <v>113</v>
      </c>
      <c r="M76" s="24" t="s">
        <v>474</v>
      </c>
      <c r="N76" s="25" t="s">
        <v>514</v>
      </c>
      <c r="O76" s="23" t="s">
        <v>198</v>
      </c>
      <c r="P76" s="22" t="s">
        <v>70</v>
      </c>
      <c r="Q76" s="22"/>
      <c r="R76" s="22"/>
      <c r="S76" s="22">
        <v>52</v>
      </c>
      <c r="T76" s="22">
        <f>ROUND(IF(D76=Table!$C$3,V76*Table!$C$4/8,V76*Table!$D$4/8),3)</f>
        <v>31.768999999999998</v>
      </c>
      <c r="U76" s="22">
        <f t="shared" si="13"/>
        <v>31.768999999999998</v>
      </c>
      <c r="V76" s="22">
        <v>1.9549999999999998</v>
      </c>
      <c r="W76" s="22">
        <v>4</v>
      </c>
      <c r="X76" s="22" t="s">
        <v>80</v>
      </c>
      <c r="Y76" s="26">
        <v>43896</v>
      </c>
      <c r="Z76" s="26">
        <v>43901</v>
      </c>
      <c r="AA76" s="26">
        <v>43896</v>
      </c>
      <c r="AB76" s="26">
        <v>43896</v>
      </c>
      <c r="AC76" s="28" t="s">
        <v>202</v>
      </c>
      <c r="AD76" s="28"/>
      <c r="AE76" s="28"/>
      <c r="AF76" s="54">
        <v>1</v>
      </c>
      <c r="AG76" s="54">
        <v>1</v>
      </c>
      <c r="AH76" s="54">
        <v>0.5</v>
      </c>
      <c r="AI76" s="22" t="s">
        <v>478</v>
      </c>
      <c r="AJ76" s="24"/>
      <c r="AK76" s="22" t="s">
        <v>213</v>
      </c>
    </row>
    <row r="77" spans="1:37" x14ac:dyDescent="0.25">
      <c r="B77" s="44">
        <v>15</v>
      </c>
      <c r="C77" s="23">
        <v>20200305</v>
      </c>
      <c r="D77" s="22" t="s">
        <v>2</v>
      </c>
      <c r="E77" s="22" t="s">
        <v>861</v>
      </c>
      <c r="F77" s="24" t="s">
        <v>67</v>
      </c>
      <c r="G77" s="22" t="s">
        <v>135</v>
      </c>
      <c r="H77" s="22" t="s">
        <v>174</v>
      </c>
      <c r="I77" s="22" t="s">
        <v>67</v>
      </c>
      <c r="J77" s="22" t="s">
        <v>67</v>
      </c>
      <c r="K77" s="22" t="s">
        <v>160</v>
      </c>
      <c r="L77" s="24" t="s">
        <v>114</v>
      </c>
      <c r="M77" s="24" t="s">
        <v>474</v>
      </c>
      <c r="N77" s="25" t="s">
        <v>515</v>
      </c>
      <c r="O77" s="23" t="s">
        <v>198</v>
      </c>
      <c r="P77" s="22" t="s">
        <v>70</v>
      </c>
      <c r="Q77" s="22"/>
      <c r="R77" s="22"/>
      <c r="S77" s="22">
        <v>45</v>
      </c>
      <c r="T77" s="22">
        <f>ROUND(IF(D77=Table!$C$3,V77*Table!$C$4/8,V77*Table!$D$4/8),3)</f>
        <v>26.244</v>
      </c>
      <c r="U77" s="22">
        <f t="shared" si="13"/>
        <v>26.244</v>
      </c>
      <c r="V77" s="22">
        <v>1.615</v>
      </c>
      <c r="W77" s="22">
        <v>3</v>
      </c>
      <c r="X77" s="22" t="s">
        <v>80</v>
      </c>
      <c r="Y77" s="26">
        <v>43896</v>
      </c>
      <c r="Z77" s="26">
        <v>43901</v>
      </c>
      <c r="AA77" s="26">
        <v>43899</v>
      </c>
      <c r="AB77" s="26">
        <v>43899</v>
      </c>
      <c r="AC77" s="28" t="s">
        <v>201</v>
      </c>
      <c r="AD77" s="28"/>
      <c r="AE77" s="28"/>
      <c r="AF77" s="54">
        <v>1</v>
      </c>
      <c r="AG77" s="54">
        <v>1</v>
      </c>
      <c r="AH77" s="54" t="s">
        <v>216</v>
      </c>
      <c r="AI77" s="22"/>
      <c r="AJ77" s="22"/>
      <c r="AK77" s="22" t="s">
        <v>213</v>
      </c>
    </row>
    <row r="78" spans="1:37" x14ac:dyDescent="0.25">
      <c r="B78" s="44">
        <v>16</v>
      </c>
      <c r="C78" s="23">
        <v>20200305</v>
      </c>
      <c r="D78" s="22" t="s">
        <v>2</v>
      </c>
      <c r="E78" s="22" t="s">
        <v>861</v>
      </c>
      <c r="F78" s="24" t="s">
        <v>67</v>
      </c>
      <c r="G78" s="22" t="s">
        <v>136</v>
      </c>
      <c r="H78" s="22" t="s">
        <v>175</v>
      </c>
      <c r="I78" s="22" t="s">
        <v>67</v>
      </c>
      <c r="J78" s="22" t="s">
        <v>67</v>
      </c>
      <c r="K78" s="22" t="s">
        <v>160</v>
      </c>
      <c r="L78" s="24" t="s">
        <v>115</v>
      </c>
      <c r="M78" s="24" t="s">
        <v>474</v>
      </c>
      <c r="N78" s="25" t="s">
        <v>516</v>
      </c>
      <c r="O78" s="23" t="s">
        <v>198</v>
      </c>
      <c r="P78" s="22" t="s">
        <v>70</v>
      </c>
      <c r="Q78" s="22"/>
      <c r="R78" s="22"/>
      <c r="S78" s="22">
        <v>38</v>
      </c>
      <c r="T78" s="22">
        <f>ROUND(IF(D78=Table!$C$3,V78*Table!$C$4/8,V78*Table!$D$4/8),3)</f>
        <v>26.244</v>
      </c>
      <c r="U78" s="22">
        <f t="shared" si="13"/>
        <v>26.244</v>
      </c>
      <c r="V78" s="22">
        <v>1.615</v>
      </c>
      <c r="W78" s="22">
        <v>3</v>
      </c>
      <c r="X78" s="22" t="s">
        <v>80</v>
      </c>
      <c r="Y78" s="26">
        <v>43896</v>
      </c>
      <c r="Z78" s="26">
        <v>43901</v>
      </c>
      <c r="AA78" s="26">
        <v>43896</v>
      </c>
      <c r="AB78" s="26">
        <v>43896</v>
      </c>
      <c r="AC78" s="28" t="s">
        <v>201</v>
      </c>
      <c r="AD78" s="28"/>
      <c r="AE78" s="28"/>
      <c r="AF78" s="52">
        <v>1</v>
      </c>
      <c r="AG78" s="52">
        <v>1</v>
      </c>
      <c r="AH78" s="52">
        <v>1</v>
      </c>
      <c r="AI78" s="22"/>
      <c r="AJ78" s="22"/>
      <c r="AK78" s="22"/>
    </row>
    <row r="79" spans="1:37" x14ac:dyDescent="0.25">
      <c r="B79" s="44">
        <v>17</v>
      </c>
      <c r="C79" s="23">
        <v>20200305</v>
      </c>
      <c r="D79" s="22" t="s">
        <v>2</v>
      </c>
      <c r="E79" s="22" t="s">
        <v>861</v>
      </c>
      <c r="F79" s="24" t="s">
        <v>67</v>
      </c>
      <c r="G79" s="22" t="s">
        <v>137</v>
      </c>
      <c r="H79" s="22" t="s">
        <v>176</v>
      </c>
      <c r="I79" s="22" t="s">
        <v>67</v>
      </c>
      <c r="J79" s="22" t="s">
        <v>67</v>
      </c>
      <c r="K79" s="22" t="s">
        <v>160</v>
      </c>
      <c r="L79" s="24" t="s">
        <v>116</v>
      </c>
      <c r="M79" s="24" t="s">
        <v>474</v>
      </c>
      <c r="N79" s="25" t="s">
        <v>517</v>
      </c>
      <c r="O79" s="23" t="s">
        <v>198</v>
      </c>
      <c r="P79" s="22" t="s">
        <v>70</v>
      </c>
      <c r="Q79" s="22"/>
      <c r="R79" s="22"/>
      <c r="S79" s="22">
        <v>80</v>
      </c>
      <c r="T79" s="22">
        <f>ROUND(IF(D79=Table!$C$3,V79*Table!$C$4/8,V79*Table!$D$4/8),3)</f>
        <v>125.694</v>
      </c>
      <c r="U79" s="22">
        <f t="shared" si="13"/>
        <v>125.694</v>
      </c>
      <c r="V79" s="22">
        <v>7.7349999999999994</v>
      </c>
      <c r="W79" s="22">
        <v>8</v>
      </c>
      <c r="X79" s="22" t="s">
        <v>80</v>
      </c>
      <c r="Y79" s="26">
        <v>43896</v>
      </c>
      <c r="Z79" s="26">
        <v>43901</v>
      </c>
      <c r="AA79" s="26">
        <v>43896</v>
      </c>
      <c r="AB79" s="26">
        <v>43901</v>
      </c>
      <c r="AC79" s="28" t="s">
        <v>201</v>
      </c>
      <c r="AD79" s="28"/>
      <c r="AE79" s="28"/>
      <c r="AF79" s="52">
        <v>1</v>
      </c>
      <c r="AG79" s="52">
        <v>1</v>
      </c>
      <c r="AH79" s="52">
        <v>1</v>
      </c>
      <c r="AI79" s="22"/>
      <c r="AJ79" s="22"/>
      <c r="AK79" s="22"/>
    </row>
    <row r="80" spans="1:37" x14ac:dyDescent="0.25">
      <c r="B80" s="44">
        <v>18</v>
      </c>
      <c r="C80" s="23">
        <v>20200305</v>
      </c>
      <c r="D80" s="22" t="s">
        <v>2</v>
      </c>
      <c r="E80" s="24" t="s">
        <v>861</v>
      </c>
      <c r="F80" s="24" t="s">
        <v>67</v>
      </c>
      <c r="G80" s="22" t="s">
        <v>138</v>
      </c>
      <c r="H80" s="22" t="s">
        <v>177</v>
      </c>
      <c r="I80" s="22" t="s">
        <v>67</v>
      </c>
      <c r="J80" s="22" t="s">
        <v>67</v>
      </c>
      <c r="K80" s="22" t="s">
        <v>160</v>
      </c>
      <c r="L80" s="24" t="s">
        <v>117</v>
      </c>
      <c r="M80" s="24" t="s">
        <v>474</v>
      </c>
      <c r="N80" s="25" t="s">
        <v>518</v>
      </c>
      <c r="O80" s="23" t="s">
        <v>198</v>
      </c>
      <c r="P80" s="22" t="s">
        <v>70</v>
      </c>
      <c r="Q80" s="22"/>
      <c r="R80" s="22"/>
      <c r="S80" s="22">
        <v>60</v>
      </c>
      <c r="T80" s="22">
        <f>ROUND(IF(D80=Table!$C$3,V80*Table!$C$4/8,V80*Table!$D$4/8),3)</f>
        <v>31.768999999999998</v>
      </c>
      <c r="U80" s="22">
        <f t="shared" si="13"/>
        <v>31.768999999999998</v>
      </c>
      <c r="V80" s="22">
        <v>1.9549999999999998</v>
      </c>
      <c r="W80" s="22">
        <v>2</v>
      </c>
      <c r="X80" s="22" t="s">
        <v>80</v>
      </c>
      <c r="Y80" s="26">
        <v>43896</v>
      </c>
      <c r="Z80" s="26">
        <v>43901</v>
      </c>
      <c r="AA80" s="26">
        <v>43899</v>
      </c>
      <c r="AB80" s="26">
        <v>43899</v>
      </c>
      <c r="AC80" s="28" t="s">
        <v>201</v>
      </c>
      <c r="AD80" s="28"/>
      <c r="AE80" s="28"/>
      <c r="AF80" s="52">
        <v>0.96</v>
      </c>
      <c r="AG80" s="52">
        <v>0.96</v>
      </c>
      <c r="AH80" s="52" t="s">
        <v>216</v>
      </c>
      <c r="AI80" s="22" t="s">
        <v>479</v>
      </c>
      <c r="AJ80" s="22"/>
      <c r="AK80" s="22"/>
    </row>
    <row r="81" spans="2:37" x14ac:dyDescent="0.25">
      <c r="B81" s="44">
        <v>19</v>
      </c>
      <c r="C81" s="23">
        <v>20200305</v>
      </c>
      <c r="D81" s="22" t="s">
        <v>2</v>
      </c>
      <c r="E81" s="22" t="s">
        <v>861</v>
      </c>
      <c r="F81" s="24" t="s">
        <v>67</v>
      </c>
      <c r="G81" s="22" t="s">
        <v>139</v>
      </c>
      <c r="H81" s="22" t="s">
        <v>178</v>
      </c>
      <c r="I81" s="22" t="s">
        <v>67</v>
      </c>
      <c r="J81" s="22" t="s">
        <v>67</v>
      </c>
      <c r="K81" s="22" t="s">
        <v>160</v>
      </c>
      <c r="L81" s="24" t="s">
        <v>118</v>
      </c>
      <c r="M81" s="24" t="s">
        <v>474</v>
      </c>
      <c r="N81" s="25" t="s">
        <v>519</v>
      </c>
      <c r="O81" s="23" t="s">
        <v>198</v>
      </c>
      <c r="P81" s="22" t="s">
        <v>70</v>
      </c>
      <c r="Q81" s="22"/>
      <c r="R81" s="22"/>
      <c r="S81" s="22">
        <v>103</v>
      </c>
      <c r="T81" s="22">
        <f>ROUND(IF(D81=Table!$C$3,V81*Table!$C$4/8,V81*Table!$D$4/8),3)</f>
        <v>48.344000000000001</v>
      </c>
      <c r="U81" s="22">
        <f t="shared" si="13"/>
        <v>48.344000000000001</v>
      </c>
      <c r="V81" s="22">
        <v>2.9750000000000001</v>
      </c>
      <c r="W81" s="22">
        <v>8</v>
      </c>
      <c r="X81" s="22" t="s">
        <v>80</v>
      </c>
      <c r="Y81" s="26">
        <v>43896</v>
      </c>
      <c r="Z81" s="26">
        <v>43901</v>
      </c>
      <c r="AA81" s="26">
        <v>43903</v>
      </c>
      <c r="AB81" s="26">
        <v>43903</v>
      </c>
      <c r="AC81" s="28" t="s">
        <v>202</v>
      </c>
      <c r="AD81" s="28"/>
      <c r="AE81" s="28"/>
      <c r="AF81" s="52">
        <v>0.79200000000000004</v>
      </c>
      <c r="AG81" s="52">
        <v>0.81099999999999994</v>
      </c>
      <c r="AH81" s="52">
        <v>1</v>
      </c>
      <c r="AI81" s="22" t="s">
        <v>480</v>
      </c>
      <c r="AJ81" s="36"/>
      <c r="AK81" s="22"/>
    </row>
    <row r="82" spans="2:37" x14ac:dyDescent="0.25">
      <c r="B82" s="44">
        <v>20</v>
      </c>
      <c r="C82" s="23">
        <v>20200305</v>
      </c>
      <c r="D82" s="22" t="s">
        <v>2</v>
      </c>
      <c r="E82" s="22" t="s">
        <v>861</v>
      </c>
      <c r="F82" s="24" t="s">
        <v>67</v>
      </c>
      <c r="G82" s="22" t="s">
        <v>140</v>
      </c>
      <c r="H82" s="22" t="s">
        <v>179</v>
      </c>
      <c r="I82" s="22" t="s">
        <v>67</v>
      </c>
      <c r="J82" s="22" t="s">
        <v>67</v>
      </c>
      <c r="K82" s="22" t="s">
        <v>160</v>
      </c>
      <c r="L82" s="24">
        <v>1</v>
      </c>
      <c r="M82" s="24" t="s">
        <v>474</v>
      </c>
      <c r="N82" s="25" t="s">
        <v>520</v>
      </c>
      <c r="O82" s="23" t="s">
        <v>198</v>
      </c>
      <c r="P82" s="22" t="s">
        <v>70</v>
      </c>
      <c r="Q82" s="22"/>
      <c r="R82" s="22"/>
      <c r="S82" s="22">
        <v>45</v>
      </c>
      <c r="T82" s="22">
        <f>ROUND(IF(D82=Table!$C$3,V82*Table!$C$4/8,V82*Table!$D$4/8),3)</f>
        <v>26.244</v>
      </c>
      <c r="U82" s="22">
        <f t="shared" si="13"/>
        <v>26.244</v>
      </c>
      <c r="V82" s="22">
        <v>1.615</v>
      </c>
      <c r="W82" s="22">
        <v>2</v>
      </c>
      <c r="X82" s="22" t="s">
        <v>80</v>
      </c>
      <c r="Y82" s="26">
        <v>43896</v>
      </c>
      <c r="Z82" s="26">
        <v>43901</v>
      </c>
      <c r="AA82" s="26">
        <v>43899</v>
      </c>
      <c r="AB82" s="26">
        <v>43899</v>
      </c>
      <c r="AC82" s="28" t="s">
        <v>202</v>
      </c>
      <c r="AD82" s="28"/>
      <c r="AE82" s="28"/>
      <c r="AF82" s="52">
        <v>1</v>
      </c>
      <c r="AG82" s="52">
        <v>1</v>
      </c>
      <c r="AH82" s="52">
        <v>1</v>
      </c>
      <c r="AI82" s="22"/>
      <c r="AJ82" s="22"/>
      <c r="AK82" s="22" t="s">
        <v>218</v>
      </c>
    </row>
    <row r="83" spans="2:37" x14ac:dyDescent="0.25">
      <c r="B83" s="44">
        <v>21</v>
      </c>
      <c r="C83" s="23">
        <v>20200305</v>
      </c>
      <c r="D83" s="22" t="s">
        <v>2</v>
      </c>
      <c r="E83" s="22" t="s">
        <v>861</v>
      </c>
      <c r="F83" s="24" t="s">
        <v>67</v>
      </c>
      <c r="G83" s="22" t="s">
        <v>141</v>
      </c>
      <c r="H83" s="22" t="s">
        <v>180</v>
      </c>
      <c r="I83" s="22" t="s">
        <v>67</v>
      </c>
      <c r="J83" s="22" t="s">
        <v>67</v>
      </c>
      <c r="K83" s="22" t="s">
        <v>160</v>
      </c>
      <c r="L83" s="24">
        <v>1.2</v>
      </c>
      <c r="M83" s="24" t="s">
        <v>474</v>
      </c>
      <c r="N83" s="25" t="s">
        <v>521</v>
      </c>
      <c r="O83" s="23" t="s">
        <v>198</v>
      </c>
      <c r="P83" s="22" t="s">
        <v>70</v>
      </c>
      <c r="Q83" s="22"/>
      <c r="R83" s="22"/>
      <c r="S83" s="22">
        <v>54</v>
      </c>
      <c r="T83" s="22">
        <f>ROUND(IF(D83=Table!$C$3,V83*Table!$C$4/8,V83*Table!$D$4/8),3)</f>
        <v>59.393999999999998</v>
      </c>
      <c r="U83" s="22">
        <f t="shared" si="13"/>
        <v>59.393999999999998</v>
      </c>
      <c r="V83" s="22">
        <v>3.6549999999999998</v>
      </c>
      <c r="W83" s="22">
        <v>2</v>
      </c>
      <c r="X83" s="22" t="s">
        <v>80</v>
      </c>
      <c r="Y83" s="26">
        <v>43896</v>
      </c>
      <c r="Z83" s="26">
        <v>43901</v>
      </c>
      <c r="AA83" s="26">
        <v>43901</v>
      </c>
      <c r="AB83" s="26">
        <v>43901</v>
      </c>
      <c r="AC83" s="28" t="s">
        <v>202</v>
      </c>
      <c r="AD83" s="28"/>
      <c r="AE83" s="28"/>
      <c r="AF83" s="52">
        <v>1</v>
      </c>
      <c r="AG83" s="52">
        <v>1</v>
      </c>
      <c r="AH83" s="52">
        <v>0.92299999999999993</v>
      </c>
      <c r="AI83" s="22" t="s">
        <v>219</v>
      </c>
      <c r="AJ83" s="22"/>
      <c r="AK83" s="22"/>
    </row>
    <row r="84" spans="2:37" x14ac:dyDescent="0.25">
      <c r="B84" s="44">
        <v>22</v>
      </c>
      <c r="C84" s="23">
        <v>20200305</v>
      </c>
      <c r="D84" s="22" t="s">
        <v>2</v>
      </c>
      <c r="E84" s="22" t="s">
        <v>861</v>
      </c>
      <c r="F84" s="24" t="s">
        <v>67</v>
      </c>
      <c r="G84" s="22" t="s">
        <v>142</v>
      </c>
      <c r="H84" s="22" t="s">
        <v>181</v>
      </c>
      <c r="I84" s="22" t="s">
        <v>67</v>
      </c>
      <c r="J84" s="22" t="s">
        <v>67</v>
      </c>
      <c r="K84" s="22" t="s">
        <v>160</v>
      </c>
      <c r="L84" s="24">
        <v>1.3</v>
      </c>
      <c r="M84" s="24" t="s">
        <v>474</v>
      </c>
      <c r="N84" s="25" t="s">
        <v>522</v>
      </c>
      <c r="O84" s="23" t="s">
        <v>198</v>
      </c>
      <c r="P84" s="22" t="s">
        <v>70</v>
      </c>
      <c r="Q84" s="22"/>
      <c r="R84" s="22"/>
      <c r="S84" s="22">
        <v>50</v>
      </c>
      <c r="T84" s="22">
        <f>ROUND(IF(D84=Table!$C$3,V84*Table!$C$4/8,V84*Table!$D$4/8),3)</f>
        <v>37.293999999999997</v>
      </c>
      <c r="U84" s="22">
        <f t="shared" si="13"/>
        <v>37.293999999999997</v>
      </c>
      <c r="V84" s="22">
        <v>2.2949999999999999</v>
      </c>
      <c r="W84" s="22">
        <v>2</v>
      </c>
      <c r="X84" s="22" t="s">
        <v>80</v>
      </c>
      <c r="Y84" s="26">
        <v>43896</v>
      </c>
      <c r="Z84" s="26">
        <v>43901</v>
      </c>
      <c r="AA84" s="26">
        <v>43900</v>
      </c>
      <c r="AB84" s="26">
        <v>43900</v>
      </c>
      <c r="AC84" s="28" t="s">
        <v>201</v>
      </c>
      <c r="AD84" s="28"/>
      <c r="AE84" s="28"/>
      <c r="AF84" s="52">
        <v>1</v>
      </c>
      <c r="AG84" s="52">
        <v>1</v>
      </c>
      <c r="AH84" s="52">
        <v>1</v>
      </c>
      <c r="AI84" s="22"/>
      <c r="AJ84" s="22"/>
      <c r="AK84" s="22"/>
    </row>
    <row r="85" spans="2:37" x14ac:dyDescent="0.25">
      <c r="B85" s="44">
        <v>23</v>
      </c>
      <c r="C85" s="23">
        <v>20200305</v>
      </c>
      <c r="D85" s="22" t="s">
        <v>2</v>
      </c>
      <c r="E85" s="22" t="s">
        <v>861</v>
      </c>
      <c r="F85" s="24" t="s">
        <v>67</v>
      </c>
      <c r="G85" s="22" t="s">
        <v>143</v>
      </c>
      <c r="H85" s="22" t="s">
        <v>182</v>
      </c>
      <c r="I85" s="22" t="s">
        <v>67</v>
      </c>
      <c r="J85" s="22" t="s">
        <v>67</v>
      </c>
      <c r="K85" s="22" t="s">
        <v>160</v>
      </c>
      <c r="L85" s="24">
        <v>5.1100000000000003</v>
      </c>
      <c r="M85" s="24" t="s">
        <v>474</v>
      </c>
      <c r="N85" s="25" t="s">
        <v>523</v>
      </c>
      <c r="O85" s="23" t="s">
        <v>198</v>
      </c>
      <c r="P85" s="22" t="s">
        <v>70</v>
      </c>
      <c r="Q85" s="22"/>
      <c r="R85" s="22"/>
      <c r="S85" s="22">
        <v>39</v>
      </c>
      <c r="T85" s="22">
        <f>ROUND(IF(D85=Table!$C$3,V85*Table!$C$4/8,V85*Table!$D$4/8),3)</f>
        <v>26.244</v>
      </c>
      <c r="U85" s="22">
        <f t="shared" si="13"/>
        <v>26.244</v>
      </c>
      <c r="V85" s="22">
        <v>1.615</v>
      </c>
      <c r="W85" s="22">
        <v>2</v>
      </c>
      <c r="X85" s="22" t="s">
        <v>80</v>
      </c>
      <c r="Y85" s="26">
        <v>43896</v>
      </c>
      <c r="Z85" s="26">
        <v>43901</v>
      </c>
      <c r="AA85" s="26">
        <v>43900</v>
      </c>
      <c r="AB85" s="26">
        <v>43900</v>
      </c>
      <c r="AC85" s="28" t="s">
        <v>201</v>
      </c>
      <c r="AD85" s="28"/>
      <c r="AE85" s="28"/>
      <c r="AF85" s="52">
        <v>1</v>
      </c>
      <c r="AG85" s="52">
        <v>1</v>
      </c>
      <c r="AH85" s="52" t="s">
        <v>216</v>
      </c>
      <c r="AI85" s="22" t="s">
        <v>217</v>
      </c>
      <c r="AJ85" s="22"/>
      <c r="AK85" s="22"/>
    </row>
    <row r="86" spans="2:37" x14ac:dyDescent="0.25">
      <c r="B86" s="44">
        <v>24</v>
      </c>
      <c r="C86" s="23">
        <v>20200305</v>
      </c>
      <c r="D86" s="22" t="s">
        <v>2</v>
      </c>
      <c r="E86" s="22" t="s">
        <v>861</v>
      </c>
      <c r="F86" s="24" t="s">
        <v>67</v>
      </c>
      <c r="G86" s="22" t="s">
        <v>144</v>
      </c>
      <c r="H86" s="22" t="s">
        <v>183</v>
      </c>
      <c r="I86" s="22" t="s">
        <v>67</v>
      </c>
      <c r="J86" s="22" t="s">
        <v>67</v>
      </c>
      <c r="K86" s="22" t="s">
        <v>160</v>
      </c>
      <c r="L86" s="24">
        <v>5.9</v>
      </c>
      <c r="M86" s="24" t="s">
        <v>474</v>
      </c>
      <c r="N86" s="25" t="s">
        <v>524</v>
      </c>
      <c r="O86" s="23" t="s">
        <v>200</v>
      </c>
      <c r="P86" s="22" t="s">
        <v>72</v>
      </c>
      <c r="Q86" s="22"/>
      <c r="R86" s="22"/>
      <c r="S86" s="22">
        <v>531</v>
      </c>
      <c r="T86" s="22">
        <f>ROUND(IF(D86=Table!$C$3,V86*Table!$C$4/8,V86*Table!$D$4/8),3)</f>
        <v>42.819000000000003</v>
      </c>
      <c r="U86" s="22">
        <f t="shared" si="13"/>
        <v>42.819000000000003</v>
      </c>
      <c r="V86" s="22">
        <v>2.6349999999999998</v>
      </c>
      <c r="W86" s="22">
        <v>3</v>
      </c>
      <c r="X86" s="22" t="s">
        <v>80</v>
      </c>
      <c r="Y86" s="26">
        <v>43896</v>
      </c>
      <c r="Z86" s="26">
        <v>43901</v>
      </c>
      <c r="AA86" s="26">
        <v>43896</v>
      </c>
      <c r="AB86" s="26">
        <v>43901</v>
      </c>
      <c r="AC86" s="28" t="s">
        <v>201</v>
      </c>
      <c r="AD86" s="28"/>
      <c r="AE86" s="28"/>
      <c r="AF86" s="52">
        <v>1</v>
      </c>
      <c r="AG86" s="52">
        <v>1</v>
      </c>
      <c r="AH86" s="52" t="s">
        <v>216</v>
      </c>
      <c r="AI86" s="22"/>
      <c r="AJ86" s="22"/>
      <c r="AK86" s="22" t="s">
        <v>220</v>
      </c>
    </row>
    <row r="87" spans="2:37" x14ac:dyDescent="0.25">
      <c r="B87" s="44">
        <v>25</v>
      </c>
      <c r="C87" s="23">
        <v>20200305</v>
      </c>
      <c r="D87" s="22" t="s">
        <v>2</v>
      </c>
      <c r="E87" s="22" t="s">
        <v>861</v>
      </c>
      <c r="F87" s="24" t="s">
        <v>67</v>
      </c>
      <c r="G87" s="22" t="s">
        <v>145</v>
      </c>
      <c r="H87" s="22" t="s">
        <v>184</v>
      </c>
      <c r="I87" s="22" t="s">
        <v>67</v>
      </c>
      <c r="J87" s="22" t="s">
        <v>67</v>
      </c>
      <c r="K87" s="22" t="s">
        <v>160</v>
      </c>
      <c r="L87" s="24">
        <v>1</v>
      </c>
      <c r="M87" s="24" t="s">
        <v>474</v>
      </c>
      <c r="N87" s="25" t="s">
        <v>525</v>
      </c>
      <c r="O87" s="23" t="s">
        <v>200</v>
      </c>
      <c r="P87" s="22" t="s">
        <v>72</v>
      </c>
      <c r="Q87" s="22"/>
      <c r="R87" s="22"/>
      <c r="S87" s="22">
        <v>36</v>
      </c>
      <c r="T87" s="22">
        <f>ROUND(IF(D87=Table!$C$3,V87*Table!$C$4/8,V87*Table!$D$4/8),3)</f>
        <v>20.719000000000001</v>
      </c>
      <c r="U87" s="22">
        <f t="shared" si="13"/>
        <v>20.719000000000001</v>
      </c>
      <c r="V87" s="22">
        <v>1.2749999999999999</v>
      </c>
      <c r="W87" s="22">
        <v>2</v>
      </c>
      <c r="X87" s="22" t="s">
        <v>80</v>
      </c>
      <c r="Y87" s="26">
        <v>43896</v>
      </c>
      <c r="Z87" s="26">
        <v>43901</v>
      </c>
      <c r="AA87" s="26">
        <v>43896</v>
      </c>
      <c r="AB87" s="26">
        <v>43896</v>
      </c>
      <c r="AC87" s="28" t="s">
        <v>201</v>
      </c>
      <c r="AD87" s="28"/>
      <c r="AE87" s="28"/>
      <c r="AF87" s="52">
        <v>1</v>
      </c>
      <c r="AG87" s="52">
        <v>1</v>
      </c>
      <c r="AH87" s="52">
        <v>1</v>
      </c>
      <c r="AI87" s="22"/>
      <c r="AJ87" s="22"/>
      <c r="AK87" s="22"/>
    </row>
    <row r="88" spans="2:37" x14ac:dyDescent="0.25">
      <c r="B88" s="44">
        <v>26</v>
      </c>
      <c r="C88" s="23">
        <v>20200305</v>
      </c>
      <c r="D88" s="22" t="s">
        <v>2</v>
      </c>
      <c r="E88" s="22" t="s">
        <v>861</v>
      </c>
      <c r="F88" s="24" t="s">
        <v>67</v>
      </c>
      <c r="G88" s="22" t="s">
        <v>146</v>
      </c>
      <c r="H88" s="22" t="s">
        <v>185</v>
      </c>
      <c r="I88" s="22" t="s">
        <v>67</v>
      </c>
      <c r="J88" s="22" t="s">
        <v>67</v>
      </c>
      <c r="K88" s="22" t="s">
        <v>160</v>
      </c>
      <c r="L88" s="24">
        <v>1</v>
      </c>
      <c r="M88" s="24" t="s">
        <v>474</v>
      </c>
      <c r="N88" s="25" t="s">
        <v>526</v>
      </c>
      <c r="O88" s="23" t="s">
        <v>200</v>
      </c>
      <c r="P88" s="22" t="s">
        <v>72</v>
      </c>
      <c r="Q88" s="22"/>
      <c r="R88" s="22"/>
      <c r="S88" s="22">
        <v>10</v>
      </c>
      <c r="T88" s="22">
        <f>ROUND(IF(D88=Table!$C$3,V88*Table!$C$4/8,V88*Table!$D$4/8),3)</f>
        <v>20.719000000000001</v>
      </c>
      <c r="U88" s="22">
        <f t="shared" si="13"/>
        <v>20.719000000000001</v>
      </c>
      <c r="V88" s="22">
        <v>1.2749999999999999</v>
      </c>
      <c r="W88" s="22">
        <v>2</v>
      </c>
      <c r="X88" s="22" t="s">
        <v>80</v>
      </c>
      <c r="Y88" s="26">
        <v>43896</v>
      </c>
      <c r="Z88" s="26">
        <v>43901</v>
      </c>
      <c r="AA88" s="26">
        <v>43896</v>
      </c>
      <c r="AB88" s="26">
        <v>43901</v>
      </c>
      <c r="AC88" s="28" t="s">
        <v>201</v>
      </c>
      <c r="AD88" s="28"/>
      <c r="AE88" s="28"/>
      <c r="AF88" s="52">
        <v>1</v>
      </c>
      <c r="AG88" s="52">
        <v>1</v>
      </c>
      <c r="AH88" s="52" t="s">
        <v>216</v>
      </c>
      <c r="AI88" s="22"/>
      <c r="AJ88" s="22"/>
      <c r="AK88" s="22" t="s">
        <v>220</v>
      </c>
    </row>
    <row r="89" spans="2:37" x14ac:dyDescent="0.25">
      <c r="B89" s="44">
        <v>27</v>
      </c>
      <c r="C89" s="23">
        <v>20200305</v>
      </c>
      <c r="D89" s="22" t="s">
        <v>2</v>
      </c>
      <c r="E89" s="22" t="s">
        <v>861</v>
      </c>
      <c r="F89" s="24" t="s">
        <v>67</v>
      </c>
      <c r="G89" s="22" t="s">
        <v>147</v>
      </c>
      <c r="H89" s="22" t="s">
        <v>186</v>
      </c>
      <c r="I89" s="22" t="s">
        <v>67</v>
      </c>
      <c r="J89" s="22" t="s">
        <v>67</v>
      </c>
      <c r="K89" s="22" t="s">
        <v>160</v>
      </c>
      <c r="L89" s="24">
        <v>4.12</v>
      </c>
      <c r="M89" s="24" t="s">
        <v>474</v>
      </c>
      <c r="N89" s="25" t="s">
        <v>527</v>
      </c>
      <c r="O89" s="23" t="s">
        <v>200</v>
      </c>
      <c r="P89" s="22" t="s">
        <v>72</v>
      </c>
      <c r="Q89" s="22"/>
      <c r="R89" s="22"/>
      <c r="S89" s="22">
        <v>36</v>
      </c>
      <c r="T89" s="22">
        <f>ROUND(IF(D89=Table!$C$3,V89*Table!$C$4/8,V89*Table!$D$4/8),3)</f>
        <v>20.719000000000001</v>
      </c>
      <c r="U89" s="22">
        <f t="shared" si="13"/>
        <v>20.719000000000001</v>
      </c>
      <c r="V89" s="22">
        <v>1.2749999999999999</v>
      </c>
      <c r="W89" s="22">
        <v>2</v>
      </c>
      <c r="X89" s="22" t="s">
        <v>80</v>
      </c>
      <c r="Y89" s="26">
        <v>43896</v>
      </c>
      <c r="Z89" s="26">
        <v>43901</v>
      </c>
      <c r="AA89" s="26">
        <v>43896</v>
      </c>
      <c r="AB89" s="26">
        <v>43901</v>
      </c>
      <c r="AC89" s="28" t="s">
        <v>201</v>
      </c>
      <c r="AD89" s="28"/>
      <c r="AE89" s="28"/>
      <c r="AF89" s="52">
        <v>1</v>
      </c>
      <c r="AG89" s="52">
        <v>1</v>
      </c>
      <c r="AH89" s="52" t="s">
        <v>216</v>
      </c>
      <c r="AI89" s="22"/>
      <c r="AJ89" s="22"/>
      <c r="AK89" s="22" t="s">
        <v>220</v>
      </c>
    </row>
    <row r="90" spans="2:37" x14ac:dyDescent="0.25">
      <c r="B90" s="44">
        <v>28</v>
      </c>
      <c r="C90" s="23">
        <v>20200305</v>
      </c>
      <c r="D90" s="22" t="s">
        <v>2</v>
      </c>
      <c r="E90" s="22" t="s">
        <v>861</v>
      </c>
      <c r="F90" s="24" t="s">
        <v>67</v>
      </c>
      <c r="G90" s="22" t="s">
        <v>148</v>
      </c>
      <c r="H90" s="22" t="s">
        <v>187</v>
      </c>
      <c r="I90" s="22" t="s">
        <v>67</v>
      </c>
      <c r="J90" s="22" t="s">
        <v>67</v>
      </c>
      <c r="K90" s="22" t="s">
        <v>160</v>
      </c>
      <c r="L90" s="24">
        <v>1.4</v>
      </c>
      <c r="M90" s="24" t="s">
        <v>474</v>
      </c>
      <c r="N90" s="25" t="s">
        <v>528</v>
      </c>
      <c r="O90" s="23" t="s">
        <v>200</v>
      </c>
      <c r="P90" s="22" t="s">
        <v>72</v>
      </c>
      <c r="Q90" s="22"/>
      <c r="R90" s="22"/>
      <c r="S90" s="22">
        <v>36</v>
      </c>
      <c r="T90" s="22">
        <f>ROUND(IF(D90=Table!$C$3,V90*Table!$C$4/8,V90*Table!$D$4/8),3)</f>
        <v>20.719000000000001</v>
      </c>
      <c r="U90" s="22">
        <f t="shared" si="13"/>
        <v>20.719000000000001</v>
      </c>
      <c r="V90" s="22">
        <v>1.2749999999999999</v>
      </c>
      <c r="W90" s="22">
        <v>2</v>
      </c>
      <c r="X90" s="22" t="s">
        <v>80</v>
      </c>
      <c r="Y90" s="26">
        <v>43896</v>
      </c>
      <c r="Z90" s="26">
        <v>43901</v>
      </c>
      <c r="AA90" s="26">
        <v>43896</v>
      </c>
      <c r="AB90" s="26">
        <v>43901</v>
      </c>
      <c r="AC90" s="28" t="s">
        <v>201</v>
      </c>
      <c r="AD90" s="28"/>
      <c r="AE90" s="28"/>
      <c r="AF90" s="52">
        <v>1</v>
      </c>
      <c r="AG90" s="52">
        <v>1</v>
      </c>
      <c r="AH90" s="52" t="s">
        <v>216</v>
      </c>
      <c r="AI90" s="22"/>
      <c r="AJ90" s="22"/>
      <c r="AK90" s="22" t="s">
        <v>220</v>
      </c>
    </row>
    <row r="91" spans="2:37" x14ac:dyDescent="0.25">
      <c r="B91" s="44">
        <v>29</v>
      </c>
      <c r="C91" s="23">
        <v>20200305</v>
      </c>
      <c r="D91" s="22" t="s">
        <v>2</v>
      </c>
      <c r="E91" s="22" t="s">
        <v>861</v>
      </c>
      <c r="F91" s="24" t="s">
        <v>67</v>
      </c>
      <c r="G91" s="22" t="s">
        <v>149</v>
      </c>
      <c r="H91" s="22" t="s">
        <v>188</v>
      </c>
      <c r="I91" s="22" t="s">
        <v>67</v>
      </c>
      <c r="J91" s="22" t="s">
        <v>67</v>
      </c>
      <c r="K91" s="22" t="s">
        <v>160</v>
      </c>
      <c r="L91" s="24">
        <v>1.1200000000000001</v>
      </c>
      <c r="M91" s="24" t="s">
        <v>474</v>
      </c>
      <c r="N91" s="25" t="s">
        <v>529</v>
      </c>
      <c r="O91" s="23" t="s">
        <v>200</v>
      </c>
      <c r="P91" s="22" t="s">
        <v>70</v>
      </c>
      <c r="Q91" s="22"/>
      <c r="R91" s="22"/>
      <c r="S91" s="22">
        <v>10</v>
      </c>
      <c r="T91" s="22">
        <f>ROUND(IF(D91=Table!$C$3,V91*Table!$C$4/8,V91*Table!$D$4/8),3)</f>
        <v>20.719000000000001</v>
      </c>
      <c r="U91" s="22">
        <f t="shared" si="13"/>
        <v>20.719000000000001</v>
      </c>
      <c r="V91" s="22">
        <v>1.2749999999999999</v>
      </c>
      <c r="W91" s="22">
        <v>1</v>
      </c>
      <c r="X91" s="22" t="s">
        <v>80</v>
      </c>
      <c r="Y91" s="26">
        <v>43896</v>
      </c>
      <c r="Z91" s="26">
        <v>43901</v>
      </c>
      <c r="AA91" s="26">
        <v>43896</v>
      </c>
      <c r="AB91" s="26">
        <v>43901</v>
      </c>
      <c r="AC91" s="28" t="s">
        <v>201</v>
      </c>
      <c r="AD91" s="28"/>
      <c r="AE91" s="28"/>
      <c r="AF91" s="56">
        <v>1</v>
      </c>
      <c r="AG91" s="56">
        <v>1</v>
      </c>
      <c r="AH91" s="57" t="s">
        <v>216</v>
      </c>
      <c r="AI91" s="22"/>
      <c r="AJ91" s="22"/>
      <c r="AK91" s="22" t="s">
        <v>220</v>
      </c>
    </row>
    <row r="92" spans="2:37" x14ac:dyDescent="0.25">
      <c r="B92" s="44">
        <v>30</v>
      </c>
      <c r="C92" s="23">
        <v>20200305</v>
      </c>
      <c r="D92" s="22" t="s">
        <v>2</v>
      </c>
      <c r="E92" s="22" t="s">
        <v>861</v>
      </c>
      <c r="F92" s="24" t="s">
        <v>67</v>
      </c>
      <c r="G92" s="22" t="s">
        <v>150</v>
      </c>
      <c r="H92" s="22" t="s">
        <v>189</v>
      </c>
      <c r="I92" s="22" t="s">
        <v>67</v>
      </c>
      <c r="J92" s="22" t="s">
        <v>67</v>
      </c>
      <c r="K92" s="22" t="s">
        <v>160</v>
      </c>
      <c r="L92" s="24">
        <v>8.5</v>
      </c>
      <c r="M92" s="24" t="s">
        <v>474</v>
      </c>
      <c r="N92" s="25" t="s">
        <v>530</v>
      </c>
      <c r="O92" s="23" t="s">
        <v>200</v>
      </c>
      <c r="P92" s="22" t="s">
        <v>72</v>
      </c>
      <c r="Q92" s="22"/>
      <c r="R92" s="22"/>
      <c r="S92" s="22">
        <v>61</v>
      </c>
      <c r="T92" s="22">
        <f>ROUND(IF(D92=Table!$C$3,V92*Table!$C$4/8,V92*Table!$D$4/8),3)</f>
        <v>26.244</v>
      </c>
      <c r="U92" s="22">
        <f t="shared" si="13"/>
        <v>26.244</v>
      </c>
      <c r="V92" s="22">
        <v>1.615</v>
      </c>
      <c r="W92" s="22">
        <v>2</v>
      </c>
      <c r="X92" s="22" t="s">
        <v>80</v>
      </c>
      <c r="Y92" s="26">
        <v>43896</v>
      </c>
      <c r="Z92" s="26">
        <v>43901</v>
      </c>
      <c r="AA92" s="26">
        <v>43896</v>
      </c>
      <c r="AB92" s="26">
        <v>43901</v>
      </c>
      <c r="AC92" s="28" t="s">
        <v>201</v>
      </c>
      <c r="AD92" s="28"/>
      <c r="AE92" s="28"/>
      <c r="AF92" s="52">
        <v>1</v>
      </c>
      <c r="AG92" s="52">
        <v>1</v>
      </c>
      <c r="AH92" s="52" t="s">
        <v>216</v>
      </c>
      <c r="AI92" s="22"/>
      <c r="AJ92" s="22"/>
      <c r="AK92" s="22" t="s">
        <v>220</v>
      </c>
    </row>
    <row r="93" spans="2:37" x14ac:dyDescent="0.25">
      <c r="B93" s="44">
        <v>31</v>
      </c>
      <c r="C93" s="23">
        <v>20200305</v>
      </c>
      <c r="D93" s="22" t="s">
        <v>2</v>
      </c>
      <c r="E93" s="22" t="s">
        <v>861</v>
      </c>
      <c r="F93" s="24" t="s">
        <v>67</v>
      </c>
      <c r="G93" s="22" t="s">
        <v>151</v>
      </c>
      <c r="H93" s="22" t="s">
        <v>190</v>
      </c>
      <c r="I93" s="22" t="s">
        <v>67</v>
      </c>
      <c r="J93" s="22" t="s">
        <v>67</v>
      </c>
      <c r="K93" s="22" t="s">
        <v>160</v>
      </c>
      <c r="L93" s="24">
        <v>6.13</v>
      </c>
      <c r="M93" s="24" t="s">
        <v>474</v>
      </c>
      <c r="N93" s="25" t="s">
        <v>531</v>
      </c>
      <c r="O93" s="23" t="s">
        <v>200</v>
      </c>
      <c r="P93" s="22" t="s">
        <v>72</v>
      </c>
      <c r="Q93" s="22"/>
      <c r="R93" s="22"/>
      <c r="S93" s="22">
        <v>89</v>
      </c>
      <c r="T93" s="22">
        <f>ROUND(IF(D93=Table!$C$3,V93*Table!$C$4/8,V93*Table!$D$4/8),3)</f>
        <v>125.694</v>
      </c>
      <c r="U93" s="22">
        <f t="shared" si="13"/>
        <v>125.694</v>
      </c>
      <c r="V93" s="22">
        <v>7.7349999999999994</v>
      </c>
      <c r="W93" s="22">
        <v>8</v>
      </c>
      <c r="X93" s="22" t="s">
        <v>80</v>
      </c>
      <c r="Y93" s="26">
        <v>43896</v>
      </c>
      <c r="Z93" s="26">
        <v>43901</v>
      </c>
      <c r="AA93" s="26">
        <v>43896</v>
      </c>
      <c r="AB93" s="26">
        <v>43901</v>
      </c>
      <c r="AC93" s="28" t="s">
        <v>202</v>
      </c>
      <c r="AD93" s="28"/>
      <c r="AE93" s="28"/>
      <c r="AF93" s="52">
        <v>1</v>
      </c>
      <c r="AG93" s="52">
        <v>1</v>
      </c>
      <c r="AH93" s="52">
        <v>0.94099999999999995</v>
      </c>
      <c r="AI93" s="22" t="s">
        <v>481</v>
      </c>
      <c r="AJ93" s="22"/>
      <c r="AK93" s="22"/>
    </row>
    <row r="94" spans="2:37" x14ac:dyDescent="0.25">
      <c r="B94" s="44">
        <v>32</v>
      </c>
      <c r="C94" s="23">
        <v>20200305</v>
      </c>
      <c r="D94" s="22" t="s">
        <v>2</v>
      </c>
      <c r="E94" s="22" t="s">
        <v>861</v>
      </c>
      <c r="F94" s="24" t="s">
        <v>67</v>
      </c>
      <c r="G94" s="22" t="s">
        <v>152</v>
      </c>
      <c r="H94" s="22" t="s">
        <v>191</v>
      </c>
      <c r="I94" s="22" t="s">
        <v>67</v>
      </c>
      <c r="J94" s="22" t="s">
        <v>67</v>
      </c>
      <c r="K94" s="22" t="s">
        <v>160</v>
      </c>
      <c r="L94" s="24">
        <v>1.1000000000000001</v>
      </c>
      <c r="M94" s="24" t="s">
        <v>474</v>
      </c>
      <c r="N94" s="25" t="s">
        <v>532</v>
      </c>
      <c r="O94" s="23" t="s">
        <v>200</v>
      </c>
      <c r="P94" s="22" t="s">
        <v>72</v>
      </c>
      <c r="Q94" s="22"/>
      <c r="R94" s="22"/>
      <c r="S94" s="22">
        <v>67</v>
      </c>
      <c r="T94" s="22">
        <f>ROUND(IF(D94=Table!$C$3,V94*Table!$C$4/8,V94*Table!$D$4/8),3)</f>
        <v>26.244</v>
      </c>
      <c r="U94" s="22">
        <f t="shared" si="13"/>
        <v>26.244</v>
      </c>
      <c r="V94" s="22">
        <v>1.615</v>
      </c>
      <c r="W94" s="22">
        <v>4</v>
      </c>
      <c r="X94" s="22" t="s">
        <v>80</v>
      </c>
      <c r="Y94" s="26">
        <v>43896</v>
      </c>
      <c r="Z94" s="26">
        <v>43901</v>
      </c>
      <c r="AA94" s="26">
        <v>43896</v>
      </c>
      <c r="AB94" s="26">
        <v>43901</v>
      </c>
      <c r="AC94" s="28" t="s">
        <v>202</v>
      </c>
      <c r="AD94" s="28"/>
      <c r="AE94" s="28"/>
      <c r="AF94" s="52">
        <v>0.95799999999999996</v>
      </c>
      <c r="AG94" s="52">
        <v>0.96400000000000008</v>
      </c>
      <c r="AH94" s="52">
        <v>1</v>
      </c>
      <c r="AI94" s="22" t="s">
        <v>222</v>
      </c>
      <c r="AJ94" s="22"/>
      <c r="AK94" s="22" t="s">
        <v>221</v>
      </c>
    </row>
    <row r="95" spans="2:37" x14ac:dyDescent="0.25">
      <c r="B95" s="44">
        <v>33</v>
      </c>
      <c r="C95" s="23">
        <v>20200305</v>
      </c>
      <c r="D95" s="22" t="s">
        <v>2</v>
      </c>
      <c r="E95" s="22" t="s">
        <v>861</v>
      </c>
      <c r="F95" s="24" t="s">
        <v>67</v>
      </c>
      <c r="G95" s="22" t="s">
        <v>153</v>
      </c>
      <c r="H95" s="22" t="s">
        <v>192</v>
      </c>
      <c r="I95" s="22" t="s">
        <v>67</v>
      </c>
      <c r="J95" s="22" t="s">
        <v>67</v>
      </c>
      <c r="K95" s="22" t="s">
        <v>160</v>
      </c>
      <c r="L95" s="24">
        <v>1.5</v>
      </c>
      <c r="M95" s="24" t="s">
        <v>474</v>
      </c>
      <c r="N95" s="25" t="s">
        <v>533</v>
      </c>
      <c r="O95" s="23" t="s">
        <v>200</v>
      </c>
      <c r="P95" s="22" t="s">
        <v>72</v>
      </c>
      <c r="Q95" s="22"/>
      <c r="R95" s="22"/>
      <c r="S95" s="22">
        <v>51</v>
      </c>
      <c r="T95" s="22">
        <f>ROUND(IF(D95=Table!$C$3,V95*Table!$C$4/8,V95*Table!$D$4/8),3)</f>
        <v>42.819000000000003</v>
      </c>
      <c r="U95" s="22">
        <f t="shared" si="13"/>
        <v>42.819000000000003</v>
      </c>
      <c r="V95" s="22">
        <v>2.6349999999999998</v>
      </c>
      <c r="W95" s="22">
        <v>3</v>
      </c>
      <c r="X95" s="22" t="s">
        <v>80</v>
      </c>
      <c r="Y95" s="26">
        <v>43896</v>
      </c>
      <c r="Z95" s="26">
        <v>43901</v>
      </c>
      <c r="AA95" s="26">
        <v>43896</v>
      </c>
      <c r="AB95" s="26">
        <v>43899</v>
      </c>
      <c r="AC95" s="28" t="s">
        <v>201</v>
      </c>
      <c r="AD95" s="28"/>
      <c r="AE95" s="28"/>
      <c r="AF95" s="52">
        <v>1</v>
      </c>
      <c r="AG95" s="52">
        <v>1</v>
      </c>
      <c r="AH95" s="52">
        <v>1</v>
      </c>
      <c r="AI95" s="22"/>
      <c r="AJ95" s="22"/>
      <c r="AK95" s="22"/>
    </row>
    <row r="96" spans="2:37" x14ac:dyDescent="0.25">
      <c r="B96" s="44">
        <v>34</v>
      </c>
      <c r="C96" s="23">
        <v>20200305</v>
      </c>
      <c r="D96" s="22" t="s">
        <v>2</v>
      </c>
      <c r="E96" s="22" t="s">
        <v>861</v>
      </c>
      <c r="F96" s="24" t="s">
        <v>67</v>
      </c>
      <c r="G96" s="22" t="s">
        <v>154</v>
      </c>
      <c r="H96" s="22" t="s">
        <v>193</v>
      </c>
      <c r="I96" s="22" t="s">
        <v>67</v>
      </c>
      <c r="J96" s="22" t="s">
        <v>67</v>
      </c>
      <c r="K96" s="22" t="s">
        <v>160</v>
      </c>
      <c r="L96" s="24">
        <v>2.2000000000000002</v>
      </c>
      <c r="M96" s="24" t="s">
        <v>474</v>
      </c>
      <c r="N96" s="25" t="s">
        <v>534</v>
      </c>
      <c r="O96" s="23" t="s">
        <v>200</v>
      </c>
      <c r="P96" s="22" t="s">
        <v>72</v>
      </c>
      <c r="Q96" s="22"/>
      <c r="R96" s="22"/>
      <c r="S96" s="22">
        <v>71</v>
      </c>
      <c r="T96" s="22">
        <f>ROUND(IF(D96=Table!$C$3,V96*Table!$C$4/8,V96*Table!$D$4/8),3)</f>
        <v>53.869</v>
      </c>
      <c r="U96" s="22">
        <f t="shared" si="13"/>
        <v>53.869</v>
      </c>
      <c r="V96" s="22">
        <v>3.3150000000000004</v>
      </c>
      <c r="W96" s="22">
        <v>4</v>
      </c>
      <c r="X96" s="22" t="s">
        <v>80</v>
      </c>
      <c r="Y96" s="26">
        <v>43896</v>
      </c>
      <c r="Z96" s="26">
        <v>43901</v>
      </c>
      <c r="AA96" s="26">
        <v>43896</v>
      </c>
      <c r="AB96" s="26">
        <v>43899</v>
      </c>
      <c r="AC96" s="28" t="s">
        <v>202</v>
      </c>
      <c r="AD96" s="28"/>
      <c r="AE96" s="28"/>
      <c r="AF96" s="52">
        <v>1</v>
      </c>
      <c r="AG96" s="52">
        <v>1</v>
      </c>
      <c r="AH96" s="52">
        <v>1</v>
      </c>
      <c r="AI96" s="22"/>
      <c r="AJ96" s="22"/>
      <c r="AK96" s="22"/>
    </row>
    <row r="97" spans="2:37" x14ac:dyDescent="0.25">
      <c r="B97" s="44">
        <v>35</v>
      </c>
      <c r="C97" s="23">
        <v>20200305</v>
      </c>
      <c r="D97" s="22" t="s">
        <v>2</v>
      </c>
      <c r="E97" s="22" t="s">
        <v>861</v>
      </c>
      <c r="F97" s="24" t="s">
        <v>67</v>
      </c>
      <c r="G97" s="22" t="s">
        <v>155</v>
      </c>
      <c r="H97" s="22" t="s">
        <v>194</v>
      </c>
      <c r="I97" s="22" t="s">
        <v>67</v>
      </c>
      <c r="J97" s="22" t="s">
        <v>67</v>
      </c>
      <c r="K97" s="22" t="s">
        <v>160</v>
      </c>
      <c r="L97" s="24">
        <v>1.1000000000000001</v>
      </c>
      <c r="M97" s="24" t="s">
        <v>474</v>
      </c>
      <c r="N97" s="25" t="s">
        <v>535</v>
      </c>
      <c r="O97" s="23" t="s">
        <v>200</v>
      </c>
      <c r="P97" s="22" t="s">
        <v>72</v>
      </c>
      <c r="Q97" s="22"/>
      <c r="R97" s="22"/>
      <c r="S97" s="22">
        <v>58</v>
      </c>
      <c r="T97" s="22">
        <f>ROUND(IF(D97=Table!$C$3,V97*Table!$C$4/8,V97*Table!$D$4/8),3)</f>
        <v>37.293999999999997</v>
      </c>
      <c r="U97" s="22">
        <f t="shared" si="13"/>
        <v>37.293999999999997</v>
      </c>
      <c r="V97" s="22">
        <v>2.2949999999999999</v>
      </c>
      <c r="W97" s="22">
        <v>4</v>
      </c>
      <c r="X97" s="22" t="s">
        <v>80</v>
      </c>
      <c r="Y97" s="26">
        <v>43896</v>
      </c>
      <c r="Z97" s="26">
        <v>43901</v>
      </c>
      <c r="AA97" s="26">
        <v>43896</v>
      </c>
      <c r="AB97" s="26">
        <v>43908</v>
      </c>
      <c r="AC97" s="28" t="s">
        <v>202</v>
      </c>
      <c r="AD97" s="28"/>
      <c r="AE97" s="28"/>
      <c r="AF97" s="52">
        <v>0.83900000000000008</v>
      </c>
      <c r="AG97" s="52">
        <v>0.84400000000000008</v>
      </c>
      <c r="AH97" s="52">
        <v>1</v>
      </c>
      <c r="AI97" s="22" t="s">
        <v>482</v>
      </c>
      <c r="AJ97" s="22"/>
      <c r="AK97" s="22"/>
    </row>
    <row r="98" spans="2:37" x14ac:dyDescent="0.25">
      <c r="B98" s="44">
        <v>36</v>
      </c>
      <c r="C98" s="23">
        <v>20200305</v>
      </c>
      <c r="D98" s="22" t="s">
        <v>2</v>
      </c>
      <c r="E98" s="22" t="s">
        <v>861</v>
      </c>
      <c r="F98" s="24" t="s">
        <v>67</v>
      </c>
      <c r="G98" s="22" t="s">
        <v>156</v>
      </c>
      <c r="H98" s="22" t="s">
        <v>195</v>
      </c>
      <c r="I98" s="22" t="s">
        <v>67</v>
      </c>
      <c r="J98" s="22" t="s">
        <v>67</v>
      </c>
      <c r="K98" s="22" t="s">
        <v>160</v>
      </c>
      <c r="L98" s="24" t="s">
        <v>119</v>
      </c>
      <c r="M98" s="24" t="s">
        <v>474</v>
      </c>
      <c r="N98" s="25" t="s">
        <v>536</v>
      </c>
      <c r="O98" s="23" t="s">
        <v>200</v>
      </c>
      <c r="P98" s="22" t="s">
        <v>72</v>
      </c>
      <c r="Q98" s="22"/>
      <c r="R98" s="22"/>
      <c r="S98" s="22">
        <v>47</v>
      </c>
      <c r="T98" s="22">
        <f>ROUND(IF(D98=Table!$C$3,V98*Table!$C$4/8,V98*Table!$D$4/8),3)</f>
        <v>26.244</v>
      </c>
      <c r="U98" s="22">
        <f t="shared" si="13"/>
        <v>26.244</v>
      </c>
      <c r="V98" s="22">
        <v>1.615</v>
      </c>
      <c r="W98" s="22">
        <v>4</v>
      </c>
      <c r="X98" s="22" t="s">
        <v>80</v>
      </c>
      <c r="Y98" s="26">
        <v>43896</v>
      </c>
      <c r="Z98" s="26">
        <v>43901</v>
      </c>
      <c r="AA98" s="26">
        <v>43896</v>
      </c>
      <c r="AB98" s="26">
        <v>43908</v>
      </c>
      <c r="AC98" s="28" t="s">
        <v>202</v>
      </c>
      <c r="AD98" s="28"/>
      <c r="AE98" s="28"/>
      <c r="AF98" s="52">
        <v>0.88500000000000001</v>
      </c>
      <c r="AG98" s="52">
        <v>0.88900000000000001</v>
      </c>
      <c r="AH98" s="52">
        <v>1</v>
      </c>
      <c r="AI98" s="22" t="s">
        <v>483</v>
      </c>
      <c r="AJ98" s="22"/>
      <c r="AK98" s="22" t="s">
        <v>223</v>
      </c>
    </row>
    <row r="99" spans="2:37" x14ac:dyDescent="0.25">
      <c r="B99" s="44">
        <v>37</v>
      </c>
      <c r="C99" s="23">
        <v>20200305</v>
      </c>
      <c r="D99" s="22" t="s">
        <v>2</v>
      </c>
      <c r="E99" s="22" t="s">
        <v>861</v>
      </c>
      <c r="F99" s="24" t="s">
        <v>67</v>
      </c>
      <c r="G99" s="22" t="s">
        <v>157</v>
      </c>
      <c r="H99" s="22" t="s">
        <v>196</v>
      </c>
      <c r="I99" s="22" t="s">
        <v>67</v>
      </c>
      <c r="J99" s="22" t="s">
        <v>67</v>
      </c>
      <c r="K99" s="22" t="s">
        <v>160</v>
      </c>
      <c r="L99" s="24" t="s">
        <v>120</v>
      </c>
      <c r="M99" s="24" t="s">
        <v>474</v>
      </c>
      <c r="N99" s="25" t="s">
        <v>537</v>
      </c>
      <c r="O99" s="23" t="s">
        <v>200</v>
      </c>
      <c r="P99" s="22" t="s">
        <v>72</v>
      </c>
      <c r="Q99" s="22"/>
      <c r="R99" s="22"/>
      <c r="S99" s="22">
        <v>32</v>
      </c>
      <c r="T99" s="22">
        <f>ROUND(IF(D99=Table!$C$3,V99*Table!$C$4/8,V99*Table!$D$4/8),3)</f>
        <v>31.768999999999998</v>
      </c>
      <c r="U99" s="22">
        <f t="shared" si="13"/>
        <v>31.768999999999998</v>
      </c>
      <c r="V99" s="22">
        <v>1.9549999999999998</v>
      </c>
      <c r="W99" s="22">
        <v>4</v>
      </c>
      <c r="X99" s="22" t="s">
        <v>80</v>
      </c>
      <c r="Y99" s="26">
        <v>43896</v>
      </c>
      <c r="Z99" s="26">
        <v>43901</v>
      </c>
      <c r="AA99" s="26">
        <v>43896</v>
      </c>
      <c r="AB99" s="26">
        <v>43908</v>
      </c>
      <c r="AC99" s="28" t="s">
        <v>202</v>
      </c>
      <c r="AD99" s="28"/>
      <c r="AE99" s="28"/>
      <c r="AF99" s="52">
        <v>0.75</v>
      </c>
      <c r="AG99" s="52">
        <v>0.75</v>
      </c>
      <c r="AH99" s="52">
        <v>0.90900000000000003</v>
      </c>
      <c r="AI99" s="22" t="s">
        <v>484</v>
      </c>
      <c r="AJ99" s="22"/>
      <c r="AK99" s="22"/>
    </row>
    <row r="100" spans="2:37" x14ac:dyDescent="0.25">
      <c r="B100" s="44">
        <v>38</v>
      </c>
      <c r="C100" s="23">
        <v>20200305</v>
      </c>
      <c r="D100" s="22" t="s">
        <v>2</v>
      </c>
      <c r="E100" s="22" t="s">
        <v>861</v>
      </c>
      <c r="F100" s="24" t="s">
        <v>67</v>
      </c>
      <c r="G100" s="22" t="s">
        <v>158</v>
      </c>
      <c r="H100" s="22" t="s">
        <v>197</v>
      </c>
      <c r="I100" s="22" t="s">
        <v>67</v>
      </c>
      <c r="J100" s="22" t="s">
        <v>67</v>
      </c>
      <c r="K100" s="22" t="s">
        <v>160</v>
      </c>
      <c r="L100" s="24">
        <v>1.2</v>
      </c>
      <c r="M100" s="24" t="s">
        <v>474</v>
      </c>
      <c r="N100" s="25" t="s">
        <v>538</v>
      </c>
      <c r="O100" s="23" t="s">
        <v>200</v>
      </c>
      <c r="P100" s="22" t="s">
        <v>72</v>
      </c>
      <c r="Q100" s="22"/>
      <c r="R100" s="22"/>
      <c r="S100" s="22">
        <v>73</v>
      </c>
      <c r="T100" s="22">
        <f>ROUND(IF(D100=Table!$C$3,V100*Table!$C$4/8,V100*Table!$D$4/8),3)</f>
        <v>42.819000000000003</v>
      </c>
      <c r="U100" s="22">
        <f t="shared" si="13"/>
        <v>42.819000000000003</v>
      </c>
      <c r="V100" s="22">
        <v>2.6349999999999998</v>
      </c>
      <c r="W100" s="22">
        <v>3</v>
      </c>
      <c r="X100" s="22" t="s">
        <v>80</v>
      </c>
      <c r="Y100" s="26">
        <v>43896</v>
      </c>
      <c r="Z100" s="26">
        <v>43901</v>
      </c>
      <c r="AA100" s="26">
        <v>43896</v>
      </c>
      <c r="AB100" s="26">
        <v>43896</v>
      </c>
      <c r="AC100" s="28" t="s">
        <v>201</v>
      </c>
      <c r="AD100" s="28"/>
      <c r="AE100" s="28"/>
      <c r="AF100" s="52">
        <v>1</v>
      </c>
      <c r="AG100" s="52">
        <v>1</v>
      </c>
      <c r="AH100" s="52">
        <v>1</v>
      </c>
      <c r="AI100" s="22"/>
      <c r="AJ100" s="22"/>
      <c r="AK100" s="22"/>
    </row>
    <row r="101" spans="2:37" x14ac:dyDescent="0.25">
      <c r="B101" s="45">
        <v>39</v>
      </c>
      <c r="C101" s="23">
        <v>20200306</v>
      </c>
      <c r="D101" s="22" t="s">
        <v>2</v>
      </c>
      <c r="E101" s="22" t="s">
        <v>206</v>
      </c>
      <c r="F101" s="24" t="s">
        <v>67</v>
      </c>
      <c r="G101" s="22" t="s">
        <v>207</v>
      </c>
      <c r="H101" s="22" t="s">
        <v>203</v>
      </c>
      <c r="I101" s="22" t="s">
        <v>67</v>
      </c>
      <c r="J101" s="22" t="s">
        <v>67</v>
      </c>
      <c r="K101" s="22" t="s">
        <v>212</v>
      </c>
      <c r="L101" s="24">
        <v>1</v>
      </c>
      <c r="M101" s="24" t="s">
        <v>211</v>
      </c>
      <c r="N101" s="25" t="s">
        <v>539</v>
      </c>
      <c r="O101" s="23" t="s">
        <v>210</v>
      </c>
      <c r="P101" s="22" t="s">
        <v>6</v>
      </c>
      <c r="Q101" s="22"/>
      <c r="R101" s="22"/>
      <c r="S101" s="22">
        <v>13</v>
      </c>
      <c r="T101" s="22">
        <f>ROUND(IF(D101=Table!$C$3,V101*Table!$C$4/8,V101*Table!$D$4/8),3)</f>
        <v>26</v>
      </c>
      <c r="U101" s="22">
        <f t="shared" si="13"/>
        <v>26</v>
      </c>
      <c r="V101" s="22">
        <v>1.6</v>
      </c>
      <c r="W101" s="22">
        <v>3</v>
      </c>
      <c r="X101" s="22" t="s">
        <v>80</v>
      </c>
      <c r="Y101" s="26">
        <v>43896</v>
      </c>
      <c r="Z101" s="26">
        <v>43899</v>
      </c>
      <c r="AA101" s="26">
        <v>43896</v>
      </c>
      <c r="AB101" s="26">
        <v>43896</v>
      </c>
      <c r="AC101" s="28" t="s">
        <v>202</v>
      </c>
      <c r="AD101" s="28"/>
      <c r="AE101" s="28"/>
      <c r="AF101" s="52">
        <v>0.84599999999999997</v>
      </c>
      <c r="AG101" s="52">
        <v>0.84599999999999997</v>
      </c>
      <c r="AH101" s="58" t="s">
        <v>67</v>
      </c>
      <c r="AI101" s="22"/>
      <c r="AJ101" s="22"/>
      <c r="AK101" s="22"/>
    </row>
    <row r="102" spans="2:37" x14ac:dyDescent="0.25">
      <c r="B102" s="45">
        <v>40</v>
      </c>
      <c r="C102" s="23">
        <v>20200306</v>
      </c>
      <c r="D102" s="22" t="s">
        <v>2</v>
      </c>
      <c r="E102" s="22" t="s">
        <v>206</v>
      </c>
      <c r="F102" s="24" t="s">
        <v>67</v>
      </c>
      <c r="G102" s="22" t="s">
        <v>208</v>
      </c>
      <c r="H102" s="22" t="s">
        <v>204</v>
      </c>
      <c r="I102" s="22" t="s">
        <v>67</v>
      </c>
      <c r="J102" s="22" t="s">
        <v>67</v>
      </c>
      <c r="K102" s="22" t="s">
        <v>212</v>
      </c>
      <c r="L102" s="24">
        <v>1</v>
      </c>
      <c r="M102" s="24" t="s">
        <v>211</v>
      </c>
      <c r="N102" s="25" t="s">
        <v>540</v>
      </c>
      <c r="O102" s="23" t="s">
        <v>210</v>
      </c>
      <c r="P102" s="22" t="s">
        <v>6</v>
      </c>
      <c r="Q102" s="22"/>
      <c r="R102" s="22"/>
      <c r="S102" s="22">
        <v>52</v>
      </c>
      <c r="T102" s="22">
        <f>ROUND(IF(D102=Table!$C$3,V102*Table!$C$4/8,V102*Table!$D$4/8),3)</f>
        <v>78</v>
      </c>
      <c r="U102" s="22">
        <f t="shared" si="13"/>
        <v>78</v>
      </c>
      <c r="V102" s="22">
        <v>4.8</v>
      </c>
      <c r="W102" s="22">
        <v>5</v>
      </c>
      <c r="X102" s="22" t="s">
        <v>80</v>
      </c>
      <c r="Y102" s="26">
        <v>43896</v>
      </c>
      <c r="Z102" s="26">
        <v>43899</v>
      </c>
      <c r="AA102" s="26">
        <v>43896</v>
      </c>
      <c r="AB102" s="26">
        <v>43896</v>
      </c>
      <c r="AC102" s="28" t="s">
        <v>202</v>
      </c>
      <c r="AD102" s="28"/>
      <c r="AE102" s="28"/>
      <c r="AF102" s="52">
        <v>0.88900000000000001</v>
      </c>
      <c r="AG102" s="52">
        <v>0.89400000000000002</v>
      </c>
      <c r="AH102" s="52">
        <v>0.88900000000000001</v>
      </c>
      <c r="AI102" s="22"/>
      <c r="AJ102" s="22"/>
      <c r="AK102" s="22"/>
    </row>
    <row r="103" spans="2:37" x14ac:dyDescent="0.25">
      <c r="B103" s="45">
        <v>41</v>
      </c>
      <c r="C103" s="23">
        <v>20200306</v>
      </c>
      <c r="D103" s="22" t="s">
        <v>2</v>
      </c>
      <c r="E103" s="22" t="s">
        <v>206</v>
      </c>
      <c r="F103" s="24" t="s">
        <v>67</v>
      </c>
      <c r="G103" s="22" t="s">
        <v>209</v>
      </c>
      <c r="H103" s="22" t="s">
        <v>205</v>
      </c>
      <c r="I103" s="22" t="s">
        <v>67</v>
      </c>
      <c r="J103" s="22" t="s">
        <v>67</v>
      </c>
      <c r="K103" s="22" t="s">
        <v>212</v>
      </c>
      <c r="L103" s="24">
        <v>1</v>
      </c>
      <c r="M103" s="24" t="s">
        <v>211</v>
      </c>
      <c r="N103" s="25" t="s">
        <v>541</v>
      </c>
      <c r="O103" s="23" t="s">
        <v>210</v>
      </c>
      <c r="P103" s="22" t="s">
        <v>6</v>
      </c>
      <c r="Q103" s="22"/>
      <c r="R103" s="22"/>
      <c r="S103" s="22">
        <v>28</v>
      </c>
      <c r="T103" s="22">
        <f>ROUND(IF(D103=Table!$C$3,V103*Table!$C$4/8,V103*Table!$D$4/8),3)</f>
        <v>39</v>
      </c>
      <c r="U103" s="22">
        <f t="shared" si="13"/>
        <v>39</v>
      </c>
      <c r="V103" s="22">
        <v>2.4</v>
      </c>
      <c r="W103" s="22">
        <v>4</v>
      </c>
      <c r="X103" s="22" t="s">
        <v>80</v>
      </c>
      <c r="Y103" s="26">
        <v>43896</v>
      </c>
      <c r="Z103" s="26">
        <v>43899</v>
      </c>
      <c r="AA103" s="26">
        <v>43899</v>
      </c>
      <c r="AB103" s="26">
        <v>43899</v>
      </c>
      <c r="AC103" s="26" t="s">
        <v>201</v>
      </c>
      <c r="AD103" s="114"/>
      <c r="AE103" s="114"/>
      <c r="AF103" s="52">
        <v>1</v>
      </c>
      <c r="AG103" s="52">
        <v>1</v>
      </c>
      <c r="AH103" s="52">
        <v>1</v>
      </c>
      <c r="AI103" s="22"/>
      <c r="AJ103" s="22"/>
      <c r="AK103" s="22"/>
    </row>
    <row r="104" spans="2:37" x14ac:dyDescent="0.25">
      <c r="B104" s="25">
        <v>42</v>
      </c>
      <c r="C104" s="23">
        <v>20200316</v>
      </c>
      <c r="D104" s="22" t="s">
        <v>2</v>
      </c>
      <c r="E104" s="22" t="s">
        <v>283</v>
      </c>
      <c r="F104" s="24" t="s">
        <v>308</v>
      </c>
      <c r="G104" s="22" t="s">
        <v>137</v>
      </c>
      <c r="H104" s="22" t="s">
        <v>235</v>
      </c>
      <c r="I104" s="22" t="s">
        <v>330</v>
      </c>
      <c r="J104" s="22" t="s">
        <v>67</v>
      </c>
      <c r="K104" s="22" t="s">
        <v>325</v>
      </c>
      <c r="L104" s="24" t="s">
        <v>263</v>
      </c>
      <c r="M104" s="24" t="s">
        <v>233</v>
      </c>
      <c r="N104" s="25" t="s">
        <v>542</v>
      </c>
      <c r="O104" s="23" t="s">
        <v>320</v>
      </c>
      <c r="P104" s="22" t="s">
        <v>6</v>
      </c>
      <c r="Q104" s="22"/>
      <c r="R104" s="22"/>
      <c r="S104" s="22">
        <v>59</v>
      </c>
      <c r="T104" s="22">
        <f>ROUND(IF(D104=Table!$C$3,V104*Table!$C$4/8,V104*Table!$D$4/8),3)</f>
        <v>65</v>
      </c>
      <c r="U104" s="22">
        <f t="shared" si="13"/>
        <v>65</v>
      </c>
      <c r="V104" s="22">
        <v>4</v>
      </c>
      <c r="W104" s="22">
        <v>10</v>
      </c>
      <c r="X104" s="22" t="s">
        <v>80</v>
      </c>
      <c r="Y104" s="26">
        <v>43906</v>
      </c>
      <c r="Z104" s="26">
        <v>43909</v>
      </c>
      <c r="AA104" s="26">
        <v>43907</v>
      </c>
      <c r="AB104" s="26">
        <v>43907</v>
      </c>
      <c r="AC104" s="26" t="s">
        <v>201</v>
      </c>
      <c r="AD104" s="114"/>
      <c r="AE104" s="114"/>
      <c r="AF104" s="52">
        <v>0.81299999999999994</v>
      </c>
      <c r="AG104" s="52">
        <v>0.81299999999999994</v>
      </c>
      <c r="AH104" s="52" t="s">
        <v>216</v>
      </c>
      <c r="AI104" s="22" t="s">
        <v>327</v>
      </c>
      <c r="AJ104" s="22"/>
      <c r="AK104" s="22"/>
    </row>
    <row r="105" spans="2:37" x14ac:dyDescent="0.25">
      <c r="B105" s="25">
        <v>43</v>
      </c>
      <c r="C105" s="23">
        <v>20200316</v>
      </c>
      <c r="D105" s="22" t="s">
        <v>2</v>
      </c>
      <c r="E105" s="22" t="s">
        <v>283</v>
      </c>
      <c r="F105" s="24" t="s">
        <v>308</v>
      </c>
      <c r="G105" s="22" t="s">
        <v>155</v>
      </c>
      <c r="H105" s="22" t="s">
        <v>247</v>
      </c>
      <c r="I105" s="22" t="s">
        <v>330</v>
      </c>
      <c r="J105" s="22" t="s">
        <v>67</v>
      </c>
      <c r="K105" s="22" t="s">
        <v>325</v>
      </c>
      <c r="L105" s="24" t="s">
        <v>266</v>
      </c>
      <c r="M105" s="24" t="s">
        <v>233</v>
      </c>
      <c r="N105" s="25" t="s">
        <v>543</v>
      </c>
      <c r="O105" s="23" t="s">
        <v>320</v>
      </c>
      <c r="P105" s="22" t="s">
        <v>6</v>
      </c>
      <c r="Q105" s="22"/>
      <c r="R105" s="22"/>
      <c r="S105" s="22">
        <v>55</v>
      </c>
      <c r="T105" s="22">
        <f>ROUND(IF(D105=Table!$C$3,V105*Table!$C$4/8,V105*Table!$D$4/8),3)</f>
        <v>65</v>
      </c>
      <c r="U105" s="22">
        <f t="shared" si="13"/>
        <v>65</v>
      </c>
      <c r="V105" s="22">
        <v>4</v>
      </c>
      <c r="W105" s="22">
        <v>3</v>
      </c>
      <c r="X105" s="22" t="s">
        <v>80</v>
      </c>
      <c r="Y105" s="26">
        <v>43906</v>
      </c>
      <c r="Z105" s="26">
        <v>43909</v>
      </c>
      <c r="AA105" s="26">
        <v>43907</v>
      </c>
      <c r="AB105" s="26">
        <v>43907</v>
      </c>
      <c r="AC105" s="26" t="s">
        <v>201</v>
      </c>
      <c r="AD105" s="114"/>
      <c r="AE105" s="114"/>
      <c r="AF105" s="52">
        <v>0.72699999999999998</v>
      </c>
      <c r="AG105" s="52">
        <v>0.75</v>
      </c>
      <c r="AH105" s="52" t="s">
        <v>216</v>
      </c>
      <c r="AI105" s="22" t="s">
        <v>328</v>
      </c>
      <c r="AJ105" s="22"/>
      <c r="AK105" s="22"/>
    </row>
    <row r="106" spans="2:37" x14ac:dyDescent="0.25">
      <c r="B106" s="25">
        <v>44</v>
      </c>
      <c r="C106" s="23">
        <v>20200316</v>
      </c>
      <c r="D106" s="22" t="s">
        <v>3</v>
      </c>
      <c r="E106" s="22" t="s">
        <v>283</v>
      </c>
      <c r="F106" s="24" t="s">
        <v>282</v>
      </c>
      <c r="G106" s="22" t="s">
        <v>290</v>
      </c>
      <c r="H106" s="22" t="s">
        <v>260</v>
      </c>
      <c r="I106" s="22" t="s">
        <v>331</v>
      </c>
      <c r="J106" s="22" t="s">
        <v>67</v>
      </c>
      <c r="K106" s="22" t="s">
        <v>333</v>
      </c>
      <c r="L106" s="24" t="s">
        <v>862</v>
      </c>
      <c r="M106" s="24" t="s">
        <v>233</v>
      </c>
      <c r="N106" s="25" t="s">
        <v>544</v>
      </c>
      <c r="O106" s="23" t="s">
        <v>320</v>
      </c>
      <c r="P106" s="22" t="s">
        <v>6</v>
      </c>
      <c r="Q106" s="22"/>
      <c r="R106" s="22"/>
      <c r="S106" s="22">
        <v>218</v>
      </c>
      <c r="T106" s="22">
        <f>ROUND(IF(D106=Table!$C$3,V106*Table!$C$4/8,V106*Table!$D$4/8),3)</f>
        <v>225</v>
      </c>
      <c r="U106" s="22">
        <f t="shared" si="13"/>
        <v>225</v>
      </c>
      <c r="V106" s="22">
        <v>4</v>
      </c>
      <c r="W106" s="22">
        <v>4</v>
      </c>
      <c r="X106" s="22" t="s">
        <v>80</v>
      </c>
      <c r="Y106" s="26">
        <v>43906</v>
      </c>
      <c r="Z106" s="26">
        <v>43909</v>
      </c>
      <c r="AA106" s="26">
        <v>43908</v>
      </c>
      <c r="AB106" s="26">
        <v>43908</v>
      </c>
      <c r="AC106" s="26" t="s">
        <v>201</v>
      </c>
      <c r="AD106" s="114"/>
      <c r="AE106" s="114"/>
      <c r="AF106" s="52">
        <v>0.97</v>
      </c>
      <c r="AG106" s="52">
        <v>0.89</v>
      </c>
      <c r="AH106" s="52">
        <v>0</v>
      </c>
      <c r="AI106" s="22" t="s">
        <v>329</v>
      </c>
      <c r="AJ106" s="24"/>
      <c r="AK106" s="22" t="s">
        <v>306</v>
      </c>
    </row>
    <row r="107" spans="2:37" x14ac:dyDescent="0.25">
      <c r="B107" s="25">
        <v>45</v>
      </c>
      <c r="C107" s="23">
        <v>20200316</v>
      </c>
      <c r="D107" s="22" t="s">
        <v>2</v>
      </c>
      <c r="E107" s="22" t="s">
        <v>283</v>
      </c>
      <c r="F107" s="24" t="s">
        <v>307</v>
      </c>
      <c r="G107" s="22" t="s">
        <v>291</v>
      </c>
      <c r="H107" s="22" t="s">
        <v>234</v>
      </c>
      <c r="I107" s="22" t="s">
        <v>331</v>
      </c>
      <c r="J107" s="22" t="s">
        <v>67</v>
      </c>
      <c r="K107" s="22" t="s">
        <v>325</v>
      </c>
      <c r="L107" s="24" t="s">
        <v>261</v>
      </c>
      <c r="M107" s="24" t="s">
        <v>233</v>
      </c>
      <c r="N107" s="25" t="s">
        <v>545</v>
      </c>
      <c r="O107" s="23" t="s">
        <v>320</v>
      </c>
      <c r="P107" s="22" t="s">
        <v>6</v>
      </c>
      <c r="Q107" s="22"/>
      <c r="R107" s="22"/>
      <c r="S107" s="22">
        <v>69</v>
      </c>
      <c r="T107" s="22">
        <f>ROUND(IF(D107=Table!$C$3,V107*Table!$C$4/8,V107*Table!$D$4/8),3)</f>
        <v>65</v>
      </c>
      <c r="U107" s="22">
        <f t="shared" si="13"/>
        <v>65</v>
      </c>
      <c r="V107" s="22">
        <v>4</v>
      </c>
      <c r="W107" s="22">
        <v>3</v>
      </c>
      <c r="X107" s="22" t="s">
        <v>80</v>
      </c>
      <c r="Y107" s="26">
        <v>43906</v>
      </c>
      <c r="Z107" s="26">
        <v>43909</v>
      </c>
      <c r="AA107" s="26">
        <v>43907</v>
      </c>
      <c r="AB107" s="26">
        <v>43907</v>
      </c>
      <c r="AC107" s="26" t="s">
        <v>201</v>
      </c>
      <c r="AD107" s="114"/>
      <c r="AE107" s="114"/>
      <c r="AF107" s="52">
        <v>1</v>
      </c>
      <c r="AG107" s="52">
        <v>1</v>
      </c>
      <c r="AH107" s="52">
        <v>0.13600000000000001</v>
      </c>
      <c r="AI107" s="22"/>
      <c r="AJ107" s="22"/>
      <c r="AK107" s="22"/>
    </row>
    <row r="108" spans="2:37" x14ac:dyDescent="0.25">
      <c r="B108" s="25">
        <v>46</v>
      </c>
      <c r="C108" s="23">
        <v>20200316</v>
      </c>
      <c r="D108" s="22" t="s">
        <v>2</v>
      </c>
      <c r="E108" s="22" t="s">
        <v>283</v>
      </c>
      <c r="F108" s="24" t="s">
        <v>308</v>
      </c>
      <c r="G108" s="22" t="s">
        <v>292</v>
      </c>
      <c r="H108" s="22" t="s">
        <v>236</v>
      </c>
      <c r="I108" s="22" t="s">
        <v>330</v>
      </c>
      <c r="J108" s="22" t="s">
        <v>67</v>
      </c>
      <c r="K108" s="22" t="s">
        <v>325</v>
      </c>
      <c r="L108" s="24" t="s">
        <v>264</v>
      </c>
      <c r="M108" s="24" t="s">
        <v>233</v>
      </c>
      <c r="N108" s="25" t="s">
        <v>546</v>
      </c>
      <c r="O108" s="23" t="s">
        <v>321</v>
      </c>
      <c r="P108" s="22" t="s">
        <v>70</v>
      </c>
      <c r="Q108" s="22"/>
      <c r="R108" s="22"/>
      <c r="S108" s="22">
        <v>76</v>
      </c>
      <c r="T108" s="22">
        <f>ROUND(IF(D108=Table!$C$3,V108*Table!$C$4/8,V108*Table!$D$4/8),3)</f>
        <v>65</v>
      </c>
      <c r="U108" s="22">
        <f t="shared" si="13"/>
        <v>65</v>
      </c>
      <c r="V108" s="22">
        <v>4</v>
      </c>
      <c r="W108" s="22">
        <v>4</v>
      </c>
      <c r="X108" s="22" t="s">
        <v>80</v>
      </c>
      <c r="Y108" s="26">
        <v>43906</v>
      </c>
      <c r="Z108" s="26">
        <v>43909</v>
      </c>
      <c r="AA108" s="26">
        <v>43907</v>
      </c>
      <c r="AB108" s="26">
        <v>43907</v>
      </c>
      <c r="AC108" s="26" t="s">
        <v>201</v>
      </c>
      <c r="AD108" s="114"/>
      <c r="AE108" s="114"/>
      <c r="AF108" s="52">
        <v>0.879</v>
      </c>
      <c r="AG108" s="52">
        <v>0.879</v>
      </c>
      <c r="AH108" s="52" t="s">
        <v>216</v>
      </c>
      <c r="AI108" s="22" t="s">
        <v>326</v>
      </c>
      <c r="AJ108" s="46"/>
      <c r="AK108" s="22"/>
    </row>
    <row r="109" spans="2:37" x14ac:dyDescent="0.25">
      <c r="B109" s="25">
        <v>47</v>
      </c>
      <c r="C109" s="23">
        <v>20200316</v>
      </c>
      <c r="D109" s="22" t="s">
        <v>2</v>
      </c>
      <c r="E109" s="22" t="s">
        <v>283</v>
      </c>
      <c r="F109" s="24" t="s">
        <v>308</v>
      </c>
      <c r="G109" s="22" t="s">
        <v>295</v>
      </c>
      <c r="H109" s="22" t="s">
        <v>239</v>
      </c>
      <c r="I109" s="22" t="s">
        <v>330</v>
      </c>
      <c r="J109" s="22" t="s">
        <v>67</v>
      </c>
      <c r="K109" s="22" t="s">
        <v>325</v>
      </c>
      <c r="L109" s="24" t="s">
        <v>267</v>
      </c>
      <c r="M109" s="24" t="s">
        <v>233</v>
      </c>
      <c r="N109" s="25" t="s">
        <v>547</v>
      </c>
      <c r="O109" s="23" t="s">
        <v>321</v>
      </c>
      <c r="P109" s="22" t="s">
        <v>70</v>
      </c>
      <c r="Q109" s="22"/>
      <c r="R109" s="22"/>
      <c r="S109" s="22">
        <v>68</v>
      </c>
      <c r="T109" s="22">
        <f>ROUND(IF(D109=Table!$C$3,V109*Table!$C$4/8,V109*Table!$D$4/8),3)</f>
        <v>65</v>
      </c>
      <c r="U109" s="22">
        <f t="shared" si="13"/>
        <v>65</v>
      </c>
      <c r="V109" s="22">
        <v>4</v>
      </c>
      <c r="W109" s="22">
        <v>4</v>
      </c>
      <c r="X109" s="22" t="s">
        <v>80</v>
      </c>
      <c r="Y109" s="26">
        <v>43906</v>
      </c>
      <c r="Z109" s="26">
        <v>43909</v>
      </c>
      <c r="AA109" s="26">
        <v>43908</v>
      </c>
      <c r="AB109" s="26">
        <v>43908</v>
      </c>
      <c r="AC109" s="26" t="s">
        <v>202</v>
      </c>
      <c r="AD109" s="114"/>
      <c r="AE109" s="114"/>
      <c r="AF109" s="52">
        <v>0.95</v>
      </c>
      <c r="AG109" s="52">
        <v>0.95</v>
      </c>
      <c r="AH109" s="52">
        <v>0.01</v>
      </c>
      <c r="AI109" s="22" t="s">
        <v>453</v>
      </c>
      <c r="AJ109" s="36"/>
      <c r="AK109" s="22"/>
    </row>
    <row r="110" spans="2:37" x14ac:dyDescent="0.25">
      <c r="B110" s="25">
        <v>48</v>
      </c>
      <c r="C110" s="23">
        <v>20200316</v>
      </c>
      <c r="D110" s="22" t="s">
        <v>2</v>
      </c>
      <c r="E110" s="22" t="s">
        <v>283</v>
      </c>
      <c r="F110" s="24" t="s">
        <v>308</v>
      </c>
      <c r="G110" s="22" t="s">
        <v>154</v>
      </c>
      <c r="H110" s="22" t="s">
        <v>245</v>
      </c>
      <c r="I110" s="22" t="s">
        <v>330</v>
      </c>
      <c r="J110" s="22" t="s">
        <v>67</v>
      </c>
      <c r="K110" s="22" t="s">
        <v>325</v>
      </c>
      <c r="L110" s="24" t="s">
        <v>265</v>
      </c>
      <c r="M110" s="24" t="s">
        <v>233</v>
      </c>
      <c r="N110" s="25" t="s">
        <v>548</v>
      </c>
      <c r="O110" s="23" t="s">
        <v>321</v>
      </c>
      <c r="P110" s="22" t="s">
        <v>70</v>
      </c>
      <c r="Q110" s="22"/>
      <c r="R110" s="22"/>
      <c r="S110" s="22">
        <v>76</v>
      </c>
      <c r="T110" s="22">
        <f>ROUND(IF(D110=Table!$C$3,V110*Table!$C$4/8,V110*Table!$D$4/8),3)</f>
        <v>65</v>
      </c>
      <c r="U110" s="22">
        <f t="shared" si="13"/>
        <v>65</v>
      </c>
      <c r="V110" s="22">
        <v>4</v>
      </c>
      <c r="W110" s="22">
        <v>4</v>
      </c>
      <c r="X110" s="22" t="s">
        <v>80</v>
      </c>
      <c r="Y110" s="26">
        <v>43906</v>
      </c>
      <c r="Z110" s="26">
        <v>43909</v>
      </c>
      <c r="AA110" s="26">
        <v>43908</v>
      </c>
      <c r="AB110" s="26">
        <v>43908</v>
      </c>
      <c r="AC110" s="26" t="s">
        <v>202</v>
      </c>
      <c r="AD110" s="114"/>
      <c r="AE110" s="114"/>
      <c r="AF110" s="52">
        <v>0.85699999999999998</v>
      </c>
      <c r="AG110" s="52">
        <v>0.86199999999999999</v>
      </c>
      <c r="AH110" s="52">
        <v>0.5</v>
      </c>
      <c r="AI110" s="22" t="s">
        <v>454</v>
      </c>
      <c r="AJ110" s="36"/>
      <c r="AK110" s="22"/>
    </row>
    <row r="111" spans="2:37" x14ac:dyDescent="0.25">
      <c r="B111" s="25">
        <v>49</v>
      </c>
      <c r="C111" s="23">
        <v>20200316</v>
      </c>
      <c r="D111" s="22" t="s">
        <v>2</v>
      </c>
      <c r="E111" s="22" t="s">
        <v>283</v>
      </c>
      <c r="F111" s="24" t="s">
        <v>281</v>
      </c>
      <c r="G111" s="22" t="s">
        <v>300</v>
      </c>
      <c r="H111" s="22" t="s">
        <v>254</v>
      </c>
      <c r="I111" s="22" t="s">
        <v>330</v>
      </c>
      <c r="J111" s="22" t="s">
        <v>67</v>
      </c>
      <c r="K111" s="22" t="s">
        <v>325</v>
      </c>
      <c r="L111" s="24" t="s">
        <v>276</v>
      </c>
      <c r="M111" s="24" t="s">
        <v>233</v>
      </c>
      <c r="N111" s="25" t="s">
        <v>549</v>
      </c>
      <c r="O111" s="23" t="s">
        <v>321</v>
      </c>
      <c r="P111" s="22" t="s">
        <v>70</v>
      </c>
      <c r="Q111" s="22"/>
      <c r="R111" s="22"/>
      <c r="S111" s="22">
        <v>68</v>
      </c>
      <c r="T111" s="22">
        <f>ROUND(IF(D111=Table!$C$3,V111*Table!$C$4/8,V111*Table!$D$4/8),3)</f>
        <v>65</v>
      </c>
      <c r="U111" s="22">
        <f t="shared" si="13"/>
        <v>65</v>
      </c>
      <c r="V111" s="22">
        <v>4</v>
      </c>
      <c r="W111" s="22">
        <v>4</v>
      </c>
      <c r="X111" s="22" t="s">
        <v>80</v>
      </c>
      <c r="Y111" s="26">
        <v>43906</v>
      </c>
      <c r="Z111" s="26">
        <v>43909</v>
      </c>
      <c r="AA111" s="26">
        <v>43909</v>
      </c>
      <c r="AB111" s="26">
        <v>43909</v>
      </c>
      <c r="AC111" s="26" t="s">
        <v>201</v>
      </c>
      <c r="AD111" s="114"/>
      <c r="AE111" s="114"/>
      <c r="AF111" s="52">
        <v>0.01</v>
      </c>
      <c r="AG111" s="52">
        <v>0.01</v>
      </c>
      <c r="AH111" s="52">
        <v>0.51700000000000002</v>
      </c>
      <c r="AI111" s="22"/>
      <c r="AJ111" s="22"/>
      <c r="AK111" s="22"/>
    </row>
    <row r="112" spans="2:37" x14ac:dyDescent="0.25">
      <c r="B112" s="25">
        <v>50</v>
      </c>
      <c r="C112" s="23">
        <v>20200316</v>
      </c>
      <c r="D112" s="22" t="s">
        <v>2</v>
      </c>
      <c r="E112" s="22" t="s">
        <v>283</v>
      </c>
      <c r="F112" s="24" t="s">
        <v>308</v>
      </c>
      <c r="G112" s="22" t="s">
        <v>294</v>
      </c>
      <c r="H112" s="22" t="s">
        <v>238</v>
      </c>
      <c r="I112" s="22" t="s">
        <v>331</v>
      </c>
      <c r="J112" s="22" t="s">
        <v>67</v>
      </c>
      <c r="K112" s="22" t="s">
        <v>325</v>
      </c>
      <c r="L112" s="24" t="s">
        <v>262</v>
      </c>
      <c r="M112" s="24" t="s">
        <v>233</v>
      </c>
      <c r="N112" s="25" t="s">
        <v>550</v>
      </c>
      <c r="O112" s="23" t="s">
        <v>321</v>
      </c>
      <c r="P112" s="22" t="s">
        <v>6</v>
      </c>
      <c r="Q112" s="22"/>
      <c r="R112" s="22"/>
      <c r="S112" s="22">
        <v>50</v>
      </c>
      <c r="T112" s="22">
        <f>ROUND(IF(D112=Table!$C$3,V112*Table!$C$4/8,V112*Table!$D$4/8),3)</f>
        <v>52</v>
      </c>
      <c r="U112" s="22">
        <f t="shared" si="13"/>
        <v>52</v>
      </c>
      <c r="V112" s="22">
        <v>3.2</v>
      </c>
      <c r="W112" s="22">
        <v>4</v>
      </c>
      <c r="X112" s="22" t="s">
        <v>80</v>
      </c>
      <c r="Y112" s="26">
        <v>43906</v>
      </c>
      <c r="Z112" s="26">
        <v>43909</v>
      </c>
      <c r="AA112" s="26">
        <v>43908</v>
      </c>
      <c r="AB112" s="26">
        <v>43908</v>
      </c>
      <c r="AC112" s="26" t="s">
        <v>201</v>
      </c>
      <c r="AD112" s="114"/>
      <c r="AE112" s="114"/>
      <c r="AF112" s="52">
        <v>0.88900000000000001</v>
      </c>
      <c r="AG112" s="52">
        <v>0.89300000000000002</v>
      </c>
      <c r="AH112" s="52" t="s">
        <v>216</v>
      </c>
      <c r="AI112" s="22" t="s">
        <v>337</v>
      </c>
      <c r="AJ112" s="22"/>
      <c r="AK112" s="22"/>
    </row>
    <row r="113" spans="1:37" x14ac:dyDescent="0.25">
      <c r="B113" s="25">
        <v>51</v>
      </c>
      <c r="C113" s="23">
        <v>20200316</v>
      </c>
      <c r="D113" s="22" t="s">
        <v>2</v>
      </c>
      <c r="E113" s="22" t="s">
        <v>283</v>
      </c>
      <c r="F113" s="24" t="s">
        <v>308</v>
      </c>
      <c r="G113" s="22" t="s">
        <v>293</v>
      </c>
      <c r="H113" s="22" t="s">
        <v>237</v>
      </c>
      <c r="I113" s="22" t="s">
        <v>330</v>
      </c>
      <c r="J113" s="22" t="s">
        <v>67</v>
      </c>
      <c r="K113" s="22" t="s">
        <v>325</v>
      </c>
      <c r="L113" s="24" t="s">
        <v>266</v>
      </c>
      <c r="M113" s="24" t="s">
        <v>233</v>
      </c>
      <c r="N113" s="25" t="s">
        <v>551</v>
      </c>
      <c r="O113" s="23" t="s">
        <v>321</v>
      </c>
      <c r="P113" s="22" t="s">
        <v>70</v>
      </c>
      <c r="Q113" s="22"/>
      <c r="R113" s="22"/>
      <c r="S113" s="22">
        <v>94</v>
      </c>
      <c r="T113" s="22">
        <f>ROUND(IF(D113=Table!$C$3,V113*Table!$C$4/8,V113*Table!$D$4/8),3)</f>
        <v>84.5</v>
      </c>
      <c r="U113" s="22">
        <f t="shared" si="13"/>
        <v>84.5</v>
      </c>
      <c r="V113" s="22">
        <v>5.2</v>
      </c>
      <c r="W113" s="22">
        <v>5.2</v>
      </c>
      <c r="X113" s="22" t="s">
        <v>80</v>
      </c>
      <c r="Y113" s="26">
        <v>43906</v>
      </c>
      <c r="Z113" s="26">
        <v>43909</v>
      </c>
      <c r="AA113" s="26">
        <v>43909</v>
      </c>
      <c r="AB113" s="26">
        <v>43909</v>
      </c>
      <c r="AC113" s="26" t="s">
        <v>202</v>
      </c>
      <c r="AD113" s="114"/>
      <c r="AE113" s="114"/>
      <c r="AF113" s="52">
        <v>0.90400000000000003</v>
      </c>
      <c r="AG113" s="52">
        <v>0.90500000000000003</v>
      </c>
      <c r="AH113" s="52">
        <v>0.7</v>
      </c>
      <c r="AI113" s="22" t="s">
        <v>455</v>
      </c>
      <c r="AJ113" s="36"/>
      <c r="AK113" s="22"/>
    </row>
    <row r="114" spans="1:37" x14ac:dyDescent="0.25">
      <c r="B114" s="25">
        <v>52</v>
      </c>
      <c r="C114" s="23">
        <v>20200316</v>
      </c>
      <c r="D114" s="22" t="s">
        <v>2</v>
      </c>
      <c r="E114" s="22" t="s">
        <v>283</v>
      </c>
      <c r="F114" s="24" t="s">
        <v>308</v>
      </c>
      <c r="G114" s="22" t="s">
        <v>144</v>
      </c>
      <c r="H114" s="22" t="s">
        <v>240</v>
      </c>
      <c r="I114" s="22" t="s">
        <v>330</v>
      </c>
      <c r="J114" s="22" t="s">
        <v>67</v>
      </c>
      <c r="K114" s="22" t="s">
        <v>325</v>
      </c>
      <c r="L114" s="24" t="s">
        <v>268</v>
      </c>
      <c r="M114" s="24" t="s">
        <v>233</v>
      </c>
      <c r="N114" s="25" t="s">
        <v>552</v>
      </c>
      <c r="O114" s="23" t="s">
        <v>321</v>
      </c>
      <c r="P114" s="22" t="s">
        <v>70</v>
      </c>
      <c r="Q114" s="22"/>
      <c r="R114" s="22"/>
      <c r="S114" s="22">
        <v>81</v>
      </c>
      <c r="T114" s="22">
        <f>ROUND(IF(D114=Table!$C$3,V114*Table!$C$4/8,V114*Table!$D$4/8),3)</f>
        <v>84.5</v>
      </c>
      <c r="U114" s="22">
        <f t="shared" si="13"/>
        <v>84.5</v>
      </c>
      <c r="V114" s="22">
        <v>5.2</v>
      </c>
      <c r="W114" s="22">
        <v>5.2</v>
      </c>
      <c r="X114" s="22" t="s">
        <v>80</v>
      </c>
      <c r="Y114" s="26">
        <v>43906</v>
      </c>
      <c r="Z114" s="26">
        <v>43909</v>
      </c>
      <c r="AA114" s="26">
        <v>43909</v>
      </c>
      <c r="AB114" s="26">
        <v>43909</v>
      </c>
      <c r="AC114" s="26" t="s">
        <v>202</v>
      </c>
      <c r="AD114" s="114"/>
      <c r="AE114" s="114"/>
      <c r="AF114" s="52">
        <v>0.878</v>
      </c>
      <c r="AG114" s="52">
        <v>0.88500000000000001</v>
      </c>
      <c r="AH114" s="52">
        <v>0.5</v>
      </c>
      <c r="AI114" s="22" t="s">
        <v>456</v>
      </c>
      <c r="AJ114" s="36"/>
      <c r="AK114" s="22"/>
    </row>
    <row r="115" spans="1:37" x14ac:dyDescent="0.25">
      <c r="B115" s="25">
        <v>53</v>
      </c>
      <c r="C115" s="23">
        <v>20200316</v>
      </c>
      <c r="D115" s="22" t="s">
        <v>2</v>
      </c>
      <c r="E115" s="22" t="s">
        <v>283</v>
      </c>
      <c r="F115" s="24" t="s">
        <v>308</v>
      </c>
      <c r="G115" s="22" t="s">
        <v>145</v>
      </c>
      <c r="H115" s="22" t="s">
        <v>241</v>
      </c>
      <c r="I115" s="22" t="s">
        <v>330</v>
      </c>
      <c r="J115" s="22" t="s">
        <v>67</v>
      </c>
      <c r="K115" s="22" t="s">
        <v>325</v>
      </c>
      <c r="L115" s="24" t="s">
        <v>269</v>
      </c>
      <c r="M115" s="24" t="s">
        <v>233</v>
      </c>
      <c r="N115" s="25" t="s">
        <v>553</v>
      </c>
      <c r="O115" s="23" t="s">
        <v>321</v>
      </c>
      <c r="P115" s="22" t="s">
        <v>72</v>
      </c>
      <c r="Q115" s="22"/>
      <c r="R115" s="22"/>
      <c r="S115" s="22">
        <v>100</v>
      </c>
      <c r="T115" s="22">
        <f>ROUND(IF(D115=Table!$C$3,V115*Table!$C$4/8,V115*Table!$D$4/8),3)</f>
        <v>84.5</v>
      </c>
      <c r="U115" s="22">
        <f t="shared" si="13"/>
        <v>84.5</v>
      </c>
      <c r="V115" s="22">
        <v>5.2</v>
      </c>
      <c r="W115" s="22">
        <v>6</v>
      </c>
      <c r="X115" s="22" t="s">
        <v>80</v>
      </c>
      <c r="Y115" s="26">
        <v>43906</v>
      </c>
      <c r="Z115" s="26">
        <v>43909</v>
      </c>
      <c r="AA115" s="26">
        <v>43908</v>
      </c>
      <c r="AB115" s="26">
        <v>43908</v>
      </c>
      <c r="AC115" s="26" t="s">
        <v>202</v>
      </c>
      <c r="AD115" s="114"/>
      <c r="AE115" s="114"/>
      <c r="AF115" s="52">
        <v>0.85699999999999998</v>
      </c>
      <c r="AG115" s="52">
        <v>0.85699999999999998</v>
      </c>
      <c r="AH115" s="52">
        <v>0.53300000000000003</v>
      </c>
      <c r="AI115" s="22" t="s">
        <v>468</v>
      </c>
      <c r="AJ115" s="22"/>
      <c r="AK115" s="22"/>
    </row>
    <row r="116" spans="1:37" x14ac:dyDescent="0.25">
      <c r="A116" s="47"/>
      <c r="B116" s="25">
        <v>54</v>
      </c>
      <c r="C116" s="48">
        <v>20200316</v>
      </c>
      <c r="D116" s="48" t="s">
        <v>2</v>
      </c>
      <c r="E116" s="48" t="s">
        <v>283</v>
      </c>
      <c r="F116" s="49" t="s">
        <v>308</v>
      </c>
      <c r="G116" s="48" t="s">
        <v>152</v>
      </c>
      <c r="H116" s="48" t="s">
        <v>243</v>
      </c>
      <c r="I116" s="48" t="s">
        <v>330</v>
      </c>
      <c r="J116" s="48" t="s">
        <v>67</v>
      </c>
      <c r="K116" s="48" t="s">
        <v>325</v>
      </c>
      <c r="L116" s="49" t="s">
        <v>270</v>
      </c>
      <c r="M116" s="24" t="s">
        <v>233</v>
      </c>
      <c r="N116" s="25" t="s">
        <v>554</v>
      </c>
      <c r="O116" s="48" t="s">
        <v>322</v>
      </c>
      <c r="P116" s="48" t="s">
        <v>72</v>
      </c>
      <c r="Q116" s="48"/>
      <c r="R116" s="48"/>
      <c r="S116" s="48">
        <v>48</v>
      </c>
      <c r="T116" s="22">
        <f>ROUND(IF(D116=Table!$C$3,V116*Table!$C$4/8,V116*Table!$D$4/8),3)</f>
        <v>52</v>
      </c>
      <c r="U116" s="22">
        <f t="shared" si="13"/>
        <v>52</v>
      </c>
      <c r="V116" s="48">
        <v>3.2</v>
      </c>
      <c r="W116" s="48">
        <v>6</v>
      </c>
      <c r="X116" s="22" t="s">
        <v>80</v>
      </c>
      <c r="Y116" s="26">
        <v>43906</v>
      </c>
      <c r="Z116" s="50">
        <v>43909</v>
      </c>
      <c r="AA116" s="50">
        <v>43908</v>
      </c>
      <c r="AB116" s="50">
        <v>43908</v>
      </c>
      <c r="AC116" s="50" t="s">
        <v>201</v>
      </c>
      <c r="AD116" s="114"/>
      <c r="AE116" s="114"/>
      <c r="AF116" s="53">
        <v>0.96400000000000008</v>
      </c>
      <c r="AG116" s="53">
        <v>0.96400000000000008</v>
      </c>
      <c r="AH116" s="53" t="s">
        <v>216</v>
      </c>
      <c r="AI116" s="22" t="s">
        <v>336</v>
      </c>
      <c r="AJ116" s="48"/>
      <c r="AK116" s="48"/>
    </row>
    <row r="117" spans="1:37" x14ac:dyDescent="0.25">
      <c r="B117" s="25">
        <v>55</v>
      </c>
      <c r="C117" s="23">
        <v>20200316</v>
      </c>
      <c r="D117" s="22" t="s">
        <v>2</v>
      </c>
      <c r="E117" s="22" t="s">
        <v>283</v>
      </c>
      <c r="F117" s="24" t="s">
        <v>308</v>
      </c>
      <c r="G117" s="22" t="s">
        <v>153</v>
      </c>
      <c r="H117" s="22" t="s">
        <v>244</v>
      </c>
      <c r="I117" s="22" t="s">
        <v>331</v>
      </c>
      <c r="J117" s="22" t="s">
        <v>67</v>
      </c>
      <c r="K117" s="22" t="s">
        <v>325</v>
      </c>
      <c r="L117" s="24" t="s">
        <v>271</v>
      </c>
      <c r="M117" s="24" t="s">
        <v>233</v>
      </c>
      <c r="N117" s="25" t="s">
        <v>555</v>
      </c>
      <c r="O117" s="23" t="s">
        <v>322</v>
      </c>
      <c r="P117" s="22" t="s">
        <v>6</v>
      </c>
      <c r="Q117" s="22"/>
      <c r="R117" s="22"/>
      <c r="S117" s="22">
        <v>21</v>
      </c>
      <c r="T117" s="22">
        <f>ROUND(IF(D117=Table!$C$3,V117*Table!$C$4/8,V117*Table!$D$4/8),3)</f>
        <v>26</v>
      </c>
      <c r="U117" s="22">
        <f t="shared" si="13"/>
        <v>26</v>
      </c>
      <c r="V117" s="22">
        <v>1.6</v>
      </c>
      <c r="W117" s="22">
        <v>8</v>
      </c>
      <c r="X117" s="22" t="s">
        <v>80</v>
      </c>
      <c r="Y117" s="26">
        <v>43906</v>
      </c>
      <c r="Z117" s="26">
        <v>43909</v>
      </c>
      <c r="AA117" s="26">
        <v>43909</v>
      </c>
      <c r="AB117" s="26">
        <v>43909</v>
      </c>
      <c r="AC117" s="50" t="s">
        <v>201</v>
      </c>
      <c r="AD117" s="114"/>
      <c r="AE117" s="114"/>
      <c r="AF117" s="52">
        <v>0.75</v>
      </c>
      <c r="AG117" s="52">
        <v>0.75</v>
      </c>
      <c r="AH117" s="52" t="s">
        <v>216</v>
      </c>
      <c r="AI117" s="22" t="s">
        <v>457</v>
      </c>
      <c r="AJ117" s="22"/>
      <c r="AK117" s="22"/>
    </row>
    <row r="118" spans="1:37" x14ac:dyDescent="0.25">
      <c r="A118" s="47"/>
      <c r="B118" s="25">
        <v>56</v>
      </c>
      <c r="C118" s="48">
        <v>20200316</v>
      </c>
      <c r="D118" s="48" t="s">
        <v>2</v>
      </c>
      <c r="E118" s="48" t="s">
        <v>283</v>
      </c>
      <c r="F118" s="49" t="s">
        <v>308</v>
      </c>
      <c r="G118" s="48" t="s">
        <v>149</v>
      </c>
      <c r="H118" s="48" t="s">
        <v>242</v>
      </c>
      <c r="I118" s="48" t="s">
        <v>330</v>
      </c>
      <c r="J118" s="48" t="s">
        <v>67</v>
      </c>
      <c r="K118" s="48" t="s">
        <v>325</v>
      </c>
      <c r="L118" s="49" t="s">
        <v>270</v>
      </c>
      <c r="M118" s="24" t="s">
        <v>233</v>
      </c>
      <c r="N118" s="25" t="s">
        <v>556</v>
      </c>
      <c r="O118" s="48" t="s">
        <v>322</v>
      </c>
      <c r="P118" s="48" t="s">
        <v>72</v>
      </c>
      <c r="Q118" s="48"/>
      <c r="R118" s="48"/>
      <c r="S118" s="48">
        <v>84</v>
      </c>
      <c r="T118" s="22">
        <f>ROUND(IF(D118=Table!$C$3,V118*Table!$C$4/8,V118*Table!$D$4/8),3)</f>
        <v>84.5</v>
      </c>
      <c r="U118" s="22">
        <f t="shared" si="13"/>
        <v>84.5</v>
      </c>
      <c r="V118" s="48">
        <v>5.2</v>
      </c>
      <c r="W118" s="48">
        <v>6</v>
      </c>
      <c r="X118" s="22" t="s">
        <v>80</v>
      </c>
      <c r="Y118" s="26">
        <v>43906</v>
      </c>
      <c r="Z118" s="50">
        <v>43909</v>
      </c>
      <c r="AA118" s="50">
        <v>43908</v>
      </c>
      <c r="AB118" s="50">
        <v>43908</v>
      </c>
      <c r="AC118" s="50" t="s">
        <v>201</v>
      </c>
      <c r="AD118" s="114"/>
      <c r="AE118" s="114"/>
      <c r="AF118" s="53">
        <v>0.92200000000000004</v>
      </c>
      <c r="AG118" s="53">
        <v>0.92299999999999993</v>
      </c>
      <c r="AH118" s="53" t="s">
        <v>216</v>
      </c>
      <c r="AI118" s="22" t="s">
        <v>335</v>
      </c>
      <c r="AJ118" s="48"/>
      <c r="AK118" s="48"/>
    </row>
    <row r="119" spans="1:37" x14ac:dyDescent="0.25">
      <c r="B119" s="25">
        <v>57</v>
      </c>
      <c r="C119" s="23">
        <v>20200316</v>
      </c>
      <c r="D119" s="22" t="s">
        <v>2</v>
      </c>
      <c r="E119" s="22" t="s">
        <v>283</v>
      </c>
      <c r="F119" s="24" t="s">
        <v>308</v>
      </c>
      <c r="G119" s="22" t="s">
        <v>296</v>
      </c>
      <c r="H119" s="22" t="s">
        <v>246</v>
      </c>
      <c r="I119" s="22" t="s">
        <v>331</v>
      </c>
      <c r="J119" s="22" t="s">
        <v>67</v>
      </c>
      <c r="K119" s="22" t="s">
        <v>325</v>
      </c>
      <c r="L119" s="24" t="s">
        <v>270</v>
      </c>
      <c r="M119" s="24" t="s">
        <v>233</v>
      </c>
      <c r="N119" s="25" t="s">
        <v>557</v>
      </c>
      <c r="O119" s="23" t="s">
        <v>322</v>
      </c>
      <c r="P119" s="22" t="s">
        <v>72</v>
      </c>
      <c r="Q119" s="22"/>
      <c r="R119" s="22"/>
      <c r="S119" s="22">
        <v>30</v>
      </c>
      <c r="T119" s="22">
        <f>ROUND(IF(D119=Table!$C$3,V119*Table!$C$4/8,V119*Table!$D$4/8),3)</f>
        <v>39</v>
      </c>
      <c r="U119" s="22">
        <f t="shared" si="13"/>
        <v>39</v>
      </c>
      <c r="V119" s="22">
        <v>2.4</v>
      </c>
      <c r="W119" s="22">
        <v>4</v>
      </c>
      <c r="X119" s="22" t="s">
        <v>80</v>
      </c>
      <c r="Y119" s="26">
        <v>43906</v>
      </c>
      <c r="Z119" s="26">
        <v>43909</v>
      </c>
      <c r="AA119" s="26">
        <v>43909</v>
      </c>
      <c r="AB119" s="26">
        <v>43909</v>
      </c>
      <c r="AC119" s="26" t="s">
        <v>201</v>
      </c>
      <c r="AD119" s="114"/>
      <c r="AE119" s="114"/>
      <c r="AF119" s="52">
        <v>1</v>
      </c>
      <c r="AG119" s="52">
        <v>1</v>
      </c>
      <c r="AH119" s="52">
        <v>1</v>
      </c>
      <c r="AI119" s="22"/>
      <c r="AJ119" s="22"/>
      <c r="AK119" s="22"/>
    </row>
    <row r="120" spans="1:37" x14ac:dyDescent="0.25">
      <c r="A120" s="47"/>
      <c r="B120" s="25">
        <v>58</v>
      </c>
      <c r="C120" s="48">
        <v>20200316</v>
      </c>
      <c r="D120" s="48" t="s">
        <v>2</v>
      </c>
      <c r="E120" s="48" t="s">
        <v>283</v>
      </c>
      <c r="F120" s="49" t="s">
        <v>281</v>
      </c>
      <c r="G120" s="48" t="s">
        <v>304</v>
      </c>
      <c r="H120" s="48" t="s">
        <v>258</v>
      </c>
      <c r="I120" s="48" t="s">
        <v>331</v>
      </c>
      <c r="J120" s="48" t="s">
        <v>67</v>
      </c>
      <c r="K120" s="48" t="s">
        <v>325</v>
      </c>
      <c r="L120" s="49" t="s">
        <v>278</v>
      </c>
      <c r="M120" s="24" t="s">
        <v>233</v>
      </c>
      <c r="N120" s="25" t="s">
        <v>558</v>
      </c>
      <c r="O120" s="48" t="s">
        <v>322</v>
      </c>
      <c r="P120" s="48" t="s">
        <v>72</v>
      </c>
      <c r="Q120" s="48"/>
      <c r="R120" s="48"/>
      <c r="S120" s="48">
        <v>101</v>
      </c>
      <c r="T120" s="22">
        <f>ROUND(IF(D120=Table!$C$3,V120*Table!$C$4/8,V120*Table!$D$4/8),3)</f>
        <v>84.5</v>
      </c>
      <c r="U120" s="22">
        <f t="shared" si="13"/>
        <v>84.5</v>
      </c>
      <c r="V120" s="48">
        <v>5.2</v>
      </c>
      <c r="W120" s="48">
        <v>6</v>
      </c>
      <c r="X120" s="22" t="s">
        <v>80</v>
      </c>
      <c r="Y120" s="26">
        <v>43906</v>
      </c>
      <c r="Z120" s="50">
        <v>43909</v>
      </c>
      <c r="AA120" s="50">
        <v>43908</v>
      </c>
      <c r="AB120" s="50">
        <v>43908</v>
      </c>
      <c r="AC120" s="50" t="s">
        <v>201</v>
      </c>
      <c r="AD120" s="114"/>
      <c r="AE120" s="114"/>
      <c r="AF120" s="53">
        <v>0.98099999999999998</v>
      </c>
      <c r="AG120" s="53">
        <v>0.98199999999999998</v>
      </c>
      <c r="AH120" s="53" t="s">
        <v>216</v>
      </c>
      <c r="AI120" s="22" t="s">
        <v>334</v>
      </c>
      <c r="AJ120" s="51"/>
      <c r="AK120" s="48"/>
    </row>
    <row r="121" spans="1:37" x14ac:dyDescent="0.25">
      <c r="B121" s="25">
        <v>59</v>
      </c>
      <c r="C121" s="23">
        <v>20200316</v>
      </c>
      <c r="D121" s="22" t="s">
        <v>2</v>
      </c>
      <c r="E121" s="22" t="s">
        <v>283</v>
      </c>
      <c r="F121" s="24" t="s">
        <v>308</v>
      </c>
      <c r="G121" s="22" t="s">
        <v>156</v>
      </c>
      <c r="H121" s="22" t="s">
        <v>248</v>
      </c>
      <c r="I121" s="22" t="s">
        <v>331</v>
      </c>
      <c r="J121" s="22" t="s">
        <v>67</v>
      </c>
      <c r="K121" s="22" t="s">
        <v>325</v>
      </c>
      <c r="L121" s="24" t="s">
        <v>272</v>
      </c>
      <c r="M121" s="24" t="s">
        <v>233</v>
      </c>
      <c r="N121" s="25" t="s">
        <v>559</v>
      </c>
      <c r="O121" s="23" t="s">
        <v>322</v>
      </c>
      <c r="P121" s="22" t="s">
        <v>72</v>
      </c>
      <c r="Q121" s="22"/>
      <c r="R121" s="22"/>
      <c r="S121" s="22">
        <v>36</v>
      </c>
      <c r="T121" s="22">
        <f>ROUND(IF(D121=Table!$C$3,V121*Table!$C$4/8,V121*Table!$D$4/8),3)</f>
        <v>39</v>
      </c>
      <c r="U121" s="22">
        <f t="shared" si="13"/>
        <v>39</v>
      </c>
      <c r="V121" s="22">
        <v>2.4</v>
      </c>
      <c r="W121" s="22">
        <v>3</v>
      </c>
      <c r="X121" s="22" t="s">
        <v>80</v>
      </c>
      <c r="Y121" s="26">
        <v>43906</v>
      </c>
      <c r="Z121" s="26">
        <v>43909</v>
      </c>
      <c r="AA121" s="26">
        <v>43909</v>
      </c>
      <c r="AB121" s="26">
        <v>43909</v>
      </c>
      <c r="AC121" s="26" t="s">
        <v>201</v>
      </c>
      <c r="AD121" s="114"/>
      <c r="AE121" s="114"/>
      <c r="AF121" s="52">
        <v>1</v>
      </c>
      <c r="AG121" s="52">
        <v>1</v>
      </c>
      <c r="AH121" s="52">
        <v>0.5</v>
      </c>
      <c r="AI121" s="22"/>
      <c r="AJ121" s="22"/>
      <c r="AK121" s="22"/>
    </row>
    <row r="122" spans="1:37" x14ac:dyDescent="0.25">
      <c r="B122" s="25">
        <v>60</v>
      </c>
      <c r="C122" s="23">
        <v>20200316</v>
      </c>
      <c r="D122" s="22" t="s">
        <v>2</v>
      </c>
      <c r="E122" s="22" t="s">
        <v>283</v>
      </c>
      <c r="F122" s="24" t="s">
        <v>308</v>
      </c>
      <c r="G122" s="22" t="s">
        <v>157</v>
      </c>
      <c r="H122" s="22" t="s">
        <v>249</v>
      </c>
      <c r="I122" s="22" t="s">
        <v>331</v>
      </c>
      <c r="J122" s="22" t="s">
        <v>67</v>
      </c>
      <c r="K122" s="22" t="s">
        <v>325</v>
      </c>
      <c r="L122" s="24" t="s">
        <v>273</v>
      </c>
      <c r="M122" s="24" t="s">
        <v>233</v>
      </c>
      <c r="N122" s="25" t="s">
        <v>560</v>
      </c>
      <c r="O122" s="23" t="s">
        <v>322</v>
      </c>
      <c r="P122" s="22" t="s">
        <v>72</v>
      </c>
      <c r="Q122" s="22"/>
      <c r="R122" s="22"/>
      <c r="S122" s="22">
        <v>48</v>
      </c>
      <c r="T122" s="22">
        <f>ROUND(IF(D122=Table!$C$3,V122*Table!$C$4/8,V122*Table!$D$4/8),3)</f>
        <v>52</v>
      </c>
      <c r="U122" s="22">
        <f t="shared" si="13"/>
        <v>52</v>
      </c>
      <c r="V122" s="22">
        <v>3.2</v>
      </c>
      <c r="W122" s="22">
        <v>3</v>
      </c>
      <c r="X122" s="22" t="s">
        <v>80</v>
      </c>
      <c r="Y122" s="26">
        <v>43906</v>
      </c>
      <c r="Z122" s="26">
        <v>43909</v>
      </c>
      <c r="AA122" s="26">
        <v>43909</v>
      </c>
      <c r="AB122" s="26">
        <v>43910</v>
      </c>
      <c r="AC122" s="26" t="s">
        <v>201</v>
      </c>
      <c r="AD122" s="114"/>
      <c r="AE122" s="114"/>
      <c r="AF122" s="52">
        <v>0.91200000000000003</v>
      </c>
      <c r="AG122" s="52">
        <v>0.91200000000000003</v>
      </c>
      <c r="AH122" s="52" t="s">
        <v>216</v>
      </c>
      <c r="AI122" s="22" t="s">
        <v>469</v>
      </c>
      <c r="AJ122" s="22"/>
      <c r="AK122" s="22"/>
    </row>
    <row r="123" spans="1:37" x14ac:dyDescent="0.25">
      <c r="B123" s="25">
        <v>61</v>
      </c>
      <c r="C123" s="23">
        <v>20200316</v>
      </c>
      <c r="D123" s="22" t="s">
        <v>2</v>
      </c>
      <c r="E123" s="22" t="s">
        <v>283</v>
      </c>
      <c r="F123" s="24" t="s">
        <v>308</v>
      </c>
      <c r="G123" s="22" t="s">
        <v>297</v>
      </c>
      <c r="H123" s="22" t="s">
        <v>250</v>
      </c>
      <c r="I123" s="22" t="s">
        <v>331</v>
      </c>
      <c r="J123" s="22" t="s">
        <v>67</v>
      </c>
      <c r="K123" s="22" t="s">
        <v>325</v>
      </c>
      <c r="L123" s="24" t="s">
        <v>268</v>
      </c>
      <c r="M123" s="24" t="s">
        <v>233</v>
      </c>
      <c r="N123" s="25" t="s">
        <v>561</v>
      </c>
      <c r="O123" s="23" t="s">
        <v>323</v>
      </c>
      <c r="P123" s="22" t="s">
        <v>71</v>
      </c>
      <c r="Q123" s="22"/>
      <c r="R123" s="22"/>
      <c r="S123" s="22">
        <v>31</v>
      </c>
      <c r="T123" s="22">
        <f>ROUND(IF(D123=Table!$C$3,V123*Table!$C$4/8,V123*Table!$D$4/8),3)</f>
        <v>39</v>
      </c>
      <c r="U123" s="22">
        <f t="shared" si="13"/>
        <v>39</v>
      </c>
      <c r="V123" s="22">
        <v>2.4</v>
      </c>
      <c r="W123" s="22">
        <v>3</v>
      </c>
      <c r="X123" s="22" t="s">
        <v>80</v>
      </c>
      <c r="Y123" s="26">
        <v>43906</v>
      </c>
      <c r="Z123" s="26">
        <v>43909</v>
      </c>
      <c r="AA123" s="26">
        <v>43907</v>
      </c>
      <c r="AB123" s="26">
        <v>43907</v>
      </c>
      <c r="AC123" s="26" t="s">
        <v>201</v>
      </c>
      <c r="AD123" s="114"/>
      <c r="AE123" s="114"/>
      <c r="AF123" s="52">
        <v>1</v>
      </c>
      <c r="AG123" s="52">
        <v>1</v>
      </c>
      <c r="AH123" s="52" t="s">
        <v>216</v>
      </c>
      <c r="AI123" s="22"/>
      <c r="AJ123" s="22"/>
      <c r="AK123" s="22"/>
    </row>
    <row r="124" spans="1:37" x14ac:dyDescent="0.25">
      <c r="B124" s="25">
        <v>62</v>
      </c>
      <c r="C124" s="23">
        <v>20200316</v>
      </c>
      <c r="D124" s="22" t="s">
        <v>2</v>
      </c>
      <c r="E124" s="22" t="s">
        <v>283</v>
      </c>
      <c r="F124" s="24" t="s">
        <v>308</v>
      </c>
      <c r="G124" s="22" t="s">
        <v>158</v>
      </c>
      <c r="H124" s="22" t="s">
        <v>251</v>
      </c>
      <c r="I124" s="22" t="s">
        <v>331</v>
      </c>
      <c r="J124" s="22" t="s">
        <v>67</v>
      </c>
      <c r="K124" s="22" t="s">
        <v>325</v>
      </c>
      <c r="L124" s="24" t="s">
        <v>271</v>
      </c>
      <c r="M124" s="24" t="s">
        <v>233</v>
      </c>
      <c r="N124" s="25" t="s">
        <v>562</v>
      </c>
      <c r="O124" s="23" t="s">
        <v>323</v>
      </c>
      <c r="P124" s="22" t="s">
        <v>71</v>
      </c>
      <c r="Q124" s="22"/>
      <c r="R124" s="22"/>
      <c r="S124" s="22">
        <v>27</v>
      </c>
      <c r="T124" s="22">
        <f>ROUND(IF(D124=Table!$C$3,V124*Table!$C$4/8,V124*Table!$D$4/8),3)</f>
        <v>39</v>
      </c>
      <c r="U124" s="22">
        <f t="shared" si="13"/>
        <v>39</v>
      </c>
      <c r="V124" s="22">
        <v>2.4</v>
      </c>
      <c r="W124" s="22">
        <v>3</v>
      </c>
      <c r="X124" s="22" t="s">
        <v>80</v>
      </c>
      <c r="Y124" s="26">
        <v>43906</v>
      </c>
      <c r="Z124" s="26">
        <v>43909</v>
      </c>
      <c r="AA124" s="26">
        <v>43908</v>
      </c>
      <c r="AB124" s="26">
        <v>43908</v>
      </c>
      <c r="AC124" s="26" t="s">
        <v>201</v>
      </c>
      <c r="AD124" s="114"/>
      <c r="AE124" s="114"/>
      <c r="AF124" s="52">
        <v>1</v>
      </c>
      <c r="AG124" s="52">
        <v>1</v>
      </c>
      <c r="AH124" s="52" t="s">
        <v>216</v>
      </c>
      <c r="AI124" s="22"/>
      <c r="AJ124" s="22"/>
      <c r="AK124" s="22"/>
    </row>
    <row r="125" spans="1:37" x14ac:dyDescent="0.25">
      <c r="B125" s="25">
        <v>63</v>
      </c>
      <c r="C125" s="23">
        <v>20200316</v>
      </c>
      <c r="D125" s="22" t="s">
        <v>2</v>
      </c>
      <c r="E125" s="22" t="s">
        <v>283</v>
      </c>
      <c r="F125" s="24" t="s">
        <v>281</v>
      </c>
      <c r="G125" s="22" t="s">
        <v>298</v>
      </c>
      <c r="H125" s="22" t="s">
        <v>252</v>
      </c>
      <c r="I125" s="22" t="s">
        <v>331</v>
      </c>
      <c r="J125" s="22" t="s">
        <v>67</v>
      </c>
      <c r="K125" s="22" t="s">
        <v>325</v>
      </c>
      <c r="L125" s="24" t="s">
        <v>274</v>
      </c>
      <c r="M125" s="24" t="s">
        <v>233</v>
      </c>
      <c r="N125" s="25" t="s">
        <v>563</v>
      </c>
      <c r="O125" s="23" t="s">
        <v>323</v>
      </c>
      <c r="P125" s="22" t="s">
        <v>71</v>
      </c>
      <c r="Q125" s="22"/>
      <c r="R125" s="22"/>
      <c r="S125" s="22">
        <v>23</v>
      </c>
      <c r="T125" s="22">
        <f>ROUND(IF(D125=Table!$C$3,V125*Table!$C$4/8,V125*Table!$D$4/8),3)</f>
        <v>26</v>
      </c>
      <c r="U125" s="22">
        <f t="shared" si="13"/>
        <v>26</v>
      </c>
      <c r="V125" s="22">
        <v>1.6</v>
      </c>
      <c r="W125" s="22">
        <v>2</v>
      </c>
      <c r="X125" s="22" t="s">
        <v>80</v>
      </c>
      <c r="Y125" s="26">
        <v>43906</v>
      </c>
      <c r="Z125" s="26">
        <v>43909</v>
      </c>
      <c r="AA125" s="26">
        <v>43907</v>
      </c>
      <c r="AB125" s="26">
        <v>43907</v>
      </c>
      <c r="AC125" s="26" t="s">
        <v>201</v>
      </c>
      <c r="AD125" s="114"/>
      <c r="AE125" s="114"/>
      <c r="AF125" s="52">
        <v>1</v>
      </c>
      <c r="AG125" s="52">
        <v>1</v>
      </c>
      <c r="AH125" s="52" t="s">
        <v>216</v>
      </c>
      <c r="AI125" s="22"/>
      <c r="AJ125" s="22"/>
      <c r="AK125" s="22"/>
    </row>
    <row r="126" spans="1:37" x14ac:dyDescent="0.25">
      <c r="B126" s="25">
        <v>64</v>
      </c>
      <c r="C126" s="23">
        <v>20200316</v>
      </c>
      <c r="D126" s="22" t="s">
        <v>2</v>
      </c>
      <c r="E126" s="22" t="s">
        <v>283</v>
      </c>
      <c r="F126" s="24" t="s">
        <v>281</v>
      </c>
      <c r="G126" s="22" t="s">
        <v>299</v>
      </c>
      <c r="H126" s="22" t="s">
        <v>253</v>
      </c>
      <c r="I126" s="22" t="s">
        <v>330</v>
      </c>
      <c r="J126" s="22" t="s">
        <v>67</v>
      </c>
      <c r="K126" s="22" t="s">
        <v>325</v>
      </c>
      <c r="L126" s="24" t="s">
        <v>274</v>
      </c>
      <c r="M126" s="24" t="s">
        <v>233</v>
      </c>
      <c r="N126" s="25" t="s">
        <v>564</v>
      </c>
      <c r="O126" s="23" t="s">
        <v>323</v>
      </c>
      <c r="P126" s="22" t="s">
        <v>71</v>
      </c>
      <c r="Q126" s="22"/>
      <c r="R126" s="22"/>
      <c r="S126" s="22">
        <v>121</v>
      </c>
      <c r="T126" s="22">
        <f>ROUND(IF(D126=Table!$C$3,V126*Table!$C$4/8,V126*Table!$D$4/8),3)</f>
        <v>104</v>
      </c>
      <c r="U126" s="22">
        <f t="shared" si="13"/>
        <v>104</v>
      </c>
      <c r="V126" s="22">
        <v>6.4</v>
      </c>
      <c r="W126" s="22">
        <v>8</v>
      </c>
      <c r="X126" s="22" t="s">
        <v>80</v>
      </c>
      <c r="Y126" s="26">
        <v>43906</v>
      </c>
      <c r="Z126" s="26">
        <v>43909</v>
      </c>
      <c r="AA126" s="26">
        <v>43907</v>
      </c>
      <c r="AB126" s="26">
        <v>43907</v>
      </c>
      <c r="AC126" s="26" t="s">
        <v>201</v>
      </c>
      <c r="AD126" s="114"/>
      <c r="AE126" s="114"/>
      <c r="AF126" s="52">
        <v>1</v>
      </c>
      <c r="AG126" s="52">
        <v>1</v>
      </c>
      <c r="AH126" s="52" t="s">
        <v>216</v>
      </c>
      <c r="AI126" s="22"/>
      <c r="AJ126" s="22"/>
      <c r="AK126" s="22"/>
    </row>
    <row r="127" spans="1:37" x14ac:dyDescent="0.25">
      <c r="B127" s="25">
        <v>65</v>
      </c>
      <c r="C127" s="23">
        <v>20200316</v>
      </c>
      <c r="D127" s="22" t="s">
        <v>2</v>
      </c>
      <c r="E127" s="22" t="s">
        <v>283</v>
      </c>
      <c r="F127" s="24" t="s">
        <v>281</v>
      </c>
      <c r="G127" s="22" t="s">
        <v>301</v>
      </c>
      <c r="H127" s="22" t="s">
        <v>255</v>
      </c>
      <c r="I127" s="22" t="s">
        <v>331</v>
      </c>
      <c r="J127" s="22" t="s">
        <v>67</v>
      </c>
      <c r="K127" s="22" t="s">
        <v>325</v>
      </c>
      <c r="L127" s="24" t="s">
        <v>275</v>
      </c>
      <c r="M127" s="24" t="s">
        <v>233</v>
      </c>
      <c r="N127" s="25" t="s">
        <v>565</v>
      </c>
      <c r="O127" s="23" t="s">
        <v>323</v>
      </c>
      <c r="P127" s="22" t="s">
        <v>71</v>
      </c>
      <c r="Q127" s="22"/>
      <c r="R127" s="22"/>
      <c r="S127" s="22">
        <v>24</v>
      </c>
      <c r="T127" s="22">
        <f>ROUND(IF(D127=Table!$C$3,V127*Table!$C$4/8,V127*Table!$D$4/8),3)</f>
        <v>26</v>
      </c>
      <c r="U127" s="22">
        <f t="shared" si="13"/>
        <v>26</v>
      </c>
      <c r="V127" s="22">
        <v>1.6</v>
      </c>
      <c r="W127" s="22">
        <v>2</v>
      </c>
      <c r="X127" s="22" t="s">
        <v>80</v>
      </c>
      <c r="Y127" s="26">
        <v>43906</v>
      </c>
      <c r="Z127" s="26">
        <v>43909</v>
      </c>
      <c r="AA127" s="26">
        <v>43908</v>
      </c>
      <c r="AB127" s="26">
        <v>43908</v>
      </c>
      <c r="AC127" s="26" t="s">
        <v>201</v>
      </c>
      <c r="AD127" s="114"/>
      <c r="AE127" s="114"/>
      <c r="AF127" s="52">
        <v>1</v>
      </c>
      <c r="AG127" s="52">
        <v>1</v>
      </c>
      <c r="AH127" s="52" t="s">
        <v>216</v>
      </c>
      <c r="AI127" s="22"/>
      <c r="AJ127" s="22"/>
      <c r="AK127" s="22"/>
    </row>
    <row r="128" spans="1:37" x14ac:dyDescent="0.25">
      <c r="B128" s="25">
        <v>66</v>
      </c>
      <c r="C128" s="23">
        <v>20200316</v>
      </c>
      <c r="D128" s="22" t="s">
        <v>2</v>
      </c>
      <c r="E128" s="22" t="s">
        <v>283</v>
      </c>
      <c r="F128" s="24" t="s">
        <v>281</v>
      </c>
      <c r="G128" s="22" t="s">
        <v>302</v>
      </c>
      <c r="H128" s="22" t="s">
        <v>256</v>
      </c>
      <c r="I128" s="22" t="s">
        <v>331</v>
      </c>
      <c r="J128" s="22" t="s">
        <v>67</v>
      </c>
      <c r="K128" s="22" t="s">
        <v>325</v>
      </c>
      <c r="L128" s="24" t="s">
        <v>275</v>
      </c>
      <c r="M128" s="24" t="s">
        <v>233</v>
      </c>
      <c r="N128" s="25" t="s">
        <v>566</v>
      </c>
      <c r="O128" s="23" t="s">
        <v>323</v>
      </c>
      <c r="P128" s="22" t="s">
        <v>71</v>
      </c>
      <c r="Q128" s="22"/>
      <c r="R128" s="22"/>
      <c r="S128" s="22">
        <v>24</v>
      </c>
      <c r="T128" s="22">
        <f>ROUND(IF(D128=Table!$C$3,V128*Table!$C$4/8,V128*Table!$D$4/8),3)</f>
        <v>26</v>
      </c>
      <c r="U128" s="22">
        <f t="shared" ref="U128:U150" si="14">T128</f>
        <v>26</v>
      </c>
      <c r="V128" s="22">
        <v>1.6</v>
      </c>
      <c r="W128" s="22">
        <v>2</v>
      </c>
      <c r="X128" s="22" t="s">
        <v>80</v>
      </c>
      <c r="Y128" s="26">
        <v>43906</v>
      </c>
      <c r="Z128" s="26">
        <v>43909</v>
      </c>
      <c r="AA128" s="26">
        <v>43908</v>
      </c>
      <c r="AB128" s="26">
        <v>43908</v>
      </c>
      <c r="AC128" s="26" t="s">
        <v>201</v>
      </c>
      <c r="AD128" s="114"/>
      <c r="AE128" s="114"/>
      <c r="AF128" s="52">
        <v>1</v>
      </c>
      <c r="AG128" s="52">
        <v>1</v>
      </c>
      <c r="AH128" s="52" t="s">
        <v>216</v>
      </c>
      <c r="AI128" s="22"/>
      <c r="AJ128" s="22"/>
      <c r="AK128" s="22"/>
    </row>
    <row r="129" spans="2:37" x14ac:dyDescent="0.25">
      <c r="B129" s="25">
        <v>67</v>
      </c>
      <c r="C129" s="23">
        <v>20200316</v>
      </c>
      <c r="D129" s="22" t="s">
        <v>2</v>
      </c>
      <c r="E129" s="22" t="s">
        <v>283</v>
      </c>
      <c r="F129" s="24" t="s">
        <v>281</v>
      </c>
      <c r="G129" s="22" t="s">
        <v>303</v>
      </c>
      <c r="H129" s="22" t="s">
        <v>257</v>
      </c>
      <c r="I129" s="22" t="s">
        <v>331</v>
      </c>
      <c r="J129" s="22" t="s">
        <v>67</v>
      </c>
      <c r="K129" s="22" t="s">
        <v>325</v>
      </c>
      <c r="L129" s="24" t="s">
        <v>277</v>
      </c>
      <c r="M129" s="24" t="s">
        <v>233</v>
      </c>
      <c r="N129" s="25" t="s">
        <v>567</v>
      </c>
      <c r="O129" s="23" t="s">
        <v>323</v>
      </c>
      <c r="P129" s="22" t="s">
        <v>71</v>
      </c>
      <c r="Q129" s="22"/>
      <c r="R129" s="22"/>
      <c r="S129" s="22">
        <v>17</v>
      </c>
      <c r="T129" s="22">
        <f>ROUND(IF(D129=Table!$C$3,V129*Table!$C$4/8,V129*Table!$D$4/8),3)</f>
        <v>26</v>
      </c>
      <c r="U129" s="22">
        <f t="shared" si="14"/>
        <v>26</v>
      </c>
      <c r="V129" s="22">
        <v>1.6</v>
      </c>
      <c r="W129" s="22">
        <v>2</v>
      </c>
      <c r="X129" s="22" t="s">
        <v>80</v>
      </c>
      <c r="Y129" s="26">
        <v>43906</v>
      </c>
      <c r="Z129" s="26">
        <v>43909</v>
      </c>
      <c r="AA129" s="26">
        <v>43908</v>
      </c>
      <c r="AB129" s="26">
        <v>43908</v>
      </c>
      <c r="AC129" s="26" t="s">
        <v>201</v>
      </c>
      <c r="AD129" s="114"/>
      <c r="AE129" s="114"/>
      <c r="AF129" s="52">
        <v>1</v>
      </c>
      <c r="AG129" s="52">
        <v>1</v>
      </c>
      <c r="AH129" s="52" t="s">
        <v>216</v>
      </c>
      <c r="AI129" s="22"/>
      <c r="AJ129" s="22"/>
      <c r="AK129" s="22"/>
    </row>
    <row r="130" spans="2:37" x14ac:dyDescent="0.25">
      <c r="B130" s="25">
        <v>68</v>
      </c>
      <c r="C130" s="23">
        <v>20200316</v>
      </c>
      <c r="D130" s="22" t="s">
        <v>3</v>
      </c>
      <c r="E130" s="22" t="s">
        <v>283</v>
      </c>
      <c r="F130" s="24" t="s">
        <v>324</v>
      </c>
      <c r="G130" s="22" t="s">
        <v>318</v>
      </c>
      <c r="H130" s="22" t="s">
        <v>316</v>
      </c>
      <c r="I130" s="22" t="s">
        <v>332</v>
      </c>
      <c r="J130" s="22" t="s">
        <v>67</v>
      </c>
      <c r="K130" s="22" t="s">
        <v>333</v>
      </c>
      <c r="L130" s="24" t="s">
        <v>863</v>
      </c>
      <c r="M130" s="24" t="s">
        <v>233</v>
      </c>
      <c r="N130" s="25" t="s">
        <v>568</v>
      </c>
      <c r="O130" s="23" t="s">
        <v>323</v>
      </c>
      <c r="P130" s="22" t="s">
        <v>71</v>
      </c>
      <c r="Q130" s="22"/>
      <c r="R130" s="22"/>
      <c r="S130" s="22">
        <v>455</v>
      </c>
      <c r="T130" s="22">
        <f>ROUND(IF(D130=Table!$C$3,V130*Table!$C$4/8,V130*Table!$D$4/8),3)</f>
        <v>360</v>
      </c>
      <c r="U130" s="22">
        <f t="shared" si="14"/>
        <v>360</v>
      </c>
      <c r="V130" s="22">
        <v>6.4</v>
      </c>
      <c r="W130" s="22">
        <v>6</v>
      </c>
      <c r="X130" s="22" t="s">
        <v>80</v>
      </c>
      <c r="Y130" s="26">
        <v>43906</v>
      </c>
      <c r="Z130" s="26">
        <v>43909</v>
      </c>
      <c r="AA130" s="26">
        <v>43909</v>
      </c>
      <c r="AB130" s="26">
        <v>43909</v>
      </c>
      <c r="AC130" s="26" t="s">
        <v>201</v>
      </c>
      <c r="AD130" s="114"/>
      <c r="AE130" s="114"/>
      <c r="AF130" s="52">
        <v>1</v>
      </c>
      <c r="AG130" s="52">
        <v>1</v>
      </c>
      <c r="AH130" s="52" t="s">
        <v>216</v>
      </c>
      <c r="AI130" s="22"/>
      <c r="AJ130" s="22"/>
      <c r="AK130" s="22" t="s">
        <v>319</v>
      </c>
    </row>
    <row r="131" spans="2:37" x14ac:dyDescent="0.25">
      <c r="B131" s="25">
        <v>69</v>
      </c>
      <c r="C131" s="23">
        <v>20200316</v>
      </c>
      <c r="D131" s="22" t="s">
        <v>3</v>
      </c>
      <c r="E131" s="22" t="s">
        <v>283</v>
      </c>
      <c r="F131" s="24" t="s">
        <v>282</v>
      </c>
      <c r="G131" s="22" t="s">
        <v>289</v>
      </c>
      <c r="H131" s="22" t="s">
        <v>259</v>
      </c>
      <c r="I131" s="22" t="s">
        <v>331</v>
      </c>
      <c r="J131" s="22" t="s">
        <v>67</v>
      </c>
      <c r="K131" s="22" t="s">
        <v>333</v>
      </c>
      <c r="L131" s="24" t="s">
        <v>864</v>
      </c>
      <c r="M131" s="24" t="s">
        <v>233</v>
      </c>
      <c r="N131" s="25" t="s">
        <v>569</v>
      </c>
      <c r="O131" s="23" t="s">
        <v>323</v>
      </c>
      <c r="P131" s="22" t="s">
        <v>71</v>
      </c>
      <c r="Q131" s="22"/>
      <c r="R131" s="22"/>
      <c r="S131" s="22">
        <v>131</v>
      </c>
      <c r="T131" s="22">
        <f>ROUND(IF(D131=Table!$C$3,V131*Table!$C$4/8,V131*Table!$D$4/8),3)</f>
        <v>135</v>
      </c>
      <c r="U131" s="22">
        <f t="shared" si="14"/>
        <v>135</v>
      </c>
      <c r="V131" s="22">
        <v>2.4</v>
      </c>
      <c r="W131" s="22">
        <v>2</v>
      </c>
      <c r="X131" s="22" t="s">
        <v>80</v>
      </c>
      <c r="Y131" s="26">
        <v>43906</v>
      </c>
      <c r="Z131" s="26">
        <v>43909</v>
      </c>
      <c r="AA131" s="26">
        <v>43909</v>
      </c>
      <c r="AB131" s="26">
        <v>43909</v>
      </c>
      <c r="AC131" s="26" t="s">
        <v>201</v>
      </c>
      <c r="AD131" s="114"/>
      <c r="AE131" s="114"/>
      <c r="AF131" s="52">
        <v>1</v>
      </c>
      <c r="AG131" s="52">
        <v>1</v>
      </c>
      <c r="AH131" s="52" t="s">
        <v>216</v>
      </c>
      <c r="AI131" s="22"/>
      <c r="AJ131" s="22"/>
      <c r="AK131" s="22" t="s">
        <v>305</v>
      </c>
    </row>
    <row r="132" spans="2:37" x14ac:dyDescent="0.25">
      <c r="B132" s="59">
        <v>70</v>
      </c>
      <c r="C132" s="23">
        <v>20200319</v>
      </c>
      <c r="D132" s="22" t="s">
        <v>2</v>
      </c>
      <c r="E132" s="22" t="s">
        <v>452</v>
      </c>
      <c r="F132" s="24" t="s">
        <v>67</v>
      </c>
      <c r="G132" s="22" t="s">
        <v>129</v>
      </c>
      <c r="H132" s="22" t="s">
        <v>341</v>
      </c>
      <c r="I132" s="22" t="s">
        <v>331</v>
      </c>
      <c r="J132" s="22" t="s">
        <v>67</v>
      </c>
      <c r="K132" s="22" t="s">
        <v>812</v>
      </c>
      <c r="L132" s="24" t="s">
        <v>411</v>
      </c>
      <c r="M132" s="24" t="s">
        <v>473</v>
      </c>
      <c r="N132" s="25" t="s">
        <v>570</v>
      </c>
      <c r="O132" s="23" t="s">
        <v>199</v>
      </c>
      <c r="P132" s="22" t="s">
        <v>6</v>
      </c>
      <c r="Q132" s="22"/>
      <c r="R132" s="22"/>
      <c r="S132" s="22"/>
      <c r="T132" s="22">
        <f>ROUND(IF(D132=Table!$C$3,V132*Table!$C$4/8,V132*Table!$D$4/8),3)</f>
        <v>26.244</v>
      </c>
      <c r="U132" s="22">
        <f t="shared" si="14"/>
        <v>26.244</v>
      </c>
      <c r="V132" s="22">
        <v>1.615</v>
      </c>
      <c r="W132" s="22">
        <v>4</v>
      </c>
      <c r="X132" s="22" t="s">
        <v>80</v>
      </c>
      <c r="Y132" s="26">
        <v>43910</v>
      </c>
      <c r="Z132" s="26">
        <v>43920</v>
      </c>
      <c r="AA132" s="26">
        <v>43910</v>
      </c>
      <c r="AB132" s="26">
        <v>43910</v>
      </c>
      <c r="AC132" s="26" t="s">
        <v>201</v>
      </c>
      <c r="AD132" s="114"/>
      <c r="AE132" s="114"/>
      <c r="AF132" s="52">
        <v>1</v>
      </c>
      <c r="AG132" s="52">
        <v>1</v>
      </c>
      <c r="AH132" s="52">
        <v>1</v>
      </c>
      <c r="AI132" s="22"/>
      <c r="AJ132" s="22"/>
      <c r="AK132" s="22"/>
    </row>
    <row r="133" spans="2:37" x14ac:dyDescent="0.25">
      <c r="B133" s="59">
        <v>71</v>
      </c>
      <c r="C133" s="23">
        <v>20200319</v>
      </c>
      <c r="D133" s="22" t="s">
        <v>2</v>
      </c>
      <c r="E133" s="22" t="s">
        <v>452</v>
      </c>
      <c r="F133" s="24" t="s">
        <v>67</v>
      </c>
      <c r="G133" s="22" t="s">
        <v>130</v>
      </c>
      <c r="H133" s="22" t="s">
        <v>342</v>
      </c>
      <c r="I133" s="22" t="s">
        <v>331</v>
      </c>
      <c r="J133" s="22" t="s">
        <v>67</v>
      </c>
      <c r="K133" s="22" t="s">
        <v>812</v>
      </c>
      <c r="L133" s="24" t="s">
        <v>412</v>
      </c>
      <c r="M133" s="24" t="s">
        <v>473</v>
      </c>
      <c r="N133" s="25" t="s">
        <v>571</v>
      </c>
      <c r="O133" s="23" t="s">
        <v>199</v>
      </c>
      <c r="P133" s="22" t="s">
        <v>6</v>
      </c>
      <c r="Q133" s="22"/>
      <c r="R133" s="22"/>
      <c r="S133" s="22"/>
      <c r="T133" s="22">
        <f>ROUND(IF(D133=Table!$C$3,V133*Table!$C$4/8,V133*Table!$D$4/8),3)</f>
        <v>26.244</v>
      </c>
      <c r="U133" s="22">
        <f t="shared" si="14"/>
        <v>26.244</v>
      </c>
      <c r="V133" s="22">
        <v>1.615</v>
      </c>
      <c r="W133" s="22">
        <v>2</v>
      </c>
      <c r="X133" s="22" t="s">
        <v>80</v>
      </c>
      <c r="Y133" s="26">
        <v>43910</v>
      </c>
      <c r="Z133" s="26">
        <v>43920</v>
      </c>
      <c r="AA133" s="26">
        <v>43910</v>
      </c>
      <c r="AB133" s="26">
        <v>43910</v>
      </c>
      <c r="AC133" s="26" t="s">
        <v>201</v>
      </c>
      <c r="AD133" s="114"/>
      <c r="AE133" s="114"/>
      <c r="AF133" s="52">
        <v>1</v>
      </c>
      <c r="AG133" s="52">
        <v>1</v>
      </c>
      <c r="AH133" s="52">
        <v>1</v>
      </c>
      <c r="AI133" s="22"/>
      <c r="AJ133" s="22"/>
      <c r="AK133" s="22"/>
    </row>
    <row r="134" spans="2:37" x14ac:dyDescent="0.25">
      <c r="B134" s="59">
        <v>72</v>
      </c>
      <c r="C134" s="23">
        <v>20200319</v>
      </c>
      <c r="D134" s="22" t="s">
        <v>2</v>
      </c>
      <c r="E134" s="22" t="s">
        <v>452</v>
      </c>
      <c r="F134" s="24" t="s">
        <v>67</v>
      </c>
      <c r="G134" s="22" t="s">
        <v>131</v>
      </c>
      <c r="H134" s="22" t="s">
        <v>343</v>
      </c>
      <c r="I134" s="22" t="s">
        <v>331</v>
      </c>
      <c r="J134" s="22" t="s">
        <v>67</v>
      </c>
      <c r="K134" s="22" t="s">
        <v>812</v>
      </c>
      <c r="L134" s="24" t="s">
        <v>412</v>
      </c>
      <c r="M134" s="24" t="s">
        <v>473</v>
      </c>
      <c r="N134" s="25" t="s">
        <v>572</v>
      </c>
      <c r="O134" s="23" t="s">
        <v>199</v>
      </c>
      <c r="P134" s="22" t="s">
        <v>6</v>
      </c>
      <c r="Q134" s="22"/>
      <c r="R134" s="22"/>
      <c r="S134" s="22"/>
      <c r="T134" s="22">
        <f>ROUND(IF(D134=Table!$C$3,V134*Table!$C$4/8,V134*Table!$D$4/8),3)</f>
        <v>26.244</v>
      </c>
      <c r="U134" s="22">
        <f t="shared" si="14"/>
        <v>26.244</v>
      </c>
      <c r="V134" s="22">
        <v>1.615</v>
      </c>
      <c r="W134" s="22">
        <v>2</v>
      </c>
      <c r="X134" s="22" t="s">
        <v>80</v>
      </c>
      <c r="Y134" s="26">
        <v>43910</v>
      </c>
      <c r="Z134" s="26">
        <v>43920</v>
      </c>
      <c r="AA134" s="26">
        <v>43910</v>
      </c>
      <c r="AB134" s="26">
        <v>43910</v>
      </c>
      <c r="AC134" s="26" t="s">
        <v>201</v>
      </c>
      <c r="AD134" s="114"/>
      <c r="AE134" s="114"/>
      <c r="AF134" s="52">
        <v>1</v>
      </c>
      <c r="AG134" s="52">
        <v>1</v>
      </c>
      <c r="AH134" s="52" t="s">
        <v>216</v>
      </c>
      <c r="AI134" s="22"/>
      <c r="AJ134" s="22"/>
      <c r="AK134" s="22"/>
    </row>
    <row r="135" spans="2:37" x14ac:dyDescent="0.25">
      <c r="B135" s="59">
        <v>73</v>
      </c>
      <c r="C135" s="23">
        <v>20200319</v>
      </c>
      <c r="D135" s="22" t="s">
        <v>2</v>
      </c>
      <c r="E135" s="22" t="s">
        <v>452</v>
      </c>
      <c r="F135" s="24" t="s">
        <v>67</v>
      </c>
      <c r="G135" s="22" t="s">
        <v>425</v>
      </c>
      <c r="H135" s="22" t="s">
        <v>344</v>
      </c>
      <c r="I135" s="22" t="s">
        <v>331</v>
      </c>
      <c r="J135" s="22" t="s">
        <v>67</v>
      </c>
      <c r="K135" s="22" t="s">
        <v>812</v>
      </c>
      <c r="L135" s="24" t="s">
        <v>412</v>
      </c>
      <c r="M135" s="24" t="s">
        <v>473</v>
      </c>
      <c r="N135" s="25" t="s">
        <v>573</v>
      </c>
      <c r="O135" s="23" t="s">
        <v>199</v>
      </c>
      <c r="P135" s="22" t="s">
        <v>6</v>
      </c>
      <c r="Q135" s="22"/>
      <c r="R135" s="22"/>
      <c r="S135" s="22"/>
      <c r="T135" s="22">
        <f>ROUND(IF(D135=Table!$C$3,V135*Table!$C$4/8,V135*Table!$D$4/8),3)</f>
        <v>26.244</v>
      </c>
      <c r="U135" s="22">
        <f t="shared" si="14"/>
        <v>26.244</v>
      </c>
      <c r="V135" s="22">
        <v>1.615</v>
      </c>
      <c r="W135" s="22">
        <v>4</v>
      </c>
      <c r="X135" s="22" t="s">
        <v>80</v>
      </c>
      <c r="Y135" s="26">
        <v>43910</v>
      </c>
      <c r="Z135" s="26">
        <v>43920</v>
      </c>
      <c r="AA135" s="26">
        <v>43913</v>
      </c>
      <c r="AB135" s="26">
        <v>43913</v>
      </c>
      <c r="AC135" s="26" t="s">
        <v>201</v>
      </c>
      <c r="AD135" s="114"/>
      <c r="AE135" s="114"/>
      <c r="AF135" s="52">
        <v>1</v>
      </c>
      <c r="AG135" s="52">
        <v>1</v>
      </c>
      <c r="AH135" s="52" t="s">
        <v>216</v>
      </c>
      <c r="AI135" s="22"/>
      <c r="AJ135" s="22"/>
      <c r="AK135" s="22"/>
    </row>
    <row r="136" spans="2:37" x14ac:dyDescent="0.25">
      <c r="B136" s="59">
        <v>74</v>
      </c>
      <c r="C136" s="23">
        <v>20200319</v>
      </c>
      <c r="D136" s="22" t="s">
        <v>2</v>
      </c>
      <c r="E136" s="22" t="s">
        <v>452</v>
      </c>
      <c r="F136" s="24" t="s">
        <v>67</v>
      </c>
      <c r="G136" s="22" t="s">
        <v>132</v>
      </c>
      <c r="H136" s="22" t="s">
        <v>345</v>
      </c>
      <c r="I136" s="22" t="s">
        <v>331</v>
      </c>
      <c r="J136" s="22" t="s">
        <v>67</v>
      </c>
      <c r="K136" s="22" t="s">
        <v>812</v>
      </c>
      <c r="L136" s="24" t="s">
        <v>412</v>
      </c>
      <c r="M136" s="24" t="s">
        <v>473</v>
      </c>
      <c r="N136" s="25" t="s">
        <v>574</v>
      </c>
      <c r="O136" s="23" t="s">
        <v>199</v>
      </c>
      <c r="P136" s="22" t="s">
        <v>6</v>
      </c>
      <c r="Q136" s="22"/>
      <c r="R136" s="22"/>
      <c r="S136" s="22"/>
      <c r="T136" s="22">
        <f>ROUND(IF(D136=Table!$C$3,V136*Table!$C$4/8,V136*Table!$D$4/8),3)</f>
        <v>26.244</v>
      </c>
      <c r="U136" s="22">
        <f t="shared" si="14"/>
        <v>26.244</v>
      </c>
      <c r="V136" s="22">
        <v>1.615</v>
      </c>
      <c r="W136" s="22">
        <v>2</v>
      </c>
      <c r="X136" s="22" t="s">
        <v>80</v>
      </c>
      <c r="Y136" s="26">
        <v>43910</v>
      </c>
      <c r="Z136" s="26">
        <v>43920</v>
      </c>
      <c r="AA136" s="26">
        <v>43913</v>
      </c>
      <c r="AB136" s="26">
        <v>43913</v>
      </c>
      <c r="AC136" s="26" t="s">
        <v>201</v>
      </c>
      <c r="AD136" s="114"/>
      <c r="AE136" s="114"/>
      <c r="AF136" s="52">
        <v>0.78900000000000003</v>
      </c>
      <c r="AG136" s="52">
        <v>0.82599999999999996</v>
      </c>
      <c r="AH136" s="52" t="s">
        <v>216</v>
      </c>
      <c r="AI136" s="22" t="s">
        <v>497</v>
      </c>
      <c r="AJ136" s="22"/>
      <c r="AK136" s="22"/>
    </row>
    <row r="137" spans="2:37" x14ac:dyDescent="0.25">
      <c r="B137" s="59">
        <v>75</v>
      </c>
      <c r="C137" s="23">
        <v>20200319</v>
      </c>
      <c r="D137" s="22" t="s">
        <v>2</v>
      </c>
      <c r="E137" s="22" t="s">
        <v>452</v>
      </c>
      <c r="F137" s="24" t="s">
        <v>67</v>
      </c>
      <c r="G137" s="22" t="s">
        <v>133</v>
      </c>
      <c r="H137" s="22" t="s">
        <v>346</v>
      </c>
      <c r="I137" s="22" t="s">
        <v>331</v>
      </c>
      <c r="J137" s="22" t="s">
        <v>67</v>
      </c>
      <c r="K137" s="22" t="s">
        <v>812</v>
      </c>
      <c r="L137" s="24" t="s">
        <v>412</v>
      </c>
      <c r="M137" s="24" t="s">
        <v>473</v>
      </c>
      <c r="N137" s="25" t="s">
        <v>575</v>
      </c>
      <c r="O137" s="23" t="s">
        <v>199</v>
      </c>
      <c r="P137" s="22" t="s">
        <v>6</v>
      </c>
      <c r="Q137" s="22"/>
      <c r="R137" s="22"/>
      <c r="S137" s="22"/>
      <c r="T137" s="22">
        <f>ROUND(IF(D137=Table!$C$3,V137*Table!$C$4/8,V137*Table!$D$4/8),3)</f>
        <v>26.244</v>
      </c>
      <c r="U137" s="22">
        <f t="shared" si="14"/>
        <v>26.244</v>
      </c>
      <c r="V137" s="22">
        <v>1.615</v>
      </c>
      <c r="W137" s="22">
        <v>2</v>
      </c>
      <c r="X137" s="22" t="s">
        <v>80</v>
      </c>
      <c r="Y137" s="26">
        <v>43910</v>
      </c>
      <c r="Z137" s="26">
        <v>43920</v>
      </c>
      <c r="AA137" s="26">
        <v>43913</v>
      </c>
      <c r="AB137" s="26">
        <v>43913</v>
      </c>
      <c r="AC137" s="26" t="s">
        <v>201</v>
      </c>
      <c r="AD137" s="114"/>
      <c r="AE137" s="114"/>
      <c r="AF137" s="52">
        <v>1</v>
      </c>
      <c r="AG137" s="52">
        <v>1</v>
      </c>
      <c r="AH137" s="52" t="s">
        <v>216</v>
      </c>
      <c r="AI137" s="22"/>
      <c r="AJ137" s="22"/>
      <c r="AK137" s="22"/>
    </row>
    <row r="138" spans="2:37" x14ac:dyDescent="0.25">
      <c r="B138" s="59">
        <v>76</v>
      </c>
      <c r="C138" s="23">
        <v>20200319</v>
      </c>
      <c r="D138" s="22" t="s">
        <v>2</v>
      </c>
      <c r="E138" s="22" t="s">
        <v>452</v>
      </c>
      <c r="F138" s="24" t="s">
        <v>67</v>
      </c>
      <c r="G138" s="22" t="s">
        <v>134</v>
      </c>
      <c r="H138" s="22" t="s">
        <v>347</v>
      </c>
      <c r="I138" s="22" t="s">
        <v>331</v>
      </c>
      <c r="J138" s="22" t="s">
        <v>67</v>
      </c>
      <c r="K138" s="22" t="s">
        <v>812</v>
      </c>
      <c r="L138" s="24" t="s">
        <v>412</v>
      </c>
      <c r="M138" s="24" t="s">
        <v>473</v>
      </c>
      <c r="N138" s="25" t="s">
        <v>576</v>
      </c>
      <c r="O138" s="23" t="s">
        <v>199</v>
      </c>
      <c r="P138" s="22" t="s">
        <v>6</v>
      </c>
      <c r="Q138" s="22"/>
      <c r="R138" s="22"/>
      <c r="S138" s="22"/>
      <c r="T138" s="22">
        <f>ROUND(IF(D138=Table!$C$3,V138*Table!$C$4/8,V138*Table!$D$4/8),3)</f>
        <v>48.344000000000001</v>
      </c>
      <c r="U138" s="22">
        <f t="shared" si="14"/>
        <v>48.344000000000001</v>
      </c>
      <c r="V138" s="22">
        <v>2.9750000000000001</v>
      </c>
      <c r="W138" s="22">
        <v>4</v>
      </c>
      <c r="X138" s="22" t="s">
        <v>80</v>
      </c>
      <c r="Y138" s="26">
        <v>43910</v>
      </c>
      <c r="Z138" s="26">
        <v>43920</v>
      </c>
      <c r="AA138" s="26">
        <v>43914</v>
      </c>
      <c r="AB138" s="26">
        <v>43914</v>
      </c>
      <c r="AC138" s="26" t="s">
        <v>201</v>
      </c>
      <c r="AD138" s="114"/>
      <c r="AE138" s="114"/>
      <c r="AF138" s="52">
        <v>1</v>
      </c>
      <c r="AG138" s="52">
        <v>1</v>
      </c>
      <c r="AH138" s="52">
        <v>1</v>
      </c>
      <c r="AI138" s="22"/>
      <c r="AJ138" s="22"/>
      <c r="AK138" s="22"/>
    </row>
    <row r="139" spans="2:37" x14ac:dyDescent="0.25">
      <c r="B139" s="59">
        <v>77</v>
      </c>
      <c r="C139" s="23">
        <v>20200319</v>
      </c>
      <c r="D139" s="22" t="s">
        <v>2</v>
      </c>
      <c r="E139" s="22" t="s">
        <v>452</v>
      </c>
      <c r="F139" s="24" t="s">
        <v>67</v>
      </c>
      <c r="G139" s="22" t="s">
        <v>135</v>
      </c>
      <c r="H139" s="22" t="s">
        <v>348</v>
      </c>
      <c r="I139" s="22" t="s">
        <v>331</v>
      </c>
      <c r="J139" s="22" t="s">
        <v>67</v>
      </c>
      <c r="K139" s="22" t="s">
        <v>812</v>
      </c>
      <c r="L139" s="24" t="s">
        <v>412</v>
      </c>
      <c r="M139" s="24" t="s">
        <v>473</v>
      </c>
      <c r="N139" s="25" t="s">
        <v>577</v>
      </c>
      <c r="O139" s="23" t="s">
        <v>199</v>
      </c>
      <c r="P139" s="22" t="s">
        <v>6</v>
      </c>
      <c r="Q139" s="22"/>
      <c r="R139" s="22"/>
      <c r="S139" s="22"/>
      <c r="T139" s="22">
        <f>ROUND(IF(D139=Table!$C$3,V139*Table!$C$4/8,V139*Table!$D$4/8),3)</f>
        <v>70.444000000000003</v>
      </c>
      <c r="U139" s="22">
        <f t="shared" si="14"/>
        <v>70.444000000000003</v>
      </c>
      <c r="V139" s="22">
        <v>4.335</v>
      </c>
      <c r="W139" s="22">
        <v>4</v>
      </c>
      <c r="X139" s="22" t="s">
        <v>80</v>
      </c>
      <c r="Y139" s="26">
        <v>43910</v>
      </c>
      <c r="Z139" s="26">
        <v>43920</v>
      </c>
      <c r="AA139" s="26">
        <v>43914</v>
      </c>
      <c r="AB139" s="26">
        <v>43914</v>
      </c>
      <c r="AC139" s="26" t="s">
        <v>201</v>
      </c>
      <c r="AD139" s="114"/>
      <c r="AE139" s="114"/>
      <c r="AF139" s="52">
        <v>0.872</v>
      </c>
      <c r="AG139" s="52">
        <v>0.88500000000000001</v>
      </c>
      <c r="AH139" s="52">
        <v>1</v>
      </c>
      <c r="AI139" s="22" t="s">
        <v>715</v>
      </c>
      <c r="AJ139" s="22"/>
      <c r="AK139" s="22"/>
    </row>
    <row r="140" spans="2:37" x14ac:dyDescent="0.25">
      <c r="B140" s="59">
        <v>78</v>
      </c>
      <c r="C140" s="23">
        <v>20200319</v>
      </c>
      <c r="D140" s="22" t="s">
        <v>2</v>
      </c>
      <c r="E140" s="22" t="s">
        <v>452</v>
      </c>
      <c r="F140" s="24" t="s">
        <v>67</v>
      </c>
      <c r="G140" s="22" t="s">
        <v>136</v>
      </c>
      <c r="H140" s="22" t="s">
        <v>349</v>
      </c>
      <c r="I140" s="22" t="s">
        <v>331</v>
      </c>
      <c r="J140" s="22" t="s">
        <v>67</v>
      </c>
      <c r="K140" s="22" t="s">
        <v>812</v>
      </c>
      <c r="L140" s="24" t="s">
        <v>412</v>
      </c>
      <c r="M140" s="24" t="s">
        <v>473</v>
      </c>
      <c r="N140" s="25" t="s">
        <v>578</v>
      </c>
      <c r="O140" s="23" t="s">
        <v>199</v>
      </c>
      <c r="P140" s="22" t="s">
        <v>6</v>
      </c>
      <c r="Q140" s="22"/>
      <c r="R140" s="22"/>
      <c r="S140" s="22"/>
      <c r="T140" s="22">
        <f>ROUND(IF(D140=Table!$C$3,V140*Table!$C$4/8,V140*Table!$D$4/8),3)</f>
        <v>65</v>
      </c>
      <c r="U140" s="22">
        <f t="shared" si="14"/>
        <v>65</v>
      </c>
      <c r="V140" s="78">
        <v>4</v>
      </c>
      <c r="W140" s="22">
        <v>4</v>
      </c>
      <c r="X140" s="22" t="s">
        <v>80</v>
      </c>
      <c r="Y140" s="26">
        <v>43910</v>
      </c>
      <c r="Z140" s="26">
        <v>43920</v>
      </c>
      <c r="AA140" s="26">
        <v>43915</v>
      </c>
      <c r="AB140" s="26">
        <v>43915</v>
      </c>
      <c r="AC140" s="26" t="s">
        <v>201</v>
      </c>
      <c r="AD140" s="114"/>
      <c r="AE140" s="114"/>
      <c r="AF140" s="52">
        <v>0.81</v>
      </c>
      <c r="AG140" s="52">
        <v>0.82</v>
      </c>
      <c r="AH140" s="52" t="s">
        <v>216</v>
      </c>
      <c r="AI140" s="22" t="s">
        <v>645</v>
      </c>
      <c r="AJ140" s="22"/>
      <c r="AK140" s="78" t="s">
        <v>644</v>
      </c>
    </row>
    <row r="141" spans="2:37" x14ac:dyDescent="0.25">
      <c r="B141" s="59">
        <v>79</v>
      </c>
      <c r="C141" s="23">
        <v>20200319</v>
      </c>
      <c r="D141" s="22" t="s">
        <v>2</v>
      </c>
      <c r="E141" s="22" t="s">
        <v>452</v>
      </c>
      <c r="F141" s="24" t="s">
        <v>67</v>
      </c>
      <c r="G141" s="22" t="s">
        <v>426</v>
      </c>
      <c r="H141" s="22" t="s">
        <v>350</v>
      </c>
      <c r="I141" s="22" t="s">
        <v>331</v>
      </c>
      <c r="J141" s="22" t="s">
        <v>67</v>
      </c>
      <c r="K141" s="22" t="s">
        <v>812</v>
      </c>
      <c r="L141" s="24" t="s">
        <v>413</v>
      </c>
      <c r="M141" s="24" t="s">
        <v>473</v>
      </c>
      <c r="N141" s="25" t="s">
        <v>579</v>
      </c>
      <c r="O141" s="23" t="s">
        <v>199</v>
      </c>
      <c r="P141" s="22" t="s">
        <v>6</v>
      </c>
      <c r="Q141" s="22"/>
      <c r="R141" s="22"/>
      <c r="S141" s="22"/>
      <c r="T141" s="22">
        <f>ROUND(IF(D141=Table!$C$3,V141*Table!$C$4/8,V141*Table!$D$4/8),3)</f>
        <v>26.244</v>
      </c>
      <c r="U141" s="22">
        <f t="shared" si="14"/>
        <v>26.244</v>
      </c>
      <c r="V141" s="22">
        <v>1.615</v>
      </c>
      <c r="W141" s="22">
        <v>2</v>
      </c>
      <c r="X141" s="22" t="s">
        <v>99</v>
      </c>
      <c r="Y141" s="26">
        <v>43910</v>
      </c>
      <c r="Z141" s="26">
        <v>43920</v>
      </c>
      <c r="AA141" s="26">
        <v>43915</v>
      </c>
      <c r="AB141" s="26">
        <v>43915</v>
      </c>
      <c r="AC141" s="26" t="s">
        <v>202</v>
      </c>
      <c r="AD141" s="114"/>
      <c r="AE141" s="114"/>
      <c r="AF141" s="52">
        <v>0.73299999999999998</v>
      </c>
      <c r="AG141" s="52">
        <v>0.73299999999999998</v>
      </c>
      <c r="AH141" s="52" t="s">
        <v>216</v>
      </c>
      <c r="AI141" s="22" t="s">
        <v>646</v>
      </c>
      <c r="AJ141" s="22"/>
      <c r="AK141" s="78" t="s">
        <v>647</v>
      </c>
    </row>
    <row r="142" spans="2:37" x14ac:dyDescent="0.25">
      <c r="B142" s="59">
        <v>80</v>
      </c>
      <c r="C142" s="23">
        <v>20200319</v>
      </c>
      <c r="D142" s="22" t="s">
        <v>2</v>
      </c>
      <c r="E142" s="22" t="s">
        <v>452</v>
      </c>
      <c r="F142" s="24" t="s">
        <v>67</v>
      </c>
      <c r="G142" s="22" t="s">
        <v>137</v>
      </c>
      <c r="H142" s="22" t="s">
        <v>351</v>
      </c>
      <c r="I142" s="22" t="s">
        <v>331</v>
      </c>
      <c r="J142" s="22" t="s">
        <v>67</v>
      </c>
      <c r="K142" s="22" t="s">
        <v>812</v>
      </c>
      <c r="L142" s="24" t="s">
        <v>412</v>
      </c>
      <c r="M142" s="24" t="s">
        <v>473</v>
      </c>
      <c r="N142" s="25" t="s">
        <v>580</v>
      </c>
      <c r="O142" s="23" t="s">
        <v>199</v>
      </c>
      <c r="P142" s="22" t="s">
        <v>6</v>
      </c>
      <c r="Q142" s="22"/>
      <c r="R142" s="22"/>
      <c r="S142" s="22"/>
      <c r="T142" s="22">
        <f>ROUND(IF(D142=Table!$C$3,V142*Table!$C$4/8,V142*Table!$D$4/8),3)</f>
        <v>26.244</v>
      </c>
      <c r="U142" s="22">
        <f t="shared" si="14"/>
        <v>26.244</v>
      </c>
      <c r="V142" s="22">
        <v>1.615</v>
      </c>
      <c r="W142" s="22">
        <v>2</v>
      </c>
      <c r="X142" s="22" t="s">
        <v>99</v>
      </c>
      <c r="Y142" s="26">
        <v>43910</v>
      </c>
      <c r="Z142" s="26">
        <v>43920</v>
      </c>
      <c r="AA142" s="26">
        <v>43915</v>
      </c>
      <c r="AB142" s="26">
        <v>43915</v>
      </c>
      <c r="AC142" s="26" t="s">
        <v>201</v>
      </c>
      <c r="AD142" s="114"/>
      <c r="AE142" s="114"/>
      <c r="AF142" s="52">
        <v>1</v>
      </c>
      <c r="AG142" s="52">
        <v>1</v>
      </c>
      <c r="AH142" s="52" t="s">
        <v>216</v>
      </c>
      <c r="AI142" s="22"/>
      <c r="AJ142" s="22"/>
      <c r="AK142" s="22"/>
    </row>
    <row r="143" spans="2:37" x14ac:dyDescent="0.25">
      <c r="B143" s="59">
        <v>81</v>
      </c>
      <c r="C143" s="23">
        <v>20200319</v>
      </c>
      <c r="D143" s="22" t="s">
        <v>2</v>
      </c>
      <c r="E143" s="22" t="s">
        <v>452</v>
      </c>
      <c r="F143" s="24" t="s">
        <v>67</v>
      </c>
      <c r="G143" s="22" t="s">
        <v>427</v>
      </c>
      <c r="H143" s="22" t="s">
        <v>352</v>
      </c>
      <c r="I143" s="22" t="s">
        <v>331</v>
      </c>
      <c r="J143" s="22" t="s">
        <v>67</v>
      </c>
      <c r="K143" s="22" t="s">
        <v>812</v>
      </c>
      <c r="L143" s="24" t="s">
        <v>412</v>
      </c>
      <c r="M143" s="24" t="s">
        <v>473</v>
      </c>
      <c r="N143" s="25" t="s">
        <v>581</v>
      </c>
      <c r="O143" s="23" t="s">
        <v>199</v>
      </c>
      <c r="P143" s="22" t="s">
        <v>6</v>
      </c>
      <c r="Q143" s="22"/>
      <c r="R143" s="22"/>
      <c r="S143" s="22"/>
      <c r="T143" s="22">
        <f>ROUND(IF(D143=Table!$C$3,V143*Table!$C$4/8,V143*Table!$D$4/8),3)</f>
        <v>26.244</v>
      </c>
      <c r="U143" s="22">
        <f t="shared" si="14"/>
        <v>26.244</v>
      </c>
      <c r="V143" s="22">
        <v>1.615</v>
      </c>
      <c r="W143" s="22">
        <v>3</v>
      </c>
      <c r="X143" s="22" t="s">
        <v>80</v>
      </c>
      <c r="Y143" s="26">
        <v>43910</v>
      </c>
      <c r="Z143" s="26">
        <v>43920</v>
      </c>
      <c r="AA143" s="26">
        <v>43916</v>
      </c>
      <c r="AB143" s="26">
        <v>43916</v>
      </c>
      <c r="AC143" s="26" t="s">
        <v>201</v>
      </c>
      <c r="AD143" s="114"/>
      <c r="AE143" s="114"/>
      <c r="AF143" s="52">
        <v>1</v>
      </c>
      <c r="AG143" s="52">
        <v>1</v>
      </c>
      <c r="AH143" s="52" t="s">
        <v>216</v>
      </c>
      <c r="AI143" s="22"/>
      <c r="AJ143" s="22"/>
      <c r="AK143" s="22"/>
    </row>
    <row r="144" spans="2:37" x14ac:dyDescent="0.25">
      <c r="B144" s="59">
        <v>82</v>
      </c>
      <c r="C144" s="23">
        <v>20200319</v>
      </c>
      <c r="D144" s="22" t="s">
        <v>2</v>
      </c>
      <c r="E144" s="22" t="s">
        <v>452</v>
      </c>
      <c r="F144" s="24" t="s">
        <v>67</v>
      </c>
      <c r="G144" s="22" t="s">
        <v>292</v>
      </c>
      <c r="H144" s="22" t="s">
        <v>353</v>
      </c>
      <c r="I144" s="22" t="s">
        <v>331</v>
      </c>
      <c r="J144" s="22" t="s">
        <v>67</v>
      </c>
      <c r="K144" s="22" t="s">
        <v>812</v>
      </c>
      <c r="L144" s="24" t="s">
        <v>412</v>
      </c>
      <c r="M144" s="24" t="s">
        <v>473</v>
      </c>
      <c r="N144" s="25" t="s">
        <v>582</v>
      </c>
      <c r="O144" s="23" t="s">
        <v>199</v>
      </c>
      <c r="P144" s="22" t="s">
        <v>6</v>
      </c>
      <c r="Q144" s="22"/>
      <c r="R144" s="22"/>
      <c r="S144" s="22"/>
      <c r="T144" s="22">
        <f>ROUND(IF(D144=Table!$C$3,V144*Table!$C$4/8,V144*Table!$D$4/8),3)</f>
        <v>26.244</v>
      </c>
      <c r="U144" s="22">
        <f t="shared" si="14"/>
        <v>26.244</v>
      </c>
      <c r="V144" s="22">
        <v>1.615</v>
      </c>
      <c r="W144" s="22">
        <v>1</v>
      </c>
      <c r="X144" s="22" t="s">
        <v>80</v>
      </c>
      <c r="Y144" s="26">
        <v>43910</v>
      </c>
      <c r="Z144" s="26">
        <v>43920</v>
      </c>
      <c r="AA144" s="26">
        <v>43916</v>
      </c>
      <c r="AB144" s="26">
        <v>43916</v>
      </c>
      <c r="AC144" s="26" t="s">
        <v>201</v>
      </c>
      <c r="AD144" s="114"/>
      <c r="AE144" s="114"/>
      <c r="AF144" s="52">
        <v>1</v>
      </c>
      <c r="AG144" s="52">
        <v>1</v>
      </c>
      <c r="AH144" s="52" t="s">
        <v>216</v>
      </c>
      <c r="AI144" s="22"/>
      <c r="AJ144" s="22"/>
      <c r="AK144" s="22"/>
    </row>
    <row r="145" spans="2:37" x14ac:dyDescent="0.25">
      <c r="B145" s="59">
        <v>83</v>
      </c>
      <c r="C145" s="23">
        <v>20200319</v>
      </c>
      <c r="D145" s="22" t="s">
        <v>2</v>
      </c>
      <c r="E145" s="22" t="s">
        <v>452</v>
      </c>
      <c r="F145" s="24" t="s">
        <v>67</v>
      </c>
      <c r="G145" s="22" t="s">
        <v>138</v>
      </c>
      <c r="H145" s="22" t="s">
        <v>354</v>
      </c>
      <c r="I145" s="22" t="s">
        <v>331</v>
      </c>
      <c r="J145" s="22" t="s">
        <v>67</v>
      </c>
      <c r="K145" s="22" t="s">
        <v>812</v>
      </c>
      <c r="L145" s="24" t="s">
        <v>412</v>
      </c>
      <c r="M145" s="24" t="s">
        <v>473</v>
      </c>
      <c r="N145" s="25" t="s">
        <v>583</v>
      </c>
      <c r="O145" s="23" t="s">
        <v>199</v>
      </c>
      <c r="P145" s="22" t="s">
        <v>6</v>
      </c>
      <c r="Q145" s="22"/>
      <c r="R145" s="22"/>
      <c r="S145" s="22"/>
      <c r="T145" s="22">
        <f>ROUND(IF(D145=Table!$C$3,V145*Table!$C$4/8,V145*Table!$D$4/8),3)</f>
        <v>81.494</v>
      </c>
      <c r="U145" s="22">
        <f t="shared" si="14"/>
        <v>81.494</v>
      </c>
      <c r="V145" s="22">
        <v>5.0150000000000006</v>
      </c>
      <c r="W145" s="22">
        <v>4</v>
      </c>
      <c r="X145" s="22" t="s">
        <v>80</v>
      </c>
      <c r="Y145" s="26">
        <v>43910</v>
      </c>
      <c r="Z145" s="26">
        <v>43920</v>
      </c>
      <c r="AA145" s="26">
        <v>43917</v>
      </c>
      <c r="AB145" s="26">
        <v>43917</v>
      </c>
      <c r="AC145" s="26" t="s">
        <v>201</v>
      </c>
      <c r="AD145" s="114"/>
      <c r="AE145" s="114"/>
      <c r="AF145" s="52">
        <v>0.95</v>
      </c>
      <c r="AG145" s="52">
        <v>0.95699999999999996</v>
      </c>
      <c r="AH145" s="52">
        <v>1</v>
      </c>
      <c r="AI145" s="22" t="s">
        <v>654</v>
      </c>
      <c r="AJ145" s="22"/>
      <c r="AK145" s="22"/>
    </row>
    <row r="146" spans="2:37" x14ac:dyDescent="0.25">
      <c r="B146" s="59">
        <v>84</v>
      </c>
      <c r="C146" s="23">
        <v>20200319</v>
      </c>
      <c r="D146" s="22" t="s">
        <v>2</v>
      </c>
      <c r="E146" s="22" t="s">
        <v>452</v>
      </c>
      <c r="F146" s="24" t="s">
        <v>67</v>
      </c>
      <c r="G146" s="22" t="s">
        <v>139</v>
      </c>
      <c r="H146" s="22" t="s">
        <v>355</v>
      </c>
      <c r="I146" s="22" t="s">
        <v>331</v>
      </c>
      <c r="J146" s="22" t="s">
        <v>67</v>
      </c>
      <c r="K146" s="22" t="s">
        <v>812</v>
      </c>
      <c r="L146" s="24" t="s">
        <v>412</v>
      </c>
      <c r="M146" s="24" t="s">
        <v>473</v>
      </c>
      <c r="N146" s="25" t="s">
        <v>584</v>
      </c>
      <c r="O146" s="23" t="s">
        <v>199</v>
      </c>
      <c r="P146" s="22" t="s">
        <v>6</v>
      </c>
      <c r="Q146" s="22"/>
      <c r="R146" s="22"/>
      <c r="S146" s="22"/>
      <c r="T146" s="22">
        <f>ROUND(IF(D146=Table!$C$3,V146*Table!$C$4/8,V146*Table!$D$4/8),3)</f>
        <v>26.244</v>
      </c>
      <c r="U146" s="22">
        <f t="shared" si="14"/>
        <v>26.244</v>
      </c>
      <c r="V146" s="22">
        <v>1.615</v>
      </c>
      <c r="W146" s="22">
        <v>1</v>
      </c>
      <c r="X146" s="22" t="s">
        <v>80</v>
      </c>
      <c r="Y146" s="26">
        <v>43910</v>
      </c>
      <c r="Z146" s="26">
        <v>43920</v>
      </c>
      <c r="AA146" s="26">
        <v>43916</v>
      </c>
      <c r="AB146" s="26">
        <v>43916</v>
      </c>
      <c r="AC146" s="26" t="s">
        <v>201</v>
      </c>
      <c r="AD146" s="114"/>
      <c r="AE146" s="114"/>
      <c r="AF146" s="52">
        <v>1</v>
      </c>
      <c r="AG146" s="52">
        <v>1</v>
      </c>
      <c r="AH146" s="52">
        <v>1</v>
      </c>
      <c r="AI146" s="22"/>
      <c r="AJ146" s="22"/>
      <c r="AK146" s="22"/>
    </row>
    <row r="147" spans="2:37" x14ac:dyDescent="0.25">
      <c r="B147" s="59">
        <v>85</v>
      </c>
      <c r="C147" s="23">
        <v>20200319</v>
      </c>
      <c r="D147" s="22" t="s">
        <v>2</v>
      </c>
      <c r="E147" s="22" t="s">
        <v>452</v>
      </c>
      <c r="F147" s="24" t="s">
        <v>67</v>
      </c>
      <c r="G147" s="22" t="s">
        <v>293</v>
      </c>
      <c r="H147" s="22" t="s">
        <v>356</v>
      </c>
      <c r="I147" s="22" t="s">
        <v>331</v>
      </c>
      <c r="J147" s="22" t="s">
        <v>67</v>
      </c>
      <c r="K147" s="22" t="s">
        <v>812</v>
      </c>
      <c r="L147" s="24" t="s">
        <v>412</v>
      </c>
      <c r="M147" s="24" t="s">
        <v>473</v>
      </c>
      <c r="N147" s="25" t="s">
        <v>585</v>
      </c>
      <c r="O147" s="23" t="s">
        <v>199</v>
      </c>
      <c r="P147" s="22" t="s">
        <v>6</v>
      </c>
      <c r="Q147" s="22"/>
      <c r="R147" s="22"/>
      <c r="S147" s="22"/>
      <c r="T147" s="22">
        <f>ROUND(IF(D147=Table!$C$3,V147*Table!$C$4/8,V147*Table!$D$4/8),3)</f>
        <v>26.244</v>
      </c>
      <c r="U147" s="22">
        <f t="shared" si="14"/>
        <v>26.244</v>
      </c>
      <c r="V147" s="22">
        <v>1.615</v>
      </c>
      <c r="W147" s="22">
        <v>1</v>
      </c>
      <c r="X147" s="22" t="s">
        <v>80</v>
      </c>
      <c r="Y147" s="26">
        <v>43910</v>
      </c>
      <c r="Z147" s="26">
        <v>43920</v>
      </c>
      <c r="AA147" s="26">
        <v>43916</v>
      </c>
      <c r="AB147" s="26">
        <v>43916</v>
      </c>
      <c r="AC147" s="26" t="s">
        <v>201</v>
      </c>
      <c r="AD147" s="114"/>
      <c r="AE147" s="114"/>
      <c r="AF147" s="52">
        <v>1</v>
      </c>
      <c r="AG147" s="52">
        <v>1</v>
      </c>
      <c r="AH147" s="52">
        <v>1</v>
      </c>
      <c r="AI147" s="22"/>
      <c r="AJ147" s="22"/>
      <c r="AK147" s="22"/>
    </row>
    <row r="148" spans="2:37" x14ac:dyDescent="0.25">
      <c r="B148" s="59">
        <v>86</v>
      </c>
      <c r="C148" s="23">
        <v>20200319</v>
      </c>
      <c r="D148" s="22" t="s">
        <v>2</v>
      </c>
      <c r="E148" s="22" t="s">
        <v>452</v>
      </c>
      <c r="F148" s="24" t="s">
        <v>67</v>
      </c>
      <c r="G148" s="22" t="s">
        <v>428</v>
      </c>
      <c r="H148" s="22" t="s">
        <v>357</v>
      </c>
      <c r="I148" s="22" t="s">
        <v>331</v>
      </c>
      <c r="J148" s="22" t="s">
        <v>67</v>
      </c>
      <c r="K148" s="22" t="s">
        <v>812</v>
      </c>
      <c r="L148" s="24" t="s">
        <v>412</v>
      </c>
      <c r="M148" s="24" t="s">
        <v>473</v>
      </c>
      <c r="N148" s="25" t="s">
        <v>586</v>
      </c>
      <c r="O148" s="23" t="s">
        <v>199</v>
      </c>
      <c r="P148" s="22" t="s">
        <v>6</v>
      </c>
      <c r="Q148" s="22"/>
      <c r="R148" s="22"/>
      <c r="S148" s="22"/>
      <c r="T148" s="22">
        <f>ROUND(IF(D148=Table!$C$3,V148*Table!$C$4/8,V148*Table!$D$4/8),3)</f>
        <v>37.293999999999997</v>
      </c>
      <c r="U148" s="22">
        <f t="shared" si="14"/>
        <v>37.293999999999997</v>
      </c>
      <c r="V148" s="22">
        <v>2.2949999999999999</v>
      </c>
      <c r="W148" s="22">
        <v>1</v>
      </c>
      <c r="X148" s="22" t="s">
        <v>80</v>
      </c>
      <c r="Y148" s="26">
        <v>43910</v>
      </c>
      <c r="Z148" s="26">
        <v>43920</v>
      </c>
      <c r="AA148" s="26">
        <v>43916</v>
      </c>
      <c r="AB148" s="26">
        <v>43916</v>
      </c>
      <c r="AC148" s="26" t="s">
        <v>201</v>
      </c>
      <c r="AD148" s="114"/>
      <c r="AE148" s="114"/>
      <c r="AF148" s="52">
        <v>0.94399999999999995</v>
      </c>
      <c r="AG148" s="52">
        <v>0.94699999999999995</v>
      </c>
      <c r="AH148" s="52" t="s">
        <v>216</v>
      </c>
      <c r="AI148" s="22" t="s">
        <v>652</v>
      </c>
      <c r="AJ148" s="22"/>
      <c r="AK148" s="22"/>
    </row>
    <row r="149" spans="2:37" x14ac:dyDescent="0.25">
      <c r="B149" s="59">
        <v>87</v>
      </c>
      <c r="C149" s="23">
        <v>20200319</v>
      </c>
      <c r="D149" s="22" t="s">
        <v>2</v>
      </c>
      <c r="E149" s="22" t="s">
        <v>452</v>
      </c>
      <c r="F149" s="24" t="s">
        <v>67</v>
      </c>
      <c r="G149" s="22" t="s">
        <v>140</v>
      </c>
      <c r="H149" s="22" t="s">
        <v>358</v>
      </c>
      <c r="I149" s="22" t="s">
        <v>332</v>
      </c>
      <c r="J149" s="22" t="s">
        <v>67</v>
      </c>
      <c r="K149" s="22" t="s">
        <v>812</v>
      </c>
      <c r="L149" s="24" t="s">
        <v>412</v>
      </c>
      <c r="M149" s="24" t="s">
        <v>473</v>
      </c>
      <c r="N149" s="25" t="s">
        <v>587</v>
      </c>
      <c r="O149" s="23" t="s">
        <v>199</v>
      </c>
      <c r="P149" s="22" t="s">
        <v>6</v>
      </c>
      <c r="Q149" s="22"/>
      <c r="R149" s="22"/>
      <c r="S149" s="22"/>
      <c r="T149" s="22">
        <f>ROUND(IF(D149=Table!$C$3,V149*Table!$C$4/8,V149*Table!$D$4/8),3)</f>
        <v>70.444000000000003</v>
      </c>
      <c r="U149" s="22">
        <f t="shared" si="14"/>
        <v>70.444000000000003</v>
      </c>
      <c r="V149" s="22">
        <v>4.335</v>
      </c>
      <c r="W149" s="22">
        <v>4</v>
      </c>
      <c r="X149" s="22" t="s">
        <v>80</v>
      </c>
      <c r="Y149" s="26">
        <v>43910</v>
      </c>
      <c r="Z149" s="26">
        <v>43920</v>
      </c>
      <c r="AA149" s="26">
        <v>43917</v>
      </c>
      <c r="AB149" s="26">
        <v>43917</v>
      </c>
      <c r="AC149" s="26" t="s">
        <v>202</v>
      </c>
      <c r="AD149" s="114"/>
      <c r="AE149" s="114"/>
      <c r="AF149" s="52">
        <v>0.88900000000000001</v>
      </c>
      <c r="AG149" s="52">
        <v>0.90800000000000003</v>
      </c>
      <c r="AH149" s="52">
        <v>1</v>
      </c>
      <c r="AI149" s="22" t="s">
        <v>656</v>
      </c>
      <c r="AJ149" s="22"/>
      <c r="AK149" s="22" t="s">
        <v>655</v>
      </c>
    </row>
    <row r="150" spans="2:37" x14ac:dyDescent="0.25">
      <c r="B150" s="59">
        <v>88</v>
      </c>
      <c r="C150" s="23">
        <v>20200319</v>
      </c>
      <c r="D150" s="22" t="s">
        <v>2</v>
      </c>
      <c r="E150" s="22" t="s">
        <v>452</v>
      </c>
      <c r="F150" s="24" t="s">
        <v>67</v>
      </c>
      <c r="G150" s="22" t="s">
        <v>294</v>
      </c>
      <c r="H150" s="22" t="s">
        <v>359</v>
      </c>
      <c r="I150" s="22" t="s">
        <v>331</v>
      </c>
      <c r="J150" s="22" t="s">
        <v>67</v>
      </c>
      <c r="K150" s="22" t="s">
        <v>812</v>
      </c>
      <c r="L150" s="24" t="s">
        <v>412</v>
      </c>
      <c r="M150" s="24" t="s">
        <v>473</v>
      </c>
      <c r="N150" s="25" t="s">
        <v>588</v>
      </c>
      <c r="O150" s="23" t="s">
        <v>199</v>
      </c>
      <c r="P150" s="22" t="s">
        <v>6</v>
      </c>
      <c r="Q150" s="22"/>
      <c r="R150" s="22"/>
      <c r="S150" s="22"/>
      <c r="T150" s="22">
        <f>ROUND(IF(D150=Table!$C$3,V150*Table!$C$4/8,V150*Table!$D$4/8),3)</f>
        <v>26.244</v>
      </c>
      <c r="U150" s="22">
        <f t="shared" si="14"/>
        <v>26.244</v>
      </c>
      <c r="V150" s="22">
        <v>1.615</v>
      </c>
      <c r="W150" s="22">
        <v>1</v>
      </c>
      <c r="X150" s="22" t="s">
        <v>80</v>
      </c>
      <c r="Y150" s="26">
        <v>43910</v>
      </c>
      <c r="Z150" s="26">
        <v>43920</v>
      </c>
      <c r="AA150" s="26">
        <v>43916</v>
      </c>
      <c r="AB150" s="26">
        <v>43916</v>
      </c>
      <c r="AC150" s="26" t="s">
        <v>201</v>
      </c>
      <c r="AD150" s="114"/>
      <c r="AE150" s="114"/>
      <c r="AF150" s="52">
        <v>0.83299999999999996</v>
      </c>
      <c r="AG150" s="52">
        <v>0.84599999999999997</v>
      </c>
      <c r="AH150" s="52">
        <v>1</v>
      </c>
      <c r="AI150" s="22" t="s">
        <v>653</v>
      </c>
      <c r="AJ150" s="22"/>
      <c r="AK150" s="22"/>
    </row>
    <row r="151" spans="2:37" x14ac:dyDescent="0.25">
      <c r="B151" s="59">
        <v>89</v>
      </c>
      <c r="C151" s="23">
        <v>20200319</v>
      </c>
      <c r="D151" s="22" t="s">
        <v>2</v>
      </c>
      <c r="E151" s="22" t="s">
        <v>452</v>
      </c>
      <c r="F151" s="24" t="s">
        <v>67</v>
      </c>
      <c r="G151" s="22" t="s">
        <v>295</v>
      </c>
      <c r="H151" s="22" t="s">
        <v>360</v>
      </c>
      <c r="I151" s="22" t="s">
        <v>331</v>
      </c>
      <c r="J151" s="22" t="s">
        <v>67</v>
      </c>
      <c r="K151" s="22" t="s">
        <v>812</v>
      </c>
      <c r="L151" s="24" t="s">
        <v>412</v>
      </c>
      <c r="M151" s="24" t="s">
        <v>473</v>
      </c>
      <c r="N151" s="25" t="s">
        <v>589</v>
      </c>
      <c r="O151" s="23" t="s">
        <v>198</v>
      </c>
      <c r="P151" s="22" t="s">
        <v>70</v>
      </c>
      <c r="Q151" s="22"/>
      <c r="R151" s="22"/>
      <c r="S151" s="22"/>
      <c r="T151" s="22">
        <f>ROUND(IF(D151=Table!$C$3,V151*Table!$C$4/8,V151*Table!$D$4/8),3)</f>
        <v>26.244</v>
      </c>
      <c r="U151" s="22">
        <f>T151</f>
        <v>26.244</v>
      </c>
      <c r="V151" s="22">
        <v>1.615</v>
      </c>
      <c r="W151" s="22">
        <v>2</v>
      </c>
      <c r="X151" s="22" t="s">
        <v>80</v>
      </c>
      <c r="Y151" s="26">
        <v>43910</v>
      </c>
      <c r="Z151" s="26">
        <v>43920</v>
      </c>
      <c r="AA151" s="26">
        <v>43910</v>
      </c>
      <c r="AB151" s="26">
        <v>43910</v>
      </c>
      <c r="AC151" s="26" t="s">
        <v>201</v>
      </c>
      <c r="AD151" s="114"/>
      <c r="AE151" s="114"/>
      <c r="AF151" s="52">
        <v>1</v>
      </c>
      <c r="AG151" s="52">
        <v>1</v>
      </c>
      <c r="AH151" s="52">
        <v>1</v>
      </c>
      <c r="AI151" s="22"/>
      <c r="AJ151" s="22"/>
      <c r="AK151" s="22"/>
    </row>
    <row r="152" spans="2:37" x14ac:dyDescent="0.25">
      <c r="B152" s="59">
        <v>90</v>
      </c>
      <c r="C152" s="23">
        <v>20200319</v>
      </c>
      <c r="D152" s="22" t="s">
        <v>2</v>
      </c>
      <c r="E152" s="22" t="s">
        <v>452</v>
      </c>
      <c r="F152" s="24" t="s">
        <v>67</v>
      </c>
      <c r="G152" s="22" t="s">
        <v>141</v>
      </c>
      <c r="H152" s="22" t="s">
        <v>361</v>
      </c>
      <c r="I152" s="22" t="s">
        <v>331</v>
      </c>
      <c r="J152" s="22" t="s">
        <v>67</v>
      </c>
      <c r="K152" s="22" t="s">
        <v>812</v>
      </c>
      <c r="L152" s="24" t="s">
        <v>412</v>
      </c>
      <c r="M152" s="24" t="s">
        <v>473</v>
      </c>
      <c r="N152" s="25" t="s">
        <v>590</v>
      </c>
      <c r="O152" s="23" t="s">
        <v>198</v>
      </c>
      <c r="P152" s="22" t="s">
        <v>70</v>
      </c>
      <c r="Q152" s="22"/>
      <c r="R152" s="22"/>
      <c r="S152" s="22"/>
      <c r="T152" s="22">
        <f>ROUND(IF(D152=Table!$C$3,V152*Table!$C$4/8,V152*Table!$D$4/8),3)</f>
        <v>37.293999999999997</v>
      </c>
      <c r="U152" s="22">
        <f>T152</f>
        <v>37.293999999999997</v>
      </c>
      <c r="V152" s="22">
        <v>2.2949999999999999</v>
      </c>
      <c r="W152" s="22">
        <v>2</v>
      </c>
      <c r="X152" s="22" t="s">
        <v>80</v>
      </c>
      <c r="Y152" s="26">
        <v>43910</v>
      </c>
      <c r="Z152" s="26">
        <v>43920</v>
      </c>
      <c r="AA152" s="26">
        <v>43913</v>
      </c>
      <c r="AB152" s="26">
        <v>43913</v>
      </c>
      <c r="AC152" s="26" t="s">
        <v>202</v>
      </c>
      <c r="AD152" s="114"/>
      <c r="AE152" s="114"/>
      <c r="AF152" s="52">
        <v>0.70299999999999996</v>
      </c>
      <c r="AG152" s="52">
        <v>0.70299999999999996</v>
      </c>
      <c r="AH152" s="52">
        <v>1</v>
      </c>
      <c r="AI152" s="22" t="s">
        <v>498</v>
      </c>
      <c r="AJ152" s="22"/>
      <c r="AK152" s="22"/>
    </row>
    <row r="153" spans="2:37" x14ac:dyDescent="0.25">
      <c r="B153" s="59">
        <v>91</v>
      </c>
      <c r="C153" s="23">
        <v>20200319</v>
      </c>
      <c r="D153" s="22" t="s">
        <v>2</v>
      </c>
      <c r="E153" s="22" t="s">
        <v>452</v>
      </c>
      <c r="F153" s="24" t="s">
        <v>67</v>
      </c>
      <c r="G153" s="22" t="s">
        <v>429</v>
      </c>
      <c r="H153" s="22" t="s">
        <v>362</v>
      </c>
      <c r="I153" s="22" t="s">
        <v>331</v>
      </c>
      <c r="J153" s="22" t="s">
        <v>67</v>
      </c>
      <c r="K153" s="22" t="s">
        <v>812</v>
      </c>
      <c r="L153" s="24" t="s">
        <v>413</v>
      </c>
      <c r="M153" s="24" t="s">
        <v>473</v>
      </c>
      <c r="N153" s="25" t="s">
        <v>591</v>
      </c>
      <c r="O153" s="23" t="s">
        <v>198</v>
      </c>
      <c r="P153" s="22" t="s">
        <v>70</v>
      </c>
      <c r="Q153" s="22"/>
      <c r="R153" s="22"/>
      <c r="S153" s="22"/>
      <c r="T153" s="22">
        <f>ROUND(IF(D153=Table!$C$3,V153*Table!$C$4/8,V153*Table!$D$4/8),3)</f>
        <v>26.244</v>
      </c>
      <c r="U153" s="22">
        <f>T153</f>
        <v>26.244</v>
      </c>
      <c r="V153" s="22">
        <v>1.615</v>
      </c>
      <c r="W153" s="22">
        <v>0.5</v>
      </c>
      <c r="X153" s="22" t="s">
        <v>80</v>
      </c>
      <c r="Y153" s="26">
        <v>43910</v>
      </c>
      <c r="Z153" s="26">
        <v>43920</v>
      </c>
      <c r="AA153" s="26">
        <v>43914</v>
      </c>
      <c r="AB153" s="26">
        <v>43914</v>
      </c>
      <c r="AC153" s="26" t="s">
        <v>201</v>
      </c>
      <c r="AD153" s="114"/>
      <c r="AE153" s="114"/>
      <c r="AF153" s="52">
        <v>1</v>
      </c>
      <c r="AG153" s="52">
        <v>1</v>
      </c>
      <c r="AH153" s="52">
        <v>1</v>
      </c>
      <c r="AI153" s="22"/>
      <c r="AJ153" s="22"/>
      <c r="AK153" s="22"/>
    </row>
    <row r="154" spans="2:37" x14ac:dyDescent="0.25">
      <c r="B154" s="59">
        <v>92</v>
      </c>
      <c r="C154" s="23">
        <v>20200319</v>
      </c>
      <c r="D154" s="22" t="s">
        <v>2</v>
      </c>
      <c r="E154" s="22" t="s">
        <v>452</v>
      </c>
      <c r="F154" s="24" t="s">
        <v>67</v>
      </c>
      <c r="G154" s="22" t="s">
        <v>142</v>
      </c>
      <c r="H154" s="22" t="s">
        <v>363</v>
      </c>
      <c r="I154" s="22" t="s">
        <v>331</v>
      </c>
      <c r="J154" s="22" t="s">
        <v>67</v>
      </c>
      <c r="K154" s="22" t="s">
        <v>812</v>
      </c>
      <c r="L154" s="24" t="s">
        <v>413</v>
      </c>
      <c r="M154" s="24" t="s">
        <v>473</v>
      </c>
      <c r="N154" s="25" t="s">
        <v>592</v>
      </c>
      <c r="O154" s="23" t="s">
        <v>198</v>
      </c>
      <c r="P154" s="22" t="s">
        <v>70</v>
      </c>
      <c r="Q154" s="22"/>
      <c r="R154" s="22"/>
      <c r="S154" s="22"/>
      <c r="T154" s="22">
        <f>ROUND(IF(D154=Table!$C$3,V154*Table!$C$4/8,V154*Table!$D$4/8),3)</f>
        <v>26.244</v>
      </c>
      <c r="U154" s="22">
        <f>T154</f>
        <v>26.244</v>
      </c>
      <c r="V154" s="22">
        <v>1.615</v>
      </c>
      <c r="W154" s="22">
        <v>1</v>
      </c>
      <c r="X154" s="22" t="s">
        <v>80</v>
      </c>
      <c r="Y154" s="26">
        <v>43910</v>
      </c>
      <c r="Z154" s="26">
        <v>43920</v>
      </c>
      <c r="AA154" s="26">
        <v>43913</v>
      </c>
      <c r="AB154" s="26">
        <v>43913</v>
      </c>
      <c r="AC154" s="26" t="s">
        <v>201</v>
      </c>
      <c r="AD154" s="114"/>
      <c r="AE154" s="114"/>
      <c r="AF154" s="52">
        <v>1</v>
      </c>
      <c r="AG154" s="52">
        <v>1</v>
      </c>
      <c r="AH154" s="52">
        <v>1</v>
      </c>
      <c r="AI154" s="22"/>
      <c r="AJ154" s="22"/>
      <c r="AK154" s="22"/>
    </row>
    <row r="155" spans="2:37" x14ac:dyDescent="0.25">
      <c r="B155" s="59">
        <v>93</v>
      </c>
      <c r="C155" s="23">
        <v>20200319</v>
      </c>
      <c r="D155" s="22" t="s">
        <v>2</v>
      </c>
      <c r="E155" s="22" t="s">
        <v>452</v>
      </c>
      <c r="F155" s="24" t="s">
        <v>67</v>
      </c>
      <c r="G155" s="22" t="s">
        <v>143</v>
      </c>
      <c r="H155" s="22" t="s">
        <v>364</v>
      </c>
      <c r="I155" s="22" t="s">
        <v>331</v>
      </c>
      <c r="J155" s="22" t="s">
        <v>67</v>
      </c>
      <c r="K155" s="22" t="s">
        <v>812</v>
      </c>
      <c r="L155" s="24" t="s">
        <v>413</v>
      </c>
      <c r="M155" s="24" t="s">
        <v>473</v>
      </c>
      <c r="N155" s="25" t="s">
        <v>593</v>
      </c>
      <c r="O155" s="23" t="s">
        <v>198</v>
      </c>
      <c r="P155" s="22" t="s">
        <v>70</v>
      </c>
      <c r="Q155" s="22"/>
      <c r="R155" s="22"/>
      <c r="S155" s="22"/>
      <c r="T155" s="22">
        <f>ROUND(IF(D155=Table!$C$3,V155*Table!$C$4/8,V155*Table!$D$4/8),3)</f>
        <v>26.244</v>
      </c>
      <c r="U155" s="22">
        <f t="shared" ref="U155:U168" si="15">T155</f>
        <v>26.244</v>
      </c>
      <c r="V155" s="22">
        <v>1.615</v>
      </c>
      <c r="W155" s="22">
        <v>1</v>
      </c>
      <c r="X155" s="22" t="s">
        <v>80</v>
      </c>
      <c r="Y155" s="26">
        <v>43910</v>
      </c>
      <c r="Z155" s="26">
        <v>43920</v>
      </c>
      <c r="AA155" s="26">
        <v>43913</v>
      </c>
      <c r="AB155" s="26">
        <v>43913</v>
      </c>
      <c r="AC155" s="26" t="s">
        <v>201</v>
      </c>
      <c r="AD155" s="114"/>
      <c r="AE155" s="114"/>
      <c r="AF155" s="52">
        <v>1</v>
      </c>
      <c r="AG155" s="52">
        <v>1</v>
      </c>
      <c r="AH155" s="52" t="s">
        <v>216</v>
      </c>
      <c r="AI155" s="22"/>
      <c r="AJ155" s="22"/>
      <c r="AK155" s="22"/>
    </row>
    <row r="156" spans="2:37" x14ac:dyDescent="0.25">
      <c r="B156" s="59">
        <v>94</v>
      </c>
      <c r="C156" s="23">
        <v>20200319</v>
      </c>
      <c r="D156" s="22" t="s">
        <v>2</v>
      </c>
      <c r="E156" s="22" t="s">
        <v>452</v>
      </c>
      <c r="F156" s="24" t="s">
        <v>67</v>
      </c>
      <c r="G156" s="22" t="s">
        <v>144</v>
      </c>
      <c r="H156" s="22" t="s">
        <v>365</v>
      </c>
      <c r="I156" s="22" t="s">
        <v>331</v>
      </c>
      <c r="J156" s="22" t="s">
        <v>67</v>
      </c>
      <c r="K156" s="22" t="s">
        <v>812</v>
      </c>
      <c r="L156" s="24" t="s">
        <v>412</v>
      </c>
      <c r="M156" s="24" t="s">
        <v>473</v>
      </c>
      <c r="N156" s="25" t="s">
        <v>594</v>
      </c>
      <c r="O156" s="23" t="s">
        <v>198</v>
      </c>
      <c r="P156" s="22" t="s">
        <v>70</v>
      </c>
      <c r="Q156" s="22"/>
      <c r="R156" s="22"/>
      <c r="S156" s="22"/>
      <c r="T156" s="22">
        <f>ROUND(IF(D156=Table!$C$3,V156*Table!$C$4/8,V156*Table!$D$4/8),3)</f>
        <v>26.244</v>
      </c>
      <c r="U156" s="22">
        <f t="shared" si="15"/>
        <v>26.244</v>
      </c>
      <c r="V156" s="22">
        <v>1.615</v>
      </c>
      <c r="W156" s="22">
        <v>2</v>
      </c>
      <c r="X156" s="22" t="s">
        <v>80</v>
      </c>
      <c r="Y156" s="26">
        <v>43910</v>
      </c>
      <c r="Z156" s="26">
        <v>43920</v>
      </c>
      <c r="AA156" s="26">
        <v>43913</v>
      </c>
      <c r="AB156" s="26">
        <v>43913</v>
      </c>
      <c r="AC156" s="26" t="s">
        <v>201</v>
      </c>
      <c r="AD156" s="114"/>
      <c r="AE156" s="114"/>
      <c r="AF156" s="52">
        <v>1</v>
      </c>
      <c r="AG156" s="52">
        <v>1</v>
      </c>
      <c r="AH156" s="52">
        <v>1</v>
      </c>
      <c r="AI156" s="22"/>
      <c r="AJ156" s="22"/>
      <c r="AK156" s="22"/>
    </row>
    <row r="157" spans="2:37" x14ac:dyDescent="0.25">
      <c r="B157" s="59">
        <v>95</v>
      </c>
      <c r="C157" s="23">
        <v>20200319</v>
      </c>
      <c r="D157" s="22" t="s">
        <v>2</v>
      </c>
      <c r="E157" s="22" t="s">
        <v>452</v>
      </c>
      <c r="F157" s="24" t="s">
        <v>67</v>
      </c>
      <c r="G157" s="22" t="s">
        <v>145</v>
      </c>
      <c r="H157" s="22" t="s">
        <v>366</v>
      </c>
      <c r="I157" s="22" t="s">
        <v>331</v>
      </c>
      <c r="J157" s="22" t="s">
        <v>67</v>
      </c>
      <c r="K157" s="22" t="s">
        <v>812</v>
      </c>
      <c r="L157" s="24" t="s">
        <v>413</v>
      </c>
      <c r="M157" s="24" t="s">
        <v>473</v>
      </c>
      <c r="N157" s="25" t="s">
        <v>595</v>
      </c>
      <c r="O157" s="23" t="s">
        <v>198</v>
      </c>
      <c r="P157" s="22" t="s">
        <v>70</v>
      </c>
      <c r="Q157" s="22"/>
      <c r="R157" s="22"/>
      <c r="S157" s="22"/>
      <c r="T157" s="22">
        <f>ROUND(IF(D157=Table!$C$3,V157*Table!$C$4/8,V157*Table!$D$4/8),3)</f>
        <v>26.244</v>
      </c>
      <c r="U157" s="22">
        <f t="shared" si="15"/>
        <v>26.244</v>
      </c>
      <c r="V157" s="22">
        <v>1.615</v>
      </c>
      <c r="W157" s="22">
        <v>2</v>
      </c>
      <c r="X157" s="22" t="s">
        <v>80</v>
      </c>
      <c r="Y157" s="26">
        <v>43910</v>
      </c>
      <c r="Z157" s="26">
        <v>43920</v>
      </c>
      <c r="AA157" s="26">
        <v>43913</v>
      </c>
      <c r="AB157" s="26">
        <v>43913</v>
      </c>
      <c r="AC157" s="26" t="s">
        <v>201</v>
      </c>
      <c r="AD157" s="114"/>
      <c r="AE157" s="114"/>
      <c r="AF157" s="52">
        <v>1</v>
      </c>
      <c r="AG157" s="52">
        <v>1</v>
      </c>
      <c r="AH157" s="52" t="s">
        <v>216</v>
      </c>
      <c r="AI157" s="22"/>
      <c r="AJ157" s="22"/>
      <c r="AK157" s="22"/>
    </row>
    <row r="158" spans="2:37" x14ac:dyDescent="0.25">
      <c r="B158" s="59">
        <v>96</v>
      </c>
      <c r="C158" s="23">
        <v>20200319</v>
      </c>
      <c r="D158" s="22" t="s">
        <v>2</v>
      </c>
      <c r="E158" s="22" t="s">
        <v>452</v>
      </c>
      <c r="F158" s="24" t="s">
        <v>67</v>
      </c>
      <c r="G158" s="22" t="s">
        <v>146</v>
      </c>
      <c r="H158" s="22" t="s">
        <v>367</v>
      </c>
      <c r="I158" s="22" t="s">
        <v>331</v>
      </c>
      <c r="J158" s="22" t="s">
        <v>67</v>
      </c>
      <c r="K158" s="22" t="s">
        <v>812</v>
      </c>
      <c r="L158" s="24" t="s">
        <v>412</v>
      </c>
      <c r="M158" s="24" t="s">
        <v>473</v>
      </c>
      <c r="N158" s="25" t="s">
        <v>596</v>
      </c>
      <c r="O158" s="23" t="s">
        <v>198</v>
      </c>
      <c r="P158" s="22" t="s">
        <v>70</v>
      </c>
      <c r="Q158" s="22"/>
      <c r="R158" s="22"/>
      <c r="S158" s="22"/>
      <c r="T158" s="22">
        <f>ROUND(IF(D158=Table!$C$3,V158*Table!$C$4/8,V158*Table!$D$4/8),3)</f>
        <v>26.244</v>
      </c>
      <c r="U158" s="22">
        <f t="shared" si="15"/>
        <v>26.244</v>
      </c>
      <c r="V158" s="22">
        <v>1.615</v>
      </c>
      <c r="W158" s="22">
        <v>2</v>
      </c>
      <c r="X158" s="22" t="s">
        <v>80</v>
      </c>
      <c r="Y158" s="26">
        <v>43910</v>
      </c>
      <c r="Z158" s="26">
        <v>43920</v>
      </c>
      <c r="AA158" s="26">
        <v>43913</v>
      </c>
      <c r="AB158" s="26">
        <v>43913</v>
      </c>
      <c r="AC158" s="26" t="s">
        <v>202</v>
      </c>
      <c r="AD158" s="114"/>
      <c r="AE158" s="114"/>
      <c r="AF158" s="52">
        <v>0.94599999999999995</v>
      </c>
      <c r="AG158" s="52">
        <v>0.95199999999999996</v>
      </c>
      <c r="AH158" s="52">
        <v>1</v>
      </c>
      <c r="AI158" s="22" t="s">
        <v>499</v>
      </c>
      <c r="AJ158" s="22"/>
      <c r="AK158" s="22"/>
    </row>
    <row r="159" spans="2:37" x14ac:dyDescent="0.25">
      <c r="B159" s="59">
        <v>97</v>
      </c>
      <c r="C159" s="23">
        <v>20200319</v>
      </c>
      <c r="D159" s="22" t="s">
        <v>2</v>
      </c>
      <c r="E159" s="22" t="s">
        <v>452</v>
      </c>
      <c r="F159" s="24" t="s">
        <v>67</v>
      </c>
      <c r="G159" s="22" t="s">
        <v>147</v>
      </c>
      <c r="H159" s="22" t="s">
        <v>368</v>
      </c>
      <c r="I159" s="22" t="s">
        <v>331</v>
      </c>
      <c r="J159" s="22" t="s">
        <v>67</v>
      </c>
      <c r="K159" s="22" t="s">
        <v>812</v>
      </c>
      <c r="L159" s="24" t="s">
        <v>412</v>
      </c>
      <c r="M159" s="24" t="s">
        <v>473</v>
      </c>
      <c r="N159" s="25" t="s">
        <v>597</v>
      </c>
      <c r="O159" s="23" t="s">
        <v>198</v>
      </c>
      <c r="P159" s="22" t="s">
        <v>70</v>
      </c>
      <c r="Q159" s="22"/>
      <c r="R159" s="22"/>
      <c r="S159" s="22"/>
      <c r="T159" s="22">
        <f>ROUND(IF(D159=Table!$C$3,V159*Table!$C$4/8,V159*Table!$D$4/8),3)</f>
        <v>37.293999999999997</v>
      </c>
      <c r="U159" s="22">
        <f t="shared" si="15"/>
        <v>37.293999999999997</v>
      </c>
      <c r="V159" s="22">
        <v>2.2949999999999999</v>
      </c>
      <c r="W159" s="22">
        <v>2</v>
      </c>
      <c r="X159" s="22" t="s">
        <v>80</v>
      </c>
      <c r="Y159" s="26">
        <v>43910</v>
      </c>
      <c r="Z159" s="26">
        <v>43920</v>
      </c>
      <c r="AA159" s="26">
        <v>43913</v>
      </c>
      <c r="AB159" s="26">
        <v>43913</v>
      </c>
      <c r="AC159" s="26" t="s">
        <v>202</v>
      </c>
      <c r="AD159" s="114"/>
      <c r="AE159" s="114"/>
      <c r="AF159" s="52">
        <v>0.84599999999999997</v>
      </c>
      <c r="AG159" s="52">
        <v>0.85699999999999998</v>
      </c>
      <c r="AH159" s="52" t="s">
        <v>216</v>
      </c>
      <c r="AI159" s="22" t="s">
        <v>500</v>
      </c>
      <c r="AJ159" s="22"/>
      <c r="AK159" s="22"/>
    </row>
    <row r="160" spans="2:37" x14ac:dyDescent="0.25">
      <c r="B160" s="59">
        <v>98</v>
      </c>
      <c r="C160" s="23">
        <v>20200319</v>
      </c>
      <c r="D160" s="22" t="s">
        <v>2</v>
      </c>
      <c r="E160" s="22" t="s">
        <v>452</v>
      </c>
      <c r="F160" s="24" t="s">
        <v>67</v>
      </c>
      <c r="G160" s="22" t="s">
        <v>148</v>
      </c>
      <c r="H160" s="22" t="s">
        <v>369</v>
      </c>
      <c r="I160" s="22" t="s">
        <v>331</v>
      </c>
      <c r="J160" s="22" t="s">
        <v>67</v>
      </c>
      <c r="K160" s="22" t="s">
        <v>812</v>
      </c>
      <c r="L160" s="24" t="s">
        <v>414</v>
      </c>
      <c r="M160" s="24" t="s">
        <v>473</v>
      </c>
      <c r="N160" s="25" t="s">
        <v>598</v>
      </c>
      <c r="O160" s="23" t="s">
        <v>198</v>
      </c>
      <c r="P160" s="22" t="s">
        <v>70</v>
      </c>
      <c r="Q160" s="22"/>
      <c r="R160" s="22"/>
      <c r="S160" s="22"/>
      <c r="T160" s="22">
        <f>ROUND(IF(D160=Table!$C$3,V160*Table!$C$4/8,V160*Table!$D$4/8),3)</f>
        <v>70.444000000000003</v>
      </c>
      <c r="U160" s="22">
        <f t="shared" si="15"/>
        <v>70.444000000000003</v>
      </c>
      <c r="V160" s="22">
        <v>4.335</v>
      </c>
      <c r="W160" s="22">
        <v>4</v>
      </c>
      <c r="X160" s="22" t="s">
        <v>80</v>
      </c>
      <c r="Y160" s="26">
        <v>43910</v>
      </c>
      <c r="Z160" s="26">
        <v>43920</v>
      </c>
      <c r="AA160" s="26">
        <v>43915</v>
      </c>
      <c r="AB160" s="26">
        <v>43915</v>
      </c>
      <c r="AC160" s="26" t="s">
        <v>201</v>
      </c>
      <c r="AD160" s="114"/>
      <c r="AE160" s="114"/>
      <c r="AF160" s="52">
        <v>1</v>
      </c>
      <c r="AG160" s="52">
        <v>1</v>
      </c>
      <c r="AH160" s="52">
        <v>1</v>
      </c>
      <c r="AI160" s="22"/>
      <c r="AJ160" s="22"/>
      <c r="AK160" s="22"/>
    </row>
    <row r="161" spans="2:37" x14ac:dyDescent="0.25">
      <c r="B161" s="59">
        <v>99</v>
      </c>
      <c r="C161" s="23">
        <v>20200319</v>
      </c>
      <c r="D161" s="22" t="s">
        <v>2</v>
      </c>
      <c r="E161" s="22" t="s">
        <v>452</v>
      </c>
      <c r="F161" s="24" t="s">
        <v>67</v>
      </c>
      <c r="G161" s="22" t="s">
        <v>149</v>
      </c>
      <c r="H161" s="22" t="s">
        <v>370</v>
      </c>
      <c r="I161" s="22" t="s">
        <v>331</v>
      </c>
      <c r="J161" s="22" t="s">
        <v>67</v>
      </c>
      <c r="K161" s="22" t="s">
        <v>812</v>
      </c>
      <c r="L161" s="24" t="s">
        <v>413</v>
      </c>
      <c r="M161" s="24" t="s">
        <v>473</v>
      </c>
      <c r="N161" s="25" t="s">
        <v>599</v>
      </c>
      <c r="O161" s="23" t="s">
        <v>198</v>
      </c>
      <c r="P161" s="22" t="s">
        <v>70</v>
      </c>
      <c r="Q161" s="22"/>
      <c r="R161" s="22"/>
      <c r="S161" s="22"/>
      <c r="T161" s="22">
        <f>ROUND(IF(D161=Table!$C$3,V161*Table!$C$4/8,V161*Table!$D$4/8),3)</f>
        <v>26.244</v>
      </c>
      <c r="U161" s="22">
        <f t="shared" si="15"/>
        <v>26.244</v>
      </c>
      <c r="V161" s="22">
        <v>1.615</v>
      </c>
      <c r="W161" s="22">
        <v>2</v>
      </c>
      <c r="X161" s="22" t="s">
        <v>80</v>
      </c>
      <c r="Y161" s="26">
        <v>43910</v>
      </c>
      <c r="Z161" s="26">
        <v>43920</v>
      </c>
      <c r="AA161" s="26">
        <v>43913</v>
      </c>
      <c r="AB161" s="26">
        <v>43913</v>
      </c>
      <c r="AC161" s="26" t="s">
        <v>201</v>
      </c>
      <c r="AD161" s="114"/>
      <c r="AE161" s="114"/>
      <c r="AF161" s="52">
        <v>1</v>
      </c>
      <c r="AG161" s="52">
        <v>1</v>
      </c>
      <c r="AH161" s="52" t="s">
        <v>216</v>
      </c>
      <c r="AI161" s="22"/>
      <c r="AJ161" s="22"/>
      <c r="AK161" s="22"/>
    </row>
    <row r="162" spans="2:37" x14ac:dyDescent="0.25">
      <c r="B162" s="59">
        <v>100</v>
      </c>
      <c r="C162" s="23">
        <v>20200319</v>
      </c>
      <c r="D162" s="22" t="s">
        <v>2</v>
      </c>
      <c r="E162" s="22" t="s">
        <v>452</v>
      </c>
      <c r="F162" s="24" t="s">
        <v>67</v>
      </c>
      <c r="G162" s="22" t="s">
        <v>150</v>
      </c>
      <c r="H162" s="22" t="s">
        <v>371</v>
      </c>
      <c r="I162" s="22" t="s">
        <v>331</v>
      </c>
      <c r="J162" s="22" t="s">
        <v>67</v>
      </c>
      <c r="K162" s="22" t="s">
        <v>812</v>
      </c>
      <c r="L162" s="24" t="s">
        <v>413</v>
      </c>
      <c r="M162" s="24" t="s">
        <v>473</v>
      </c>
      <c r="N162" s="25" t="s">
        <v>600</v>
      </c>
      <c r="O162" s="23" t="s">
        <v>198</v>
      </c>
      <c r="P162" s="22" t="s">
        <v>70</v>
      </c>
      <c r="Q162" s="22"/>
      <c r="R162" s="22"/>
      <c r="S162" s="22"/>
      <c r="T162" s="22">
        <f>ROUND(IF(D162=Table!$C$3,V162*Table!$C$4/8,V162*Table!$D$4/8),3)</f>
        <v>48.344000000000001</v>
      </c>
      <c r="U162" s="22">
        <f t="shared" si="15"/>
        <v>48.344000000000001</v>
      </c>
      <c r="V162" s="22">
        <v>2.9750000000000001</v>
      </c>
      <c r="W162" s="22">
        <v>1</v>
      </c>
      <c r="X162" s="22" t="s">
        <v>80</v>
      </c>
      <c r="Y162" s="26">
        <v>43910</v>
      </c>
      <c r="Z162" s="26">
        <v>43920</v>
      </c>
      <c r="AA162" s="26">
        <v>43914</v>
      </c>
      <c r="AB162" s="26">
        <v>43914</v>
      </c>
      <c r="AC162" s="77" t="s">
        <v>201</v>
      </c>
      <c r="AD162" s="114"/>
      <c r="AE162" s="114"/>
      <c r="AF162" s="52">
        <v>1</v>
      </c>
      <c r="AG162" s="52">
        <v>1</v>
      </c>
      <c r="AH162" s="52">
        <v>1</v>
      </c>
      <c r="AI162" s="22"/>
      <c r="AJ162" s="22"/>
      <c r="AK162" s="22"/>
    </row>
    <row r="163" spans="2:37" x14ac:dyDescent="0.25">
      <c r="B163" s="59">
        <v>101</v>
      </c>
      <c r="C163" s="23">
        <v>20200319</v>
      </c>
      <c r="D163" s="22" t="s">
        <v>2</v>
      </c>
      <c r="E163" s="22" t="s">
        <v>452</v>
      </c>
      <c r="F163" s="24" t="s">
        <v>67</v>
      </c>
      <c r="G163" s="22" t="s">
        <v>151</v>
      </c>
      <c r="H163" s="22" t="s">
        <v>372</v>
      </c>
      <c r="I163" s="22" t="s">
        <v>331</v>
      </c>
      <c r="J163" s="22" t="s">
        <v>67</v>
      </c>
      <c r="K163" s="22" t="s">
        <v>812</v>
      </c>
      <c r="L163" s="24" t="s">
        <v>412</v>
      </c>
      <c r="M163" s="24" t="s">
        <v>473</v>
      </c>
      <c r="N163" s="25" t="s">
        <v>601</v>
      </c>
      <c r="O163" s="23" t="s">
        <v>198</v>
      </c>
      <c r="P163" s="22" t="s">
        <v>70</v>
      </c>
      <c r="Q163" s="22"/>
      <c r="R163" s="22"/>
      <c r="S163" s="22"/>
      <c r="T163" s="22">
        <f>ROUND(IF(D163=Table!$C$3,V163*Table!$C$4/8,V163*Table!$D$4/8),3)</f>
        <v>26.244</v>
      </c>
      <c r="U163" s="22">
        <f t="shared" si="15"/>
        <v>26.244</v>
      </c>
      <c r="V163" s="22">
        <v>1.615</v>
      </c>
      <c r="W163" s="22">
        <v>0.5</v>
      </c>
      <c r="X163" s="22" t="s">
        <v>80</v>
      </c>
      <c r="Y163" s="26">
        <v>43910</v>
      </c>
      <c r="Z163" s="26">
        <v>43920</v>
      </c>
      <c r="AA163" s="26">
        <v>43914</v>
      </c>
      <c r="AB163" s="26">
        <v>43914</v>
      </c>
      <c r="AC163" s="77" t="s">
        <v>201</v>
      </c>
      <c r="AD163" s="114"/>
      <c r="AE163" s="114"/>
      <c r="AF163" s="52">
        <v>1</v>
      </c>
      <c r="AG163" s="52">
        <v>1</v>
      </c>
      <c r="AH163" s="52">
        <v>1</v>
      </c>
      <c r="AI163" s="22"/>
      <c r="AJ163" s="22"/>
      <c r="AK163" s="22"/>
    </row>
    <row r="164" spans="2:37" x14ac:dyDescent="0.25">
      <c r="B164" s="59">
        <v>102</v>
      </c>
      <c r="C164" s="23">
        <v>20200319</v>
      </c>
      <c r="D164" s="22" t="s">
        <v>2</v>
      </c>
      <c r="E164" s="22" t="s">
        <v>452</v>
      </c>
      <c r="F164" s="24" t="s">
        <v>67</v>
      </c>
      <c r="G164" s="22" t="s">
        <v>152</v>
      </c>
      <c r="H164" s="22" t="s">
        <v>373</v>
      </c>
      <c r="I164" s="22" t="s">
        <v>331</v>
      </c>
      <c r="J164" s="22" t="s">
        <v>67</v>
      </c>
      <c r="K164" s="22" t="s">
        <v>812</v>
      </c>
      <c r="L164" s="24" t="s">
        <v>412</v>
      </c>
      <c r="M164" s="24" t="s">
        <v>473</v>
      </c>
      <c r="N164" s="25" t="s">
        <v>602</v>
      </c>
      <c r="O164" s="23" t="s">
        <v>198</v>
      </c>
      <c r="P164" s="22" t="s">
        <v>70</v>
      </c>
      <c r="Q164" s="22"/>
      <c r="R164" s="22"/>
      <c r="S164" s="22"/>
      <c r="T164" s="22">
        <f>ROUND(IF(D164=Table!$C$3,V164*Table!$C$4/8,V164*Table!$D$4/8),3)</f>
        <v>26.244</v>
      </c>
      <c r="U164" s="22">
        <f t="shared" si="15"/>
        <v>26.244</v>
      </c>
      <c r="V164" s="22">
        <v>1.615</v>
      </c>
      <c r="W164" s="22">
        <v>0.5</v>
      </c>
      <c r="X164" s="22" t="s">
        <v>80</v>
      </c>
      <c r="Y164" s="26">
        <v>43910</v>
      </c>
      <c r="Z164" s="26">
        <v>43920</v>
      </c>
      <c r="AA164" s="26">
        <v>43914</v>
      </c>
      <c r="AB164" s="26">
        <v>43914</v>
      </c>
      <c r="AC164" s="77" t="s">
        <v>202</v>
      </c>
      <c r="AD164" s="114"/>
      <c r="AE164" s="114"/>
      <c r="AF164" s="52">
        <v>1</v>
      </c>
      <c r="AG164" s="52">
        <v>1</v>
      </c>
      <c r="AH164" s="52">
        <v>0.875</v>
      </c>
      <c r="AI164" s="22" t="s">
        <v>640</v>
      </c>
      <c r="AJ164" s="22"/>
      <c r="AK164" s="22"/>
    </row>
    <row r="165" spans="2:37" x14ac:dyDescent="0.25">
      <c r="B165" s="59">
        <v>103</v>
      </c>
      <c r="C165" s="23">
        <v>20200319</v>
      </c>
      <c r="D165" s="22" t="s">
        <v>2</v>
      </c>
      <c r="E165" s="22" t="s">
        <v>452</v>
      </c>
      <c r="F165" s="24" t="s">
        <v>67</v>
      </c>
      <c r="G165" s="22" t="s">
        <v>153</v>
      </c>
      <c r="H165" s="22" t="s">
        <v>374</v>
      </c>
      <c r="I165" s="22" t="s">
        <v>331</v>
      </c>
      <c r="J165" s="22" t="s">
        <v>67</v>
      </c>
      <c r="K165" s="22" t="s">
        <v>812</v>
      </c>
      <c r="L165" s="24" t="s">
        <v>414</v>
      </c>
      <c r="M165" s="24" t="s">
        <v>473</v>
      </c>
      <c r="N165" s="25" t="s">
        <v>603</v>
      </c>
      <c r="O165" s="23" t="s">
        <v>198</v>
      </c>
      <c r="P165" s="22" t="s">
        <v>70</v>
      </c>
      <c r="Q165" s="22"/>
      <c r="R165" s="22"/>
      <c r="S165" s="22"/>
      <c r="T165" s="22">
        <f>ROUND(IF(D165=Table!$C$3,V165*Table!$C$4/8,V165*Table!$D$4/8),3)</f>
        <v>26.244</v>
      </c>
      <c r="U165" s="22">
        <f t="shared" si="15"/>
        <v>26.244</v>
      </c>
      <c r="V165" s="22">
        <v>1.615</v>
      </c>
      <c r="W165" s="22">
        <v>0.5</v>
      </c>
      <c r="X165" s="22" t="s">
        <v>80</v>
      </c>
      <c r="Y165" s="26">
        <v>43910</v>
      </c>
      <c r="Z165" s="26">
        <v>43920</v>
      </c>
      <c r="AA165" s="26">
        <v>43914</v>
      </c>
      <c r="AB165" s="26">
        <v>43914</v>
      </c>
      <c r="AC165" s="77" t="s">
        <v>202</v>
      </c>
      <c r="AD165" s="114"/>
      <c r="AE165" s="114"/>
      <c r="AF165" s="52">
        <v>0.77300000000000002</v>
      </c>
      <c r="AG165" s="52">
        <v>0.77300000000000002</v>
      </c>
      <c r="AH165" s="52" t="s">
        <v>216</v>
      </c>
      <c r="AI165" s="22" t="s">
        <v>641</v>
      </c>
      <c r="AJ165" s="22"/>
      <c r="AK165" s="22"/>
    </row>
    <row r="166" spans="2:37" x14ac:dyDescent="0.25">
      <c r="B166" s="59">
        <v>104</v>
      </c>
      <c r="C166" s="23">
        <v>20200319</v>
      </c>
      <c r="D166" s="22" t="s">
        <v>2</v>
      </c>
      <c r="E166" s="22" t="s">
        <v>452</v>
      </c>
      <c r="F166" s="24" t="s">
        <v>67</v>
      </c>
      <c r="G166" s="22" t="s">
        <v>154</v>
      </c>
      <c r="H166" s="22" t="s">
        <v>375</v>
      </c>
      <c r="I166" s="22" t="s">
        <v>331</v>
      </c>
      <c r="J166" s="22" t="s">
        <v>67</v>
      </c>
      <c r="K166" s="22" t="s">
        <v>812</v>
      </c>
      <c r="L166" s="24" t="s">
        <v>412</v>
      </c>
      <c r="M166" s="24" t="s">
        <v>473</v>
      </c>
      <c r="N166" s="25" t="s">
        <v>604</v>
      </c>
      <c r="O166" s="23" t="s">
        <v>198</v>
      </c>
      <c r="P166" s="22" t="s">
        <v>70</v>
      </c>
      <c r="Q166" s="22"/>
      <c r="R166" s="22"/>
      <c r="S166" s="22"/>
      <c r="T166" s="22">
        <f>ROUND(IF(D166=Table!$C$3,V166*Table!$C$4/8,V166*Table!$D$4/8),3)</f>
        <v>26.244</v>
      </c>
      <c r="U166" s="22">
        <f t="shared" si="15"/>
        <v>26.244</v>
      </c>
      <c r="V166" s="22">
        <v>1.615</v>
      </c>
      <c r="W166" s="22">
        <v>1</v>
      </c>
      <c r="X166" s="22" t="s">
        <v>80</v>
      </c>
      <c r="Y166" s="26">
        <v>43910</v>
      </c>
      <c r="Z166" s="26">
        <v>43920</v>
      </c>
      <c r="AA166" s="26">
        <v>43914</v>
      </c>
      <c r="AB166" s="26">
        <v>43914</v>
      </c>
      <c r="AC166" s="77" t="s">
        <v>202</v>
      </c>
      <c r="AD166" s="114"/>
      <c r="AE166" s="114"/>
      <c r="AF166" s="52">
        <v>0.8</v>
      </c>
      <c r="AG166" s="52">
        <v>0.81799999999999995</v>
      </c>
      <c r="AH166" s="52">
        <v>1</v>
      </c>
      <c r="AI166" s="22" t="s">
        <v>642</v>
      </c>
      <c r="AJ166" s="22"/>
      <c r="AK166" s="22"/>
    </row>
    <row r="167" spans="2:37" x14ac:dyDescent="0.25">
      <c r="B167" s="59">
        <v>105</v>
      </c>
      <c r="C167" s="23">
        <v>20200319</v>
      </c>
      <c r="D167" s="22" t="s">
        <v>2</v>
      </c>
      <c r="E167" s="22" t="s">
        <v>452</v>
      </c>
      <c r="F167" s="24" t="s">
        <v>67</v>
      </c>
      <c r="G167" s="22" t="s">
        <v>296</v>
      </c>
      <c r="H167" s="22" t="s">
        <v>376</v>
      </c>
      <c r="I167" s="22" t="s">
        <v>331</v>
      </c>
      <c r="J167" s="22" t="s">
        <v>67</v>
      </c>
      <c r="K167" s="22" t="s">
        <v>812</v>
      </c>
      <c r="L167" s="24" t="s">
        <v>412</v>
      </c>
      <c r="M167" s="24" t="s">
        <v>473</v>
      </c>
      <c r="N167" s="25" t="s">
        <v>605</v>
      </c>
      <c r="O167" s="23" t="s">
        <v>198</v>
      </c>
      <c r="P167" s="22" t="s">
        <v>70</v>
      </c>
      <c r="Q167" s="22"/>
      <c r="R167" s="22"/>
      <c r="S167" s="22"/>
      <c r="T167" s="22">
        <f>ROUND(IF(D167=Table!$C$3,V167*Table!$C$4/8,V167*Table!$D$4/8),3)</f>
        <v>26.244</v>
      </c>
      <c r="U167" s="22">
        <f t="shared" si="15"/>
        <v>26.244</v>
      </c>
      <c r="V167" s="22">
        <v>1.615</v>
      </c>
      <c r="W167" s="22">
        <v>1</v>
      </c>
      <c r="X167" s="22" t="s">
        <v>80</v>
      </c>
      <c r="Y167" s="26">
        <v>43910</v>
      </c>
      <c r="Z167" s="26">
        <v>43920</v>
      </c>
      <c r="AA167" s="26">
        <v>43914</v>
      </c>
      <c r="AB167" s="26">
        <v>43914</v>
      </c>
      <c r="AC167" s="77" t="s">
        <v>201</v>
      </c>
      <c r="AD167" s="114"/>
      <c r="AE167" s="114"/>
      <c r="AF167" s="52">
        <v>1</v>
      </c>
      <c r="AG167" s="52">
        <v>1</v>
      </c>
      <c r="AH167" s="52">
        <v>1</v>
      </c>
      <c r="AI167" s="22"/>
      <c r="AJ167" s="22"/>
      <c r="AK167" s="22"/>
    </row>
    <row r="168" spans="2:37" x14ac:dyDescent="0.25">
      <c r="B168" s="59">
        <v>106</v>
      </c>
      <c r="C168" s="23">
        <v>20200319</v>
      </c>
      <c r="D168" s="22" t="s">
        <v>2</v>
      </c>
      <c r="E168" s="22" t="s">
        <v>452</v>
      </c>
      <c r="F168" s="24" t="s">
        <v>67</v>
      </c>
      <c r="G168" s="22" t="s">
        <v>155</v>
      </c>
      <c r="H168" s="22" t="s">
        <v>377</v>
      </c>
      <c r="I168" s="22" t="s">
        <v>331</v>
      </c>
      <c r="J168" s="22" t="s">
        <v>67</v>
      </c>
      <c r="K168" s="22" t="s">
        <v>812</v>
      </c>
      <c r="L168" s="24" t="s">
        <v>412</v>
      </c>
      <c r="M168" s="24" t="s">
        <v>473</v>
      </c>
      <c r="N168" s="25" t="s">
        <v>606</v>
      </c>
      <c r="O168" s="23" t="s">
        <v>198</v>
      </c>
      <c r="P168" s="22" t="s">
        <v>70</v>
      </c>
      <c r="Q168" s="22"/>
      <c r="R168" s="22"/>
      <c r="S168" s="22"/>
      <c r="T168" s="22">
        <f>ROUND(IF(D168=Table!$C$3,V168*Table!$C$4/8,V168*Table!$D$4/8),3)</f>
        <v>64.918999999999997</v>
      </c>
      <c r="U168" s="22">
        <f t="shared" si="15"/>
        <v>64.918999999999997</v>
      </c>
      <c r="V168" s="22">
        <v>3.9950000000000001</v>
      </c>
      <c r="W168" s="22">
        <v>2</v>
      </c>
      <c r="X168" s="22" t="s">
        <v>99</v>
      </c>
      <c r="Y168" s="26">
        <v>43910</v>
      </c>
      <c r="Z168" s="26">
        <v>43920</v>
      </c>
      <c r="AA168" s="26">
        <v>43916</v>
      </c>
      <c r="AB168" s="26">
        <v>43916</v>
      </c>
      <c r="AC168" s="26" t="s">
        <v>202</v>
      </c>
      <c r="AD168" s="114"/>
      <c r="AE168" s="114"/>
      <c r="AF168" s="52">
        <v>1</v>
      </c>
      <c r="AG168" s="52">
        <v>1</v>
      </c>
      <c r="AH168" s="52">
        <v>1</v>
      </c>
      <c r="AI168" s="22" t="s">
        <v>650</v>
      </c>
      <c r="AJ168" s="22"/>
      <c r="AK168" s="22"/>
    </row>
    <row r="169" spans="2:37" x14ac:dyDescent="0.25">
      <c r="B169" s="59">
        <v>107</v>
      </c>
      <c r="C169" s="23">
        <v>20200319</v>
      </c>
      <c r="D169" s="22" t="s">
        <v>2</v>
      </c>
      <c r="E169" s="22" t="s">
        <v>452</v>
      </c>
      <c r="F169" s="24" t="s">
        <v>67</v>
      </c>
      <c r="G169" s="22" t="s">
        <v>156</v>
      </c>
      <c r="H169" s="22" t="s">
        <v>378</v>
      </c>
      <c r="I169" s="22" t="s">
        <v>331</v>
      </c>
      <c r="J169" s="22" t="s">
        <v>67</v>
      </c>
      <c r="K169" s="22" t="s">
        <v>812</v>
      </c>
      <c r="L169" s="24" t="s">
        <v>412</v>
      </c>
      <c r="M169" s="24" t="s">
        <v>473</v>
      </c>
      <c r="N169" s="25" t="s">
        <v>607</v>
      </c>
      <c r="O169" s="23" t="s">
        <v>198</v>
      </c>
      <c r="P169" s="22" t="s">
        <v>70</v>
      </c>
      <c r="Q169" s="22"/>
      <c r="R169" s="22"/>
      <c r="S169" s="22"/>
      <c r="T169" s="22">
        <f>ROUND(IF(D169=Table!$C$3,V169*Table!$C$4/8,V169*Table!$D$4/8),3)</f>
        <v>103.59399999999999</v>
      </c>
      <c r="U169" s="22">
        <f>T169</f>
        <v>103.59399999999999</v>
      </c>
      <c r="V169" s="22">
        <v>6.375</v>
      </c>
      <c r="W169" s="22">
        <v>1</v>
      </c>
      <c r="X169" s="22" t="s">
        <v>80</v>
      </c>
      <c r="Y169" s="26">
        <v>43910</v>
      </c>
      <c r="Z169" s="26">
        <v>43920</v>
      </c>
      <c r="AA169" s="26">
        <v>43914</v>
      </c>
      <c r="AB169" s="26">
        <v>43914</v>
      </c>
      <c r="AC169" s="77" t="s">
        <v>202</v>
      </c>
      <c r="AD169" s="114"/>
      <c r="AE169" s="114"/>
      <c r="AF169" s="52">
        <v>0.94599999999999995</v>
      </c>
      <c r="AG169" s="52">
        <v>0.95199999999999996</v>
      </c>
      <c r="AH169" s="52">
        <v>1</v>
      </c>
      <c r="AI169" s="22" t="s">
        <v>643</v>
      </c>
      <c r="AJ169" s="22"/>
      <c r="AK169" s="22"/>
    </row>
    <row r="170" spans="2:37" x14ac:dyDescent="0.25">
      <c r="B170" s="59">
        <v>108</v>
      </c>
      <c r="C170" s="23">
        <v>20200319</v>
      </c>
      <c r="D170" s="22" t="s">
        <v>2</v>
      </c>
      <c r="E170" s="22" t="s">
        <v>452</v>
      </c>
      <c r="F170" s="24" t="s">
        <v>67</v>
      </c>
      <c r="G170" s="22" t="s">
        <v>157</v>
      </c>
      <c r="H170" s="22" t="s">
        <v>379</v>
      </c>
      <c r="I170" s="22" t="s">
        <v>331</v>
      </c>
      <c r="J170" s="22" t="s">
        <v>67</v>
      </c>
      <c r="K170" s="22" t="s">
        <v>812</v>
      </c>
      <c r="L170" s="24" t="s">
        <v>412</v>
      </c>
      <c r="M170" s="24" t="s">
        <v>473</v>
      </c>
      <c r="N170" s="25" t="s">
        <v>608</v>
      </c>
      <c r="O170" s="23" t="s">
        <v>198</v>
      </c>
      <c r="P170" s="22" t="s">
        <v>70</v>
      </c>
      <c r="Q170" s="22"/>
      <c r="R170" s="22"/>
      <c r="S170" s="22"/>
      <c r="T170" s="22">
        <f>ROUND(IF(D170=Table!$C$3,V170*Table!$C$4/8,V170*Table!$D$4/8),3)</f>
        <v>26.244</v>
      </c>
      <c r="U170" s="22">
        <f>T170</f>
        <v>26.244</v>
      </c>
      <c r="V170" s="22">
        <v>1.615</v>
      </c>
      <c r="W170" s="22">
        <v>1</v>
      </c>
      <c r="X170" s="22" t="s">
        <v>80</v>
      </c>
      <c r="Y170" s="26">
        <v>43910</v>
      </c>
      <c r="Z170" s="26">
        <v>43920</v>
      </c>
      <c r="AA170" s="26">
        <v>43914</v>
      </c>
      <c r="AB170" s="26">
        <v>43914</v>
      </c>
      <c r="AC170" s="77" t="s">
        <v>201</v>
      </c>
      <c r="AD170" s="114"/>
      <c r="AE170" s="114"/>
      <c r="AF170" s="52">
        <v>1</v>
      </c>
      <c r="AG170" s="52">
        <v>1</v>
      </c>
      <c r="AH170" s="52">
        <v>1</v>
      </c>
      <c r="AI170" s="22"/>
      <c r="AJ170" s="22"/>
      <c r="AK170" s="22"/>
    </row>
    <row r="171" spans="2:37" x14ac:dyDescent="0.25">
      <c r="B171" s="59">
        <v>109</v>
      </c>
      <c r="C171" s="23">
        <v>20200319</v>
      </c>
      <c r="D171" s="22" t="s">
        <v>2</v>
      </c>
      <c r="E171" s="22" t="s">
        <v>452</v>
      </c>
      <c r="F171" s="24" t="s">
        <v>67</v>
      </c>
      <c r="G171" s="22" t="s">
        <v>297</v>
      </c>
      <c r="H171" s="22" t="s">
        <v>380</v>
      </c>
      <c r="I171" s="22" t="s">
        <v>332</v>
      </c>
      <c r="J171" s="22" t="s">
        <v>67</v>
      </c>
      <c r="K171" s="22" t="s">
        <v>812</v>
      </c>
      <c r="L171" s="24" t="s">
        <v>412</v>
      </c>
      <c r="M171" s="24" t="s">
        <v>473</v>
      </c>
      <c r="N171" s="25" t="s">
        <v>609</v>
      </c>
      <c r="O171" s="23" t="s">
        <v>198</v>
      </c>
      <c r="P171" s="22" t="s">
        <v>70</v>
      </c>
      <c r="Q171" s="22"/>
      <c r="R171" s="22"/>
      <c r="S171" s="22"/>
      <c r="T171" s="22">
        <f>ROUND(IF(D171=Table!$C$3,V171*Table!$C$4/8,V171*Table!$D$4/8),3)</f>
        <v>48.344000000000001</v>
      </c>
      <c r="U171" s="22">
        <f t="shared" ref="U171:U172" si="16">T171</f>
        <v>48.344000000000001</v>
      </c>
      <c r="V171" s="22">
        <v>2.9750000000000001</v>
      </c>
      <c r="W171" s="22">
        <v>2</v>
      </c>
      <c r="X171" s="22" t="s">
        <v>80</v>
      </c>
      <c r="Y171" s="26">
        <v>43910</v>
      </c>
      <c r="Z171" s="26">
        <v>43920</v>
      </c>
      <c r="AA171" s="26">
        <v>43916</v>
      </c>
      <c r="AB171" s="26">
        <v>43916</v>
      </c>
      <c r="AC171" s="26" t="s">
        <v>202</v>
      </c>
      <c r="AD171" s="114"/>
      <c r="AE171" s="114"/>
      <c r="AF171" s="52">
        <v>0.879</v>
      </c>
      <c r="AG171" s="52">
        <v>0.89700000000000002</v>
      </c>
      <c r="AH171" s="52">
        <v>1</v>
      </c>
      <c r="AI171" s="22" t="s">
        <v>648</v>
      </c>
      <c r="AJ171" s="22"/>
      <c r="AK171" s="22"/>
    </row>
    <row r="172" spans="2:37" x14ac:dyDescent="0.25">
      <c r="B172" s="59">
        <v>110</v>
      </c>
      <c r="C172" s="23">
        <v>20200319</v>
      </c>
      <c r="D172" s="22" t="s">
        <v>2</v>
      </c>
      <c r="E172" s="22" t="s">
        <v>452</v>
      </c>
      <c r="F172" s="24" t="s">
        <v>67</v>
      </c>
      <c r="G172" s="22" t="s">
        <v>430</v>
      </c>
      <c r="H172" s="22" t="s">
        <v>381</v>
      </c>
      <c r="I172" s="22" t="s">
        <v>331</v>
      </c>
      <c r="J172" s="22" t="s">
        <v>67</v>
      </c>
      <c r="K172" s="22" t="s">
        <v>812</v>
      </c>
      <c r="L172" s="24" t="s">
        <v>412</v>
      </c>
      <c r="M172" s="24" t="s">
        <v>473</v>
      </c>
      <c r="N172" s="25" t="s">
        <v>610</v>
      </c>
      <c r="O172" s="23" t="s">
        <v>198</v>
      </c>
      <c r="P172" s="22" t="s">
        <v>70</v>
      </c>
      <c r="Q172" s="22"/>
      <c r="R172" s="22"/>
      <c r="S172" s="22"/>
      <c r="T172" s="22">
        <f>ROUND(IF(D172=Table!$C$3,V172*Table!$C$4/8,V172*Table!$D$4/8),3)</f>
        <v>81.494</v>
      </c>
      <c r="U172" s="22">
        <f t="shared" si="16"/>
        <v>81.494</v>
      </c>
      <c r="V172" s="22">
        <v>5.0150000000000006</v>
      </c>
      <c r="W172" s="22">
        <v>4</v>
      </c>
      <c r="X172" s="22" t="s">
        <v>80</v>
      </c>
      <c r="Y172" s="26">
        <v>43910</v>
      </c>
      <c r="Z172" s="26">
        <v>43920</v>
      </c>
      <c r="AA172" s="26">
        <v>43915</v>
      </c>
      <c r="AB172" s="26">
        <v>43915</v>
      </c>
      <c r="AC172" s="26" t="s">
        <v>202</v>
      </c>
      <c r="AD172" s="114"/>
      <c r="AE172" s="114"/>
      <c r="AF172" s="52">
        <v>0.879</v>
      </c>
      <c r="AG172" s="52">
        <v>0.88900000000000001</v>
      </c>
      <c r="AH172" s="52">
        <v>1</v>
      </c>
      <c r="AI172" s="22" t="s">
        <v>649</v>
      </c>
      <c r="AJ172" s="22"/>
      <c r="AK172" s="22"/>
    </row>
    <row r="173" spans="2:37" x14ac:dyDescent="0.25">
      <c r="B173" s="59">
        <v>111</v>
      </c>
      <c r="C173" s="23">
        <v>20200319</v>
      </c>
      <c r="D173" s="22" t="s">
        <v>2</v>
      </c>
      <c r="E173" s="22" t="s">
        <v>452</v>
      </c>
      <c r="F173" s="24" t="s">
        <v>67</v>
      </c>
      <c r="G173" s="22" t="s">
        <v>158</v>
      </c>
      <c r="H173" s="22" t="s">
        <v>382</v>
      </c>
      <c r="I173" s="22" t="s">
        <v>331</v>
      </c>
      <c r="J173" s="22" t="s">
        <v>67</v>
      </c>
      <c r="K173" s="22" t="s">
        <v>812</v>
      </c>
      <c r="L173" s="24" t="s">
        <v>412</v>
      </c>
      <c r="M173" s="24" t="s">
        <v>473</v>
      </c>
      <c r="N173" s="25" t="s">
        <v>611</v>
      </c>
      <c r="O173" s="23" t="s">
        <v>198</v>
      </c>
      <c r="P173" s="22" t="s">
        <v>70</v>
      </c>
      <c r="Q173" s="22"/>
      <c r="R173" s="22"/>
      <c r="S173" s="22"/>
      <c r="T173" s="22">
        <f>ROUND(IF(D173=Table!$C$3,V173*Table!$C$4/8,V173*Table!$D$4/8),3)</f>
        <v>26.244</v>
      </c>
      <c r="U173" s="22">
        <f>T173</f>
        <v>26.244</v>
      </c>
      <c r="V173" s="22">
        <v>1.615</v>
      </c>
      <c r="W173" s="22">
        <v>1</v>
      </c>
      <c r="X173" s="22" t="s">
        <v>80</v>
      </c>
      <c r="Y173" s="26">
        <v>43910</v>
      </c>
      <c r="Z173" s="26">
        <v>43920</v>
      </c>
      <c r="AA173" s="26">
        <v>43914</v>
      </c>
      <c r="AB173" s="26">
        <v>43914</v>
      </c>
      <c r="AC173" s="77" t="s">
        <v>201</v>
      </c>
      <c r="AD173" s="114"/>
      <c r="AE173" s="114"/>
      <c r="AF173" s="52">
        <v>1</v>
      </c>
      <c r="AG173" s="52">
        <v>1</v>
      </c>
      <c r="AH173" s="52">
        <v>1</v>
      </c>
      <c r="AI173" s="22"/>
      <c r="AJ173" s="22"/>
      <c r="AK173" s="22"/>
    </row>
    <row r="174" spans="2:37" x14ac:dyDescent="0.25">
      <c r="B174" s="59">
        <v>112</v>
      </c>
      <c r="C174" s="23">
        <v>20200319</v>
      </c>
      <c r="D174" s="22" t="s">
        <v>2</v>
      </c>
      <c r="E174" s="22" t="s">
        <v>452</v>
      </c>
      <c r="F174" s="24" t="s">
        <v>67</v>
      </c>
      <c r="G174" s="22" t="s">
        <v>431</v>
      </c>
      <c r="H174" s="22" t="s">
        <v>383</v>
      </c>
      <c r="I174" s="22" t="s">
        <v>331</v>
      </c>
      <c r="J174" s="22" t="s">
        <v>67</v>
      </c>
      <c r="K174" s="22" t="s">
        <v>812</v>
      </c>
      <c r="L174" s="24" t="s">
        <v>415</v>
      </c>
      <c r="M174" s="24" t="s">
        <v>473</v>
      </c>
      <c r="N174" s="25" t="s">
        <v>612</v>
      </c>
      <c r="O174" s="23" t="s">
        <v>200</v>
      </c>
      <c r="P174" s="22" t="s">
        <v>72</v>
      </c>
      <c r="Q174" s="22"/>
      <c r="R174" s="22"/>
      <c r="S174" s="22"/>
      <c r="T174" s="22">
        <f>ROUND(IF(D174=Table!$C$3,V174*Table!$C$4/8,V174*Table!$D$4/8),3)</f>
        <v>26.244</v>
      </c>
      <c r="U174" s="22">
        <f>T174</f>
        <v>26.244</v>
      </c>
      <c r="V174" s="22">
        <v>1.615</v>
      </c>
      <c r="W174" s="22">
        <v>1</v>
      </c>
      <c r="X174" s="22" t="s">
        <v>80</v>
      </c>
      <c r="Y174" s="26">
        <v>43910</v>
      </c>
      <c r="Z174" s="26">
        <v>43920</v>
      </c>
      <c r="AA174" s="26">
        <v>43917</v>
      </c>
      <c r="AB174" s="26">
        <v>43917</v>
      </c>
      <c r="AC174" s="26" t="s">
        <v>201</v>
      </c>
      <c r="AD174" s="114"/>
      <c r="AE174" s="114"/>
      <c r="AF174" s="52">
        <v>1</v>
      </c>
      <c r="AG174" s="52">
        <v>1</v>
      </c>
      <c r="AH174" s="52">
        <v>1</v>
      </c>
      <c r="AI174" s="22"/>
      <c r="AJ174" s="22"/>
      <c r="AK174" s="22"/>
    </row>
    <row r="175" spans="2:37" x14ac:dyDescent="0.25">
      <c r="B175" s="59">
        <v>113</v>
      </c>
      <c r="C175" s="23">
        <v>20200319</v>
      </c>
      <c r="D175" s="22" t="s">
        <v>2</v>
      </c>
      <c r="E175" s="22" t="s">
        <v>452</v>
      </c>
      <c r="F175" s="24" t="s">
        <v>67</v>
      </c>
      <c r="G175" s="22" t="s">
        <v>298</v>
      </c>
      <c r="H175" s="22" t="s">
        <v>384</v>
      </c>
      <c r="I175" s="22" t="s">
        <v>331</v>
      </c>
      <c r="J175" s="22" t="s">
        <v>67</v>
      </c>
      <c r="K175" s="22" t="s">
        <v>812</v>
      </c>
      <c r="L175" s="24" t="s">
        <v>412</v>
      </c>
      <c r="M175" s="24" t="s">
        <v>473</v>
      </c>
      <c r="N175" s="25" t="s">
        <v>613</v>
      </c>
      <c r="O175" s="23" t="s">
        <v>200</v>
      </c>
      <c r="P175" s="22" t="s">
        <v>72</v>
      </c>
      <c r="Q175" s="22"/>
      <c r="R175" s="22"/>
      <c r="S175" s="22"/>
      <c r="T175" s="22">
        <f>ROUND(IF(D175=Table!$C$3,V175*Table!$C$4/8,V175*Table!$D$4/8),3)</f>
        <v>26.244</v>
      </c>
      <c r="U175" s="22">
        <f t="shared" ref="U175:U178" si="17">T175</f>
        <v>26.244</v>
      </c>
      <c r="V175" s="22">
        <v>1.615</v>
      </c>
      <c r="W175" s="22">
        <v>1</v>
      </c>
      <c r="X175" s="22" t="s">
        <v>80</v>
      </c>
      <c r="Y175" s="26">
        <v>43910</v>
      </c>
      <c r="Z175" s="26">
        <v>43920</v>
      </c>
      <c r="AA175" s="26">
        <v>43917</v>
      </c>
      <c r="AB175" s="26">
        <v>43917</v>
      </c>
      <c r="AC175" s="26" t="s">
        <v>201</v>
      </c>
      <c r="AD175" s="114"/>
      <c r="AE175" s="114"/>
      <c r="AF175" s="52">
        <v>1</v>
      </c>
      <c r="AG175" s="52">
        <v>1</v>
      </c>
      <c r="AH175" s="52">
        <v>1</v>
      </c>
      <c r="AI175" s="22"/>
      <c r="AJ175" s="22"/>
      <c r="AK175" s="22"/>
    </row>
    <row r="176" spans="2:37" x14ac:dyDescent="0.25">
      <c r="B176" s="59">
        <v>114</v>
      </c>
      <c r="C176" s="23">
        <v>20200319</v>
      </c>
      <c r="D176" s="22" t="s">
        <v>2</v>
      </c>
      <c r="E176" s="22" t="s">
        <v>452</v>
      </c>
      <c r="F176" s="24" t="s">
        <v>67</v>
      </c>
      <c r="G176" s="22" t="s">
        <v>299</v>
      </c>
      <c r="H176" s="22" t="s">
        <v>385</v>
      </c>
      <c r="I176" s="22" t="s">
        <v>331</v>
      </c>
      <c r="J176" s="22" t="s">
        <v>67</v>
      </c>
      <c r="K176" s="22" t="s">
        <v>812</v>
      </c>
      <c r="L176" s="24" t="s">
        <v>412</v>
      </c>
      <c r="M176" s="24" t="s">
        <v>473</v>
      </c>
      <c r="N176" s="25" t="s">
        <v>614</v>
      </c>
      <c r="O176" s="23" t="s">
        <v>200</v>
      </c>
      <c r="P176" s="22" t="s">
        <v>72</v>
      </c>
      <c r="Q176" s="22"/>
      <c r="R176" s="22"/>
      <c r="S176" s="22"/>
      <c r="T176" s="22">
        <f>ROUND(IF(D176=Table!$C$3,V176*Table!$C$4/8,V176*Table!$D$4/8),3)</f>
        <v>53.869</v>
      </c>
      <c r="U176" s="22">
        <f t="shared" si="17"/>
        <v>53.869</v>
      </c>
      <c r="V176" s="22">
        <v>3.3150000000000004</v>
      </c>
      <c r="W176" s="22">
        <v>1</v>
      </c>
      <c r="X176" s="22" t="s">
        <v>80</v>
      </c>
      <c r="Y176" s="26">
        <v>43910</v>
      </c>
      <c r="Z176" s="26">
        <v>43920</v>
      </c>
      <c r="AA176" s="26">
        <v>43917</v>
      </c>
      <c r="AB176" s="26">
        <v>43917</v>
      </c>
      <c r="AC176" s="26" t="s">
        <v>201</v>
      </c>
      <c r="AD176" s="114"/>
      <c r="AE176" s="114"/>
      <c r="AF176" s="52">
        <v>1</v>
      </c>
      <c r="AG176" s="52">
        <v>1</v>
      </c>
      <c r="AH176" s="52">
        <v>1</v>
      </c>
      <c r="AI176" s="22"/>
      <c r="AJ176" s="22"/>
      <c r="AK176" s="22"/>
    </row>
    <row r="177" spans="2:37" x14ac:dyDescent="0.25">
      <c r="B177" s="59">
        <v>115</v>
      </c>
      <c r="C177" s="23">
        <v>20200319</v>
      </c>
      <c r="D177" s="22" t="s">
        <v>2</v>
      </c>
      <c r="E177" s="22" t="s">
        <v>452</v>
      </c>
      <c r="F177" s="24" t="s">
        <v>67</v>
      </c>
      <c r="G177" s="22" t="s">
        <v>432</v>
      </c>
      <c r="H177" s="22" t="s">
        <v>386</v>
      </c>
      <c r="I177" s="22" t="s">
        <v>331</v>
      </c>
      <c r="J177" s="22" t="s">
        <v>67</v>
      </c>
      <c r="K177" s="22" t="s">
        <v>812</v>
      </c>
      <c r="L177" s="24" t="s">
        <v>412</v>
      </c>
      <c r="M177" s="24" t="s">
        <v>473</v>
      </c>
      <c r="N177" s="25" t="s">
        <v>615</v>
      </c>
      <c r="O177" s="23" t="s">
        <v>200</v>
      </c>
      <c r="P177" s="22" t="s">
        <v>72</v>
      </c>
      <c r="Q177" s="22"/>
      <c r="R177" s="22"/>
      <c r="S177" s="22"/>
      <c r="T177" s="22">
        <f>ROUND(IF(D177=Table!$C$3,V177*Table!$C$4/8,V177*Table!$D$4/8),3)</f>
        <v>26.244</v>
      </c>
      <c r="U177" s="22">
        <f t="shared" si="17"/>
        <v>26.244</v>
      </c>
      <c r="V177" s="22">
        <v>1.615</v>
      </c>
      <c r="W177" s="22">
        <v>1</v>
      </c>
      <c r="X177" s="22" t="s">
        <v>80</v>
      </c>
      <c r="Y177" s="26">
        <v>43910</v>
      </c>
      <c r="Z177" s="26">
        <v>43920</v>
      </c>
      <c r="AA177" s="26">
        <v>43917</v>
      </c>
      <c r="AB177" s="26">
        <v>43917</v>
      </c>
      <c r="AC177" s="26" t="s">
        <v>201</v>
      </c>
      <c r="AD177" s="114"/>
      <c r="AE177" s="114"/>
      <c r="AF177" s="52">
        <v>1</v>
      </c>
      <c r="AG177" s="52">
        <v>1</v>
      </c>
      <c r="AH177" s="52">
        <v>1</v>
      </c>
      <c r="AI177" s="22"/>
      <c r="AJ177" s="22"/>
      <c r="AK177" s="22"/>
    </row>
    <row r="178" spans="2:37" x14ac:dyDescent="0.25">
      <c r="B178" s="59">
        <v>116</v>
      </c>
      <c r="C178" s="23">
        <v>20200319</v>
      </c>
      <c r="D178" s="22" t="s">
        <v>2</v>
      </c>
      <c r="E178" s="22" t="s">
        <v>452</v>
      </c>
      <c r="F178" s="24" t="s">
        <v>67</v>
      </c>
      <c r="G178" s="22" t="s">
        <v>433</v>
      </c>
      <c r="H178" s="22" t="s">
        <v>387</v>
      </c>
      <c r="I178" s="22" t="s">
        <v>331</v>
      </c>
      <c r="J178" s="22" t="s">
        <v>67</v>
      </c>
      <c r="K178" s="22" t="s">
        <v>812</v>
      </c>
      <c r="L178" s="24" t="s">
        <v>413</v>
      </c>
      <c r="M178" s="24" t="s">
        <v>473</v>
      </c>
      <c r="N178" s="25" t="s">
        <v>616</v>
      </c>
      <c r="O178" s="23" t="s">
        <v>200</v>
      </c>
      <c r="P178" s="22" t="s">
        <v>72</v>
      </c>
      <c r="Q178" s="22"/>
      <c r="R178" s="22"/>
      <c r="S178" s="22"/>
      <c r="T178" s="22">
        <f>ROUND(IF(D178=Table!$C$3,V178*Table!$C$4/8,V178*Table!$D$4/8),3)</f>
        <v>26.244</v>
      </c>
      <c r="U178" s="22">
        <f t="shared" si="17"/>
        <v>26.244</v>
      </c>
      <c r="V178" s="22">
        <v>1.615</v>
      </c>
      <c r="W178" s="22">
        <v>1</v>
      </c>
      <c r="X178" s="22" t="s">
        <v>80</v>
      </c>
      <c r="Y178" s="26">
        <v>43910</v>
      </c>
      <c r="Z178" s="26">
        <v>43920</v>
      </c>
      <c r="AA178" s="26">
        <v>43917</v>
      </c>
      <c r="AB178" s="26">
        <v>43917</v>
      </c>
      <c r="AC178" s="26" t="s">
        <v>201</v>
      </c>
      <c r="AD178" s="114"/>
      <c r="AE178" s="114"/>
      <c r="AF178" s="52">
        <v>1</v>
      </c>
      <c r="AG178" s="52">
        <v>1</v>
      </c>
      <c r="AH178" s="52">
        <v>1</v>
      </c>
      <c r="AI178" s="22"/>
      <c r="AJ178" s="22"/>
      <c r="AK178" s="22"/>
    </row>
    <row r="179" spans="2:37" x14ac:dyDescent="0.25">
      <c r="B179" s="59">
        <v>117</v>
      </c>
      <c r="C179" s="23">
        <v>20200319</v>
      </c>
      <c r="D179" s="22" t="s">
        <v>2</v>
      </c>
      <c r="E179" s="22" t="s">
        <v>452</v>
      </c>
      <c r="F179" s="24" t="s">
        <v>67</v>
      </c>
      <c r="G179" s="22" t="s">
        <v>300</v>
      </c>
      <c r="H179" s="22" t="s">
        <v>388</v>
      </c>
      <c r="I179" s="22" t="s">
        <v>331</v>
      </c>
      <c r="J179" s="22" t="s">
        <v>67</v>
      </c>
      <c r="K179" s="22" t="s">
        <v>812</v>
      </c>
      <c r="L179" s="24" t="s">
        <v>412</v>
      </c>
      <c r="M179" s="24" t="s">
        <v>473</v>
      </c>
      <c r="N179" s="25" t="s">
        <v>617</v>
      </c>
      <c r="O179" s="23" t="s">
        <v>200</v>
      </c>
      <c r="P179" s="22" t="s">
        <v>72</v>
      </c>
      <c r="Q179" s="22"/>
      <c r="R179" s="22"/>
      <c r="S179" s="22"/>
      <c r="T179" s="22">
        <f>ROUND(IF(D179=Table!$C$3,V179*Table!$C$4/8,V179*Table!$D$4/8),3)</f>
        <v>59.393999999999998</v>
      </c>
      <c r="U179" s="22">
        <f>T179</f>
        <v>59.393999999999998</v>
      </c>
      <c r="V179" s="22">
        <v>3.6549999999999998</v>
      </c>
      <c r="W179" s="22">
        <v>5</v>
      </c>
      <c r="X179" s="22" t="s">
        <v>80</v>
      </c>
      <c r="Y179" s="26">
        <v>43910</v>
      </c>
      <c r="Z179" s="26">
        <v>43920</v>
      </c>
      <c r="AA179" s="26">
        <v>43914</v>
      </c>
      <c r="AB179" s="26">
        <v>43914</v>
      </c>
      <c r="AC179" s="26" t="s">
        <v>201</v>
      </c>
      <c r="AD179" s="114"/>
      <c r="AE179" s="114"/>
      <c r="AF179" s="52">
        <v>1</v>
      </c>
      <c r="AG179" s="52">
        <v>1</v>
      </c>
      <c r="AH179" s="52" t="s">
        <v>216</v>
      </c>
      <c r="AI179" s="22"/>
      <c r="AJ179" s="22"/>
      <c r="AK179" s="22"/>
    </row>
    <row r="180" spans="2:37" x14ac:dyDescent="0.25">
      <c r="B180" s="59">
        <v>118</v>
      </c>
      <c r="C180" s="23">
        <v>20200319</v>
      </c>
      <c r="D180" s="22" t="s">
        <v>2</v>
      </c>
      <c r="E180" s="22" t="s">
        <v>452</v>
      </c>
      <c r="F180" s="24" t="s">
        <v>67</v>
      </c>
      <c r="G180" s="22" t="s">
        <v>301</v>
      </c>
      <c r="H180" s="22" t="s">
        <v>389</v>
      </c>
      <c r="I180" s="22" t="s">
        <v>424</v>
      </c>
      <c r="J180" s="22" t="s">
        <v>67</v>
      </c>
      <c r="K180" s="22" t="s">
        <v>812</v>
      </c>
      <c r="L180" s="24" t="s">
        <v>416</v>
      </c>
      <c r="M180" s="24" t="s">
        <v>473</v>
      </c>
      <c r="N180" s="25" t="s">
        <v>618</v>
      </c>
      <c r="O180" s="23" t="s">
        <v>200</v>
      </c>
      <c r="P180" s="22" t="s">
        <v>72</v>
      </c>
      <c r="Q180" s="22"/>
      <c r="R180" s="22"/>
      <c r="S180" s="22"/>
      <c r="T180" s="22">
        <f>ROUND(IF(D180=Table!$C$3,V180*Table!$C$4/8,V180*Table!$D$4/8),3)</f>
        <v>158.84399999999999</v>
      </c>
      <c r="U180" s="22">
        <f t="shared" ref="U180:U181" si="18">T180</f>
        <v>158.84399999999999</v>
      </c>
      <c r="V180" s="22">
        <v>9.7750000000000004</v>
      </c>
      <c r="W180" s="22">
        <v>2</v>
      </c>
      <c r="X180" s="22" t="s">
        <v>80</v>
      </c>
      <c r="Y180" s="26">
        <v>43910</v>
      </c>
      <c r="Z180" s="26">
        <v>43920</v>
      </c>
      <c r="AA180" s="26">
        <v>43917</v>
      </c>
      <c r="AB180" s="26">
        <v>43917</v>
      </c>
      <c r="AC180" s="26" t="s">
        <v>201</v>
      </c>
      <c r="AD180" s="114"/>
      <c r="AE180" s="114"/>
      <c r="AF180" s="52">
        <v>1</v>
      </c>
      <c r="AG180" s="52">
        <v>1</v>
      </c>
      <c r="AH180" s="52">
        <v>1</v>
      </c>
      <c r="AI180" s="22"/>
      <c r="AJ180" s="22"/>
      <c r="AK180" s="22"/>
    </row>
    <row r="181" spans="2:37" x14ac:dyDescent="0.25">
      <c r="B181" s="59">
        <v>119</v>
      </c>
      <c r="C181" s="23">
        <v>20200319</v>
      </c>
      <c r="D181" s="22" t="s">
        <v>2</v>
      </c>
      <c r="E181" s="22" t="s">
        <v>452</v>
      </c>
      <c r="F181" s="24" t="s">
        <v>67</v>
      </c>
      <c r="G181" s="22" t="s">
        <v>302</v>
      </c>
      <c r="H181" s="22" t="s">
        <v>390</v>
      </c>
      <c r="I181" s="22" t="s">
        <v>331</v>
      </c>
      <c r="J181" s="22" t="s">
        <v>67</v>
      </c>
      <c r="K181" s="22" t="s">
        <v>812</v>
      </c>
      <c r="L181" s="24" t="s">
        <v>417</v>
      </c>
      <c r="M181" s="24" t="s">
        <v>473</v>
      </c>
      <c r="N181" s="25" t="s">
        <v>619</v>
      </c>
      <c r="O181" s="23" t="s">
        <v>200</v>
      </c>
      <c r="P181" s="22" t="s">
        <v>72</v>
      </c>
      <c r="Q181" s="22"/>
      <c r="R181" s="22"/>
      <c r="S181" s="22"/>
      <c r="T181" s="22">
        <f>ROUND(IF(D181=Table!$C$3,V181*Table!$C$4/8,V181*Table!$D$4/8),3)</f>
        <v>26.244</v>
      </c>
      <c r="U181" s="22">
        <f t="shared" si="18"/>
        <v>26.244</v>
      </c>
      <c r="V181" s="22">
        <v>1.615</v>
      </c>
      <c r="W181" s="22">
        <v>1</v>
      </c>
      <c r="X181" s="22" t="s">
        <v>80</v>
      </c>
      <c r="Y181" s="26">
        <v>43910</v>
      </c>
      <c r="Z181" s="26">
        <v>43920</v>
      </c>
      <c r="AA181" s="26">
        <v>43917</v>
      </c>
      <c r="AB181" s="26">
        <v>43917</v>
      </c>
      <c r="AC181" s="26" t="s">
        <v>201</v>
      </c>
      <c r="AD181" s="114"/>
      <c r="AE181" s="114"/>
      <c r="AF181" s="52">
        <v>1</v>
      </c>
      <c r="AG181" s="52">
        <v>1</v>
      </c>
      <c r="AH181" s="52">
        <v>1</v>
      </c>
      <c r="AI181" s="22"/>
      <c r="AJ181" s="22"/>
      <c r="AK181" s="22"/>
    </row>
    <row r="182" spans="2:37" x14ac:dyDescent="0.25">
      <c r="B182" s="59">
        <v>120</v>
      </c>
      <c r="C182" s="23">
        <v>20200319</v>
      </c>
      <c r="D182" s="22" t="s">
        <v>2</v>
      </c>
      <c r="E182" s="22" t="s">
        <v>452</v>
      </c>
      <c r="F182" s="24" t="s">
        <v>67</v>
      </c>
      <c r="G182" s="22" t="s">
        <v>303</v>
      </c>
      <c r="H182" s="22" t="s">
        <v>391</v>
      </c>
      <c r="I182" s="22" t="s">
        <v>331</v>
      </c>
      <c r="J182" s="22" t="s">
        <v>67</v>
      </c>
      <c r="K182" s="22" t="s">
        <v>812</v>
      </c>
      <c r="L182" s="24" t="s">
        <v>417</v>
      </c>
      <c r="M182" s="24" t="s">
        <v>473</v>
      </c>
      <c r="N182" s="25" t="s">
        <v>620</v>
      </c>
      <c r="O182" s="23" t="s">
        <v>200</v>
      </c>
      <c r="P182" s="22" t="s">
        <v>72</v>
      </c>
      <c r="Q182" s="22"/>
      <c r="R182" s="22"/>
      <c r="S182" s="22"/>
      <c r="T182" s="22">
        <f>ROUND(IF(D182=Table!$C$3,V182*Table!$C$4/8,V182*Table!$D$4/8),3)</f>
        <v>114.64400000000001</v>
      </c>
      <c r="U182" s="22">
        <f>T182</f>
        <v>114.64400000000001</v>
      </c>
      <c r="V182" s="22">
        <v>7.0550000000000006</v>
      </c>
      <c r="W182" s="22">
        <v>6</v>
      </c>
      <c r="X182" s="22" t="s">
        <v>80</v>
      </c>
      <c r="Y182" s="26">
        <v>43910</v>
      </c>
      <c r="Z182" s="26">
        <v>43920</v>
      </c>
      <c r="AA182" s="26">
        <v>43914</v>
      </c>
      <c r="AB182" s="26">
        <v>43914</v>
      </c>
      <c r="AC182" s="26" t="s">
        <v>201</v>
      </c>
      <c r="AD182" s="114"/>
      <c r="AE182" s="114"/>
      <c r="AF182" s="52">
        <v>1</v>
      </c>
      <c r="AG182" s="52">
        <v>1</v>
      </c>
      <c r="AH182" s="52" t="s">
        <v>216</v>
      </c>
      <c r="AI182" s="22"/>
      <c r="AJ182" s="22"/>
      <c r="AK182" s="22"/>
    </row>
    <row r="183" spans="2:37" x14ac:dyDescent="0.25">
      <c r="B183" s="59">
        <v>121</v>
      </c>
      <c r="C183" s="23">
        <v>20200319</v>
      </c>
      <c r="D183" s="22" t="s">
        <v>2</v>
      </c>
      <c r="E183" s="22" t="s">
        <v>452</v>
      </c>
      <c r="F183" s="24" t="s">
        <v>67</v>
      </c>
      <c r="G183" s="22" t="s">
        <v>304</v>
      </c>
      <c r="H183" s="22" t="s">
        <v>392</v>
      </c>
      <c r="I183" s="22" t="s">
        <v>331</v>
      </c>
      <c r="J183" s="22" t="s">
        <v>67</v>
      </c>
      <c r="K183" s="22" t="s">
        <v>812</v>
      </c>
      <c r="L183" s="24" t="s">
        <v>418</v>
      </c>
      <c r="M183" s="24" t="s">
        <v>473</v>
      </c>
      <c r="N183" s="25" t="s">
        <v>621</v>
      </c>
      <c r="O183" s="23" t="s">
        <v>200</v>
      </c>
      <c r="P183" s="22" t="s">
        <v>72</v>
      </c>
      <c r="Q183" s="22"/>
      <c r="R183" s="22"/>
      <c r="S183" s="22"/>
      <c r="T183" s="22">
        <f>ROUND(IF(D183=Table!$C$3,V183*Table!$C$4/8,V183*Table!$D$4/8),3)</f>
        <v>114.64400000000001</v>
      </c>
      <c r="U183" s="22">
        <f>T183</f>
        <v>114.64400000000001</v>
      </c>
      <c r="V183" s="22">
        <v>7.0550000000000006</v>
      </c>
      <c r="W183" s="22">
        <v>6</v>
      </c>
      <c r="X183" s="22" t="s">
        <v>80</v>
      </c>
      <c r="Y183" s="26">
        <v>43910</v>
      </c>
      <c r="Z183" s="26">
        <v>43920</v>
      </c>
      <c r="AA183" s="26">
        <v>43914</v>
      </c>
      <c r="AB183" s="26">
        <v>43914</v>
      </c>
      <c r="AC183" s="26" t="s">
        <v>201</v>
      </c>
      <c r="AD183" s="114"/>
      <c r="AE183" s="114"/>
      <c r="AF183" s="52">
        <v>1</v>
      </c>
      <c r="AG183" s="52">
        <v>1</v>
      </c>
      <c r="AH183" s="52" t="s">
        <v>216</v>
      </c>
      <c r="AI183" s="22"/>
      <c r="AJ183" s="22"/>
      <c r="AK183" s="22"/>
    </row>
    <row r="184" spans="2:37" x14ac:dyDescent="0.25">
      <c r="B184" s="59">
        <v>122</v>
      </c>
      <c r="C184" s="23">
        <v>20200319</v>
      </c>
      <c r="D184" s="22" t="s">
        <v>2</v>
      </c>
      <c r="E184" s="22" t="s">
        <v>452</v>
      </c>
      <c r="F184" s="24" t="s">
        <v>67</v>
      </c>
      <c r="G184" s="22" t="s">
        <v>434</v>
      </c>
      <c r="H184" s="22" t="s">
        <v>393</v>
      </c>
      <c r="I184" s="22" t="s">
        <v>331</v>
      </c>
      <c r="J184" s="22" t="s">
        <v>67</v>
      </c>
      <c r="K184" s="22" t="s">
        <v>812</v>
      </c>
      <c r="L184" s="24" t="s">
        <v>417</v>
      </c>
      <c r="M184" s="24" t="s">
        <v>473</v>
      </c>
      <c r="N184" s="25" t="s">
        <v>622</v>
      </c>
      <c r="O184" s="23" t="s">
        <v>200</v>
      </c>
      <c r="P184" s="22" t="s">
        <v>72</v>
      </c>
      <c r="Q184" s="22"/>
      <c r="R184" s="22"/>
      <c r="S184" s="22"/>
      <c r="T184" s="22">
        <f>ROUND(IF(D184=Table!$C$3,V184*Table!$C$4/8,V184*Table!$D$4/8),3)</f>
        <v>48.344000000000001</v>
      </c>
      <c r="U184" s="22">
        <f t="shared" ref="U184:U227" si="19">T184</f>
        <v>48.344000000000001</v>
      </c>
      <c r="V184" s="22">
        <v>2.9750000000000001</v>
      </c>
      <c r="W184" s="22">
        <v>1</v>
      </c>
      <c r="X184" s="22" t="s">
        <v>80</v>
      </c>
      <c r="Y184" s="26">
        <v>43910</v>
      </c>
      <c r="Z184" s="26">
        <v>43920</v>
      </c>
      <c r="AA184" s="26">
        <v>43917</v>
      </c>
      <c r="AB184" s="26">
        <v>43917</v>
      </c>
      <c r="AC184" s="26" t="s">
        <v>201</v>
      </c>
      <c r="AD184" s="114"/>
      <c r="AE184" s="114"/>
      <c r="AF184" s="52">
        <v>1</v>
      </c>
      <c r="AG184" s="52">
        <v>1</v>
      </c>
      <c r="AH184" s="52">
        <v>1</v>
      </c>
      <c r="AI184" s="22"/>
      <c r="AJ184" s="22"/>
      <c r="AK184" s="22"/>
    </row>
    <row r="185" spans="2:37" x14ac:dyDescent="0.25">
      <c r="B185" s="59">
        <v>123</v>
      </c>
      <c r="C185" s="23">
        <v>20200319</v>
      </c>
      <c r="D185" s="22" t="s">
        <v>2</v>
      </c>
      <c r="E185" s="22" t="s">
        <v>452</v>
      </c>
      <c r="F185" s="24" t="s">
        <v>67</v>
      </c>
      <c r="G185" s="22" t="s">
        <v>435</v>
      </c>
      <c r="H185" s="22" t="s">
        <v>394</v>
      </c>
      <c r="I185" s="22" t="s">
        <v>331</v>
      </c>
      <c r="J185" s="22" t="s">
        <v>67</v>
      </c>
      <c r="K185" s="22" t="s">
        <v>812</v>
      </c>
      <c r="L185" s="24" t="s">
        <v>417</v>
      </c>
      <c r="M185" s="24" t="s">
        <v>473</v>
      </c>
      <c r="N185" s="25" t="s">
        <v>623</v>
      </c>
      <c r="O185" s="23" t="s">
        <v>200</v>
      </c>
      <c r="P185" s="22" t="s">
        <v>72</v>
      </c>
      <c r="Q185" s="22"/>
      <c r="R185" s="22"/>
      <c r="S185" s="22"/>
      <c r="T185" s="22">
        <f>ROUND(IF(D185=Table!$C$3,V185*Table!$C$4/8,V185*Table!$D$4/8),3)</f>
        <v>114.64400000000001</v>
      </c>
      <c r="U185" s="22">
        <f t="shared" si="19"/>
        <v>114.64400000000001</v>
      </c>
      <c r="V185" s="22">
        <v>7.0550000000000006</v>
      </c>
      <c r="W185" s="22">
        <v>2</v>
      </c>
      <c r="X185" s="22" t="s">
        <v>80</v>
      </c>
      <c r="Y185" s="26">
        <v>43910</v>
      </c>
      <c r="Z185" s="26">
        <v>43920</v>
      </c>
      <c r="AA185" s="26">
        <v>43917</v>
      </c>
      <c r="AB185" s="26">
        <v>43917</v>
      </c>
      <c r="AC185" s="26" t="s">
        <v>201</v>
      </c>
      <c r="AD185" s="114"/>
      <c r="AE185" s="114"/>
      <c r="AF185" s="52">
        <v>1</v>
      </c>
      <c r="AG185" s="52">
        <v>1</v>
      </c>
      <c r="AH185" s="52">
        <v>1</v>
      </c>
      <c r="AI185" s="22"/>
      <c r="AJ185" s="22"/>
      <c r="AK185" s="22"/>
    </row>
    <row r="186" spans="2:37" x14ac:dyDescent="0.25">
      <c r="B186" s="59">
        <v>124</v>
      </c>
      <c r="C186" s="23">
        <v>20200319</v>
      </c>
      <c r="D186" s="22" t="s">
        <v>2</v>
      </c>
      <c r="E186" s="22" t="s">
        <v>452</v>
      </c>
      <c r="F186" s="24" t="s">
        <v>67</v>
      </c>
      <c r="G186" s="22" t="s">
        <v>436</v>
      </c>
      <c r="H186" s="22" t="s">
        <v>395</v>
      </c>
      <c r="I186" s="22" t="s">
        <v>331</v>
      </c>
      <c r="J186" s="22" t="s">
        <v>67</v>
      </c>
      <c r="K186" s="22" t="s">
        <v>812</v>
      </c>
      <c r="L186" s="24" t="s">
        <v>417</v>
      </c>
      <c r="M186" s="24" t="s">
        <v>473</v>
      </c>
      <c r="N186" s="25" t="s">
        <v>624</v>
      </c>
      <c r="O186" s="23" t="s">
        <v>200</v>
      </c>
      <c r="P186" s="22" t="s">
        <v>72</v>
      </c>
      <c r="Q186" s="22"/>
      <c r="R186" s="22"/>
      <c r="S186" s="22"/>
      <c r="T186" s="22">
        <f>ROUND(IF(D186=Table!$C$3,V186*Table!$C$4/8,V186*Table!$D$4/8),3)</f>
        <v>26.244</v>
      </c>
      <c r="U186" s="22">
        <f t="shared" si="19"/>
        <v>26.244</v>
      </c>
      <c r="V186" s="22">
        <v>1.615</v>
      </c>
      <c r="W186" s="22">
        <v>2</v>
      </c>
      <c r="X186" s="22" t="s">
        <v>80</v>
      </c>
      <c r="Y186" s="26">
        <v>43910</v>
      </c>
      <c r="Z186" s="26">
        <v>43920</v>
      </c>
      <c r="AA186" s="26">
        <v>43917</v>
      </c>
      <c r="AB186" s="26">
        <v>43917</v>
      </c>
      <c r="AC186" s="26" t="s">
        <v>201</v>
      </c>
      <c r="AD186" s="114"/>
      <c r="AE186" s="114"/>
      <c r="AF186" s="52">
        <v>1</v>
      </c>
      <c r="AG186" s="52">
        <v>1</v>
      </c>
      <c r="AH186" s="52">
        <v>1</v>
      </c>
      <c r="AI186" s="22"/>
      <c r="AJ186" s="22"/>
      <c r="AK186" s="22"/>
    </row>
    <row r="187" spans="2:37" x14ac:dyDescent="0.25">
      <c r="B187" s="59">
        <v>125</v>
      </c>
      <c r="C187" s="23">
        <v>20200319</v>
      </c>
      <c r="D187" s="22" t="s">
        <v>2</v>
      </c>
      <c r="E187" s="22" t="s">
        <v>452</v>
      </c>
      <c r="F187" s="24" t="s">
        <v>67</v>
      </c>
      <c r="G187" s="22" t="s">
        <v>437</v>
      </c>
      <c r="H187" s="22" t="s">
        <v>396</v>
      </c>
      <c r="I187" s="22" t="s">
        <v>331</v>
      </c>
      <c r="J187" s="22" t="s">
        <v>67</v>
      </c>
      <c r="K187" s="22" t="s">
        <v>812</v>
      </c>
      <c r="L187" s="24" t="s">
        <v>417</v>
      </c>
      <c r="M187" s="24" t="s">
        <v>473</v>
      </c>
      <c r="N187" s="25" t="s">
        <v>625</v>
      </c>
      <c r="O187" s="23" t="s">
        <v>200</v>
      </c>
      <c r="P187" s="22" t="s">
        <v>72</v>
      </c>
      <c r="Q187" s="22"/>
      <c r="R187" s="22"/>
      <c r="S187" s="22"/>
      <c r="T187" s="22">
        <f>ROUND(IF(D187=Table!$C$3,V187*Table!$C$4/8,V187*Table!$D$4/8),3)</f>
        <v>26.244</v>
      </c>
      <c r="U187" s="22">
        <f t="shared" si="19"/>
        <v>26.244</v>
      </c>
      <c r="V187" s="22">
        <v>1.615</v>
      </c>
      <c r="W187" s="22">
        <v>1</v>
      </c>
      <c r="X187" s="22" t="s">
        <v>80</v>
      </c>
      <c r="Y187" s="26">
        <v>43910</v>
      </c>
      <c r="Z187" s="26">
        <v>43920</v>
      </c>
      <c r="AA187" s="26">
        <v>43917</v>
      </c>
      <c r="AB187" s="26">
        <v>43917</v>
      </c>
      <c r="AC187" s="26" t="s">
        <v>201</v>
      </c>
      <c r="AD187" s="114"/>
      <c r="AE187" s="114"/>
      <c r="AF187" s="52">
        <v>1</v>
      </c>
      <c r="AG187" s="52">
        <v>1</v>
      </c>
      <c r="AH187" s="52">
        <v>1</v>
      </c>
      <c r="AI187" s="22"/>
      <c r="AJ187" s="22"/>
      <c r="AK187" s="22"/>
    </row>
    <row r="188" spans="2:37" x14ac:dyDescent="0.25">
      <c r="B188" s="59">
        <v>126</v>
      </c>
      <c r="C188" s="23">
        <v>20200319</v>
      </c>
      <c r="D188" s="22" t="s">
        <v>2</v>
      </c>
      <c r="E188" s="22" t="s">
        <v>452</v>
      </c>
      <c r="F188" s="24" t="s">
        <v>67</v>
      </c>
      <c r="G188" s="22" t="s">
        <v>438</v>
      </c>
      <c r="H188" s="22" t="s">
        <v>397</v>
      </c>
      <c r="I188" s="22" t="s">
        <v>331</v>
      </c>
      <c r="J188" s="22" t="s">
        <v>67</v>
      </c>
      <c r="K188" s="22" t="s">
        <v>812</v>
      </c>
      <c r="L188" s="24" t="s">
        <v>417</v>
      </c>
      <c r="M188" s="24" t="s">
        <v>473</v>
      </c>
      <c r="N188" s="25" t="s">
        <v>626</v>
      </c>
      <c r="O188" s="23" t="s">
        <v>651</v>
      </c>
      <c r="P188" s="22" t="s">
        <v>71</v>
      </c>
      <c r="Q188" s="22"/>
      <c r="R188" s="22"/>
      <c r="S188" s="22"/>
      <c r="T188" s="22">
        <f>ROUND(IF(D188=Table!$C$3,V188*Table!$C$4/8,V188*Table!$D$4/8),3)</f>
        <v>81.494</v>
      </c>
      <c r="U188" s="22">
        <f t="shared" si="19"/>
        <v>81.494</v>
      </c>
      <c r="V188" s="22">
        <v>5.0150000000000006</v>
      </c>
      <c r="W188" s="22">
        <v>10</v>
      </c>
      <c r="X188" s="22" t="s">
        <v>79</v>
      </c>
      <c r="Y188" s="26">
        <v>43910</v>
      </c>
      <c r="Z188" s="26">
        <v>43920</v>
      </c>
      <c r="AA188" s="26">
        <v>43914</v>
      </c>
      <c r="AB188" s="26">
        <v>43914</v>
      </c>
      <c r="AC188" s="26" t="s">
        <v>202</v>
      </c>
      <c r="AD188" s="114"/>
      <c r="AE188" s="114"/>
      <c r="AF188" s="76">
        <v>1</v>
      </c>
      <c r="AG188" s="76">
        <v>1</v>
      </c>
      <c r="AH188" s="52">
        <v>1</v>
      </c>
      <c r="AI188" s="22" t="s">
        <v>216</v>
      </c>
      <c r="AJ188" s="22"/>
      <c r="AK188" s="22" t="s">
        <v>216</v>
      </c>
    </row>
    <row r="189" spans="2:37" x14ac:dyDescent="0.25">
      <c r="B189" s="59">
        <v>127</v>
      </c>
      <c r="C189" s="23">
        <v>20200319</v>
      </c>
      <c r="D189" s="22" t="s">
        <v>2</v>
      </c>
      <c r="E189" s="22" t="s">
        <v>452</v>
      </c>
      <c r="F189" s="24" t="s">
        <v>67</v>
      </c>
      <c r="G189" s="22" t="s">
        <v>439</v>
      </c>
      <c r="H189" s="22" t="s">
        <v>398</v>
      </c>
      <c r="I189" s="22" t="s">
        <v>331</v>
      </c>
      <c r="J189" s="22" t="s">
        <v>67</v>
      </c>
      <c r="K189" s="22" t="s">
        <v>812</v>
      </c>
      <c r="L189" s="24" t="s">
        <v>417</v>
      </c>
      <c r="M189" s="24" t="s">
        <v>473</v>
      </c>
      <c r="N189" s="25" t="s">
        <v>627</v>
      </c>
      <c r="O189" s="23" t="s">
        <v>651</v>
      </c>
      <c r="P189" s="22" t="s">
        <v>71</v>
      </c>
      <c r="Q189" s="22"/>
      <c r="R189" s="22"/>
      <c r="S189" s="22"/>
      <c r="T189" s="22">
        <f>ROUND(IF(D189=Table!$C$3,V189*Table!$C$4/8,V189*Table!$D$4/8),3)</f>
        <v>59.393999999999998</v>
      </c>
      <c r="U189" s="22">
        <f t="shared" si="19"/>
        <v>59.393999999999998</v>
      </c>
      <c r="V189" s="22">
        <v>3.6549999999999998</v>
      </c>
      <c r="W189" s="22">
        <v>3</v>
      </c>
      <c r="X189" s="22" t="s">
        <v>79</v>
      </c>
      <c r="Y189" s="26">
        <v>43910</v>
      </c>
      <c r="Z189" s="26">
        <v>43920</v>
      </c>
      <c r="AA189" s="26">
        <v>43914</v>
      </c>
      <c r="AB189" s="26">
        <v>43914</v>
      </c>
      <c r="AC189" s="26" t="s">
        <v>201</v>
      </c>
      <c r="AD189" s="114"/>
      <c r="AE189" s="114"/>
      <c r="AF189" s="76">
        <v>0.82899999999999996</v>
      </c>
      <c r="AG189" s="76">
        <v>0.84599999999999997</v>
      </c>
      <c r="AH189" s="52">
        <v>1</v>
      </c>
      <c r="AI189" s="22" t="s">
        <v>716</v>
      </c>
      <c r="AJ189" s="22"/>
      <c r="AK189" s="22" t="s">
        <v>216</v>
      </c>
    </row>
    <row r="190" spans="2:37" x14ac:dyDescent="0.25">
      <c r="B190" s="59">
        <v>128</v>
      </c>
      <c r="C190" s="23">
        <v>20200319</v>
      </c>
      <c r="D190" s="22" t="s">
        <v>2</v>
      </c>
      <c r="E190" s="22" t="s">
        <v>452</v>
      </c>
      <c r="F190" s="24" t="s">
        <v>67</v>
      </c>
      <c r="G190" s="22" t="s">
        <v>440</v>
      </c>
      <c r="H190" s="22" t="s">
        <v>399</v>
      </c>
      <c r="I190" s="22" t="s">
        <v>331</v>
      </c>
      <c r="J190" s="22" t="s">
        <v>67</v>
      </c>
      <c r="K190" s="22" t="s">
        <v>812</v>
      </c>
      <c r="L190" s="24" t="s">
        <v>417</v>
      </c>
      <c r="M190" s="24" t="s">
        <v>473</v>
      </c>
      <c r="N190" s="25" t="s">
        <v>628</v>
      </c>
      <c r="O190" s="23" t="s">
        <v>651</v>
      </c>
      <c r="P190" s="22" t="s">
        <v>71</v>
      </c>
      <c r="Q190" s="22"/>
      <c r="R190" s="22"/>
      <c r="S190" s="22"/>
      <c r="T190" s="22">
        <f>ROUND(IF(D190=Table!$C$3,V190*Table!$C$4/8,V190*Table!$D$4/8),3)</f>
        <v>53.869</v>
      </c>
      <c r="U190" s="22">
        <f t="shared" si="19"/>
        <v>53.869</v>
      </c>
      <c r="V190" s="22">
        <v>3.3150000000000004</v>
      </c>
      <c r="W190" s="22">
        <v>4</v>
      </c>
      <c r="X190" s="22" t="s">
        <v>79</v>
      </c>
      <c r="Y190" s="26">
        <v>43910</v>
      </c>
      <c r="Z190" s="26">
        <v>43920</v>
      </c>
      <c r="AA190" s="26">
        <v>43915</v>
      </c>
      <c r="AB190" s="26">
        <v>43915</v>
      </c>
      <c r="AC190" s="26" t="s">
        <v>201</v>
      </c>
      <c r="AD190" s="114"/>
      <c r="AE190" s="114"/>
      <c r="AF190" s="52">
        <v>0.78800000000000003</v>
      </c>
      <c r="AG190" s="52">
        <v>0.78800000000000003</v>
      </c>
      <c r="AH190" s="52">
        <v>0.93300000000000005</v>
      </c>
      <c r="AI190" s="22" t="s">
        <v>717</v>
      </c>
      <c r="AJ190" s="22"/>
      <c r="AK190" s="22" t="s">
        <v>216</v>
      </c>
    </row>
    <row r="191" spans="2:37" x14ac:dyDescent="0.25">
      <c r="B191" s="59">
        <v>129</v>
      </c>
      <c r="C191" s="23">
        <v>20200319</v>
      </c>
      <c r="D191" s="22" t="s">
        <v>2</v>
      </c>
      <c r="E191" s="22" t="s">
        <v>452</v>
      </c>
      <c r="F191" s="24" t="s">
        <v>67</v>
      </c>
      <c r="G191" s="22" t="s">
        <v>441</v>
      </c>
      <c r="H191" s="22" t="s">
        <v>400</v>
      </c>
      <c r="I191" s="22" t="s">
        <v>331</v>
      </c>
      <c r="J191" s="22" t="s">
        <v>67</v>
      </c>
      <c r="K191" s="22" t="s">
        <v>812</v>
      </c>
      <c r="L191" s="24" t="s">
        <v>417</v>
      </c>
      <c r="M191" s="24" t="s">
        <v>473</v>
      </c>
      <c r="N191" s="25" t="s">
        <v>629</v>
      </c>
      <c r="O191" s="23" t="s">
        <v>651</v>
      </c>
      <c r="P191" s="22" t="s">
        <v>71</v>
      </c>
      <c r="Q191" s="22"/>
      <c r="R191" s="22"/>
      <c r="S191" s="22"/>
      <c r="T191" s="22">
        <f>ROUND(IF(D191=Table!$C$3,V191*Table!$C$4/8,V191*Table!$D$4/8),3)</f>
        <v>26.244</v>
      </c>
      <c r="U191" s="22">
        <f t="shared" si="19"/>
        <v>26.244</v>
      </c>
      <c r="V191" s="22">
        <v>1.615</v>
      </c>
      <c r="W191" s="22">
        <v>5</v>
      </c>
      <c r="X191" s="22" t="s">
        <v>79</v>
      </c>
      <c r="Y191" s="26">
        <v>43910</v>
      </c>
      <c r="Z191" s="26">
        <v>43920</v>
      </c>
      <c r="AA191" s="26">
        <v>43915</v>
      </c>
      <c r="AB191" s="26">
        <v>43915</v>
      </c>
      <c r="AC191" s="26" t="s">
        <v>201</v>
      </c>
      <c r="AD191" s="114"/>
      <c r="AE191" s="114"/>
      <c r="AF191" s="52">
        <v>0.81</v>
      </c>
      <c r="AG191" s="52">
        <v>0.81</v>
      </c>
      <c r="AH191" s="52">
        <v>1</v>
      </c>
      <c r="AI191" s="22" t="s">
        <v>718</v>
      </c>
      <c r="AJ191" s="22"/>
      <c r="AK191" s="22" t="s">
        <v>216</v>
      </c>
    </row>
    <row r="192" spans="2:37" x14ac:dyDescent="0.25">
      <c r="B192" s="59">
        <v>130</v>
      </c>
      <c r="C192" s="23">
        <v>20200319</v>
      </c>
      <c r="D192" s="22" t="s">
        <v>2</v>
      </c>
      <c r="E192" s="22" t="s">
        <v>452</v>
      </c>
      <c r="F192" s="24" t="s">
        <v>67</v>
      </c>
      <c r="G192" s="22" t="s">
        <v>442</v>
      </c>
      <c r="H192" s="22" t="s">
        <v>401</v>
      </c>
      <c r="I192" s="22" t="s">
        <v>331</v>
      </c>
      <c r="J192" s="22" t="s">
        <v>67</v>
      </c>
      <c r="K192" s="22" t="s">
        <v>812</v>
      </c>
      <c r="L192" s="24" t="s">
        <v>417</v>
      </c>
      <c r="M192" s="24" t="s">
        <v>473</v>
      </c>
      <c r="N192" s="25" t="s">
        <v>630</v>
      </c>
      <c r="O192" s="23" t="s">
        <v>651</v>
      </c>
      <c r="P192" s="22" t="s">
        <v>71</v>
      </c>
      <c r="Q192" s="22"/>
      <c r="R192" s="22"/>
      <c r="S192" s="22"/>
      <c r="T192" s="22">
        <f>ROUND(IF(D192=Table!$C$3,V192*Table!$C$4/8,V192*Table!$D$4/8),3)</f>
        <v>203.04400000000001</v>
      </c>
      <c r="U192" s="22">
        <f t="shared" si="19"/>
        <v>203.04400000000001</v>
      </c>
      <c r="V192" s="22">
        <v>12.494999999999999</v>
      </c>
      <c r="W192" s="22">
        <v>8</v>
      </c>
      <c r="X192" s="22" t="s">
        <v>79</v>
      </c>
      <c r="Y192" s="26">
        <v>43910</v>
      </c>
      <c r="Z192" s="26">
        <v>43920</v>
      </c>
      <c r="AA192" s="26">
        <v>43921</v>
      </c>
      <c r="AB192" s="26">
        <v>43921</v>
      </c>
      <c r="AC192" s="26" t="s">
        <v>202</v>
      </c>
      <c r="AD192" s="114"/>
      <c r="AE192" s="114"/>
      <c r="AF192" s="52">
        <v>0.754</v>
      </c>
      <c r="AG192" s="52">
        <v>0.754</v>
      </c>
      <c r="AH192" s="52">
        <v>0.32700000000000001</v>
      </c>
      <c r="AI192" s="22" t="s">
        <v>719</v>
      </c>
      <c r="AJ192" s="22"/>
      <c r="AK192" s="22" t="s">
        <v>216</v>
      </c>
    </row>
    <row r="193" spans="2:37" x14ac:dyDescent="0.25">
      <c r="B193" s="59">
        <v>131</v>
      </c>
      <c r="C193" s="23">
        <v>20200319</v>
      </c>
      <c r="D193" s="22" t="s">
        <v>2</v>
      </c>
      <c r="E193" s="22" t="s">
        <v>452</v>
      </c>
      <c r="F193" s="24" t="s">
        <v>67</v>
      </c>
      <c r="G193" s="22" t="s">
        <v>443</v>
      </c>
      <c r="H193" s="22" t="s">
        <v>402</v>
      </c>
      <c r="I193" s="22" t="s">
        <v>331</v>
      </c>
      <c r="J193" s="22" t="s">
        <v>67</v>
      </c>
      <c r="K193" s="22" t="s">
        <v>812</v>
      </c>
      <c r="L193" s="24" t="s">
        <v>413</v>
      </c>
      <c r="M193" s="24" t="s">
        <v>473</v>
      </c>
      <c r="N193" s="25" t="s">
        <v>631</v>
      </c>
      <c r="O193" s="23" t="s">
        <v>651</v>
      </c>
      <c r="P193" s="22" t="s">
        <v>71</v>
      </c>
      <c r="Q193" s="22"/>
      <c r="R193" s="22"/>
      <c r="S193" s="22"/>
      <c r="T193" s="22">
        <f>ROUND(IF(D193=Table!$C$3,V193*Table!$C$4/8,V193*Table!$D$4/8),3)</f>
        <v>64.918999999999997</v>
      </c>
      <c r="U193" s="22">
        <f t="shared" si="19"/>
        <v>64.918999999999997</v>
      </c>
      <c r="V193" s="22">
        <v>3.9950000000000001</v>
      </c>
      <c r="W193" s="22">
        <v>3</v>
      </c>
      <c r="X193" s="22" t="s">
        <v>79</v>
      </c>
      <c r="Y193" s="26">
        <v>43910</v>
      </c>
      <c r="Z193" s="26">
        <v>43920</v>
      </c>
      <c r="AA193" s="26">
        <v>43920</v>
      </c>
      <c r="AB193" s="26">
        <v>43920</v>
      </c>
      <c r="AC193" s="26" t="s">
        <v>201</v>
      </c>
      <c r="AD193" s="114"/>
      <c r="AE193" s="114"/>
      <c r="AF193" s="52">
        <v>0.86399999999999999</v>
      </c>
      <c r="AG193" s="52">
        <v>0.86399999999999999</v>
      </c>
      <c r="AH193" s="52">
        <v>0.5</v>
      </c>
      <c r="AI193" s="22" t="s">
        <v>714</v>
      </c>
      <c r="AJ193" s="22"/>
      <c r="AK193" s="22"/>
    </row>
    <row r="194" spans="2:37" x14ac:dyDescent="0.25">
      <c r="B194" s="59">
        <v>132</v>
      </c>
      <c r="C194" s="23">
        <v>20200319</v>
      </c>
      <c r="D194" s="22" t="s">
        <v>2</v>
      </c>
      <c r="E194" s="22" t="s">
        <v>452</v>
      </c>
      <c r="F194" s="24" t="s">
        <v>67</v>
      </c>
      <c r="G194" s="22" t="s">
        <v>444</v>
      </c>
      <c r="H194" s="22" t="s">
        <v>403</v>
      </c>
      <c r="I194" s="22" t="s">
        <v>331</v>
      </c>
      <c r="J194" s="22" t="s">
        <v>67</v>
      </c>
      <c r="K194" s="22" t="s">
        <v>812</v>
      </c>
      <c r="L194" s="24" t="s">
        <v>419</v>
      </c>
      <c r="M194" s="24" t="s">
        <v>473</v>
      </c>
      <c r="N194" s="25" t="s">
        <v>632</v>
      </c>
      <c r="O194" s="23" t="s">
        <v>651</v>
      </c>
      <c r="P194" s="22" t="s">
        <v>71</v>
      </c>
      <c r="Q194" s="22"/>
      <c r="R194" s="22"/>
      <c r="S194" s="22"/>
      <c r="T194" s="22">
        <f>ROUND(IF(D194=Table!$C$3,V194*Table!$C$4/8,V194*Table!$D$4/8),3)</f>
        <v>37.293999999999997</v>
      </c>
      <c r="U194" s="22">
        <f t="shared" si="19"/>
        <v>37.293999999999997</v>
      </c>
      <c r="V194" s="22">
        <v>2.2949999999999999</v>
      </c>
      <c r="W194" s="22">
        <v>6</v>
      </c>
      <c r="X194" s="22" t="s">
        <v>79</v>
      </c>
      <c r="Y194" s="26">
        <v>43910</v>
      </c>
      <c r="Z194" s="26">
        <v>43920</v>
      </c>
      <c r="AA194" s="26">
        <v>43916</v>
      </c>
      <c r="AB194" s="26">
        <v>43916</v>
      </c>
      <c r="AC194" s="26" t="s">
        <v>201</v>
      </c>
      <c r="AD194" s="114"/>
      <c r="AE194" s="114"/>
      <c r="AF194" s="52">
        <v>1</v>
      </c>
      <c r="AG194" s="52">
        <v>1</v>
      </c>
      <c r="AH194" s="52">
        <v>1</v>
      </c>
      <c r="AI194" s="22" t="s">
        <v>216</v>
      </c>
      <c r="AJ194" s="22"/>
      <c r="AK194" s="22" t="s">
        <v>216</v>
      </c>
    </row>
    <row r="195" spans="2:37" x14ac:dyDescent="0.25">
      <c r="B195" s="59">
        <v>133</v>
      </c>
      <c r="C195" s="23">
        <v>20200319</v>
      </c>
      <c r="D195" s="22" t="s">
        <v>2</v>
      </c>
      <c r="E195" s="22" t="s">
        <v>452</v>
      </c>
      <c r="F195" s="24" t="s">
        <v>67</v>
      </c>
      <c r="G195" s="22" t="s">
        <v>445</v>
      </c>
      <c r="H195" s="22" t="s">
        <v>404</v>
      </c>
      <c r="I195" s="22" t="s">
        <v>331</v>
      </c>
      <c r="J195" s="22" t="s">
        <v>67</v>
      </c>
      <c r="K195" s="22" t="s">
        <v>812</v>
      </c>
      <c r="L195" s="24" t="s">
        <v>420</v>
      </c>
      <c r="M195" s="24" t="s">
        <v>473</v>
      </c>
      <c r="N195" s="25" t="s">
        <v>633</v>
      </c>
      <c r="O195" s="23" t="s">
        <v>651</v>
      </c>
      <c r="P195" s="22" t="s">
        <v>71</v>
      </c>
      <c r="Q195" s="22"/>
      <c r="R195" s="22"/>
      <c r="S195" s="22"/>
      <c r="T195" s="22">
        <f>ROUND(IF(D195=Table!$C$3,V195*Table!$C$4/8,V195*Table!$D$4/8),3)</f>
        <v>26.244</v>
      </c>
      <c r="U195" s="22">
        <f t="shared" si="19"/>
        <v>26.244</v>
      </c>
      <c r="V195" s="22">
        <v>1.615</v>
      </c>
      <c r="W195" s="22">
        <v>3</v>
      </c>
      <c r="X195" s="22" t="s">
        <v>99</v>
      </c>
      <c r="Y195" s="26">
        <v>43910</v>
      </c>
      <c r="Z195" s="26">
        <v>43920</v>
      </c>
      <c r="AA195" s="26">
        <v>43916</v>
      </c>
      <c r="AB195" s="26">
        <v>43916</v>
      </c>
      <c r="AC195" s="26" t="s">
        <v>201</v>
      </c>
      <c r="AD195" s="114"/>
      <c r="AE195" s="114"/>
      <c r="AF195" s="52">
        <v>0.83299999999999996</v>
      </c>
      <c r="AG195" s="52">
        <v>0.83299999999999996</v>
      </c>
      <c r="AH195" s="52" t="s">
        <v>216</v>
      </c>
      <c r="AI195" s="22" t="s">
        <v>720</v>
      </c>
      <c r="AJ195" s="22"/>
      <c r="AK195" s="22" t="s">
        <v>216</v>
      </c>
    </row>
    <row r="196" spans="2:37" x14ac:dyDescent="0.25">
      <c r="B196" s="59">
        <v>134</v>
      </c>
      <c r="C196" s="23">
        <v>20200319</v>
      </c>
      <c r="D196" s="22" t="s">
        <v>2</v>
      </c>
      <c r="E196" s="22" t="s">
        <v>452</v>
      </c>
      <c r="F196" s="24" t="s">
        <v>67</v>
      </c>
      <c r="G196" s="22" t="s">
        <v>446</v>
      </c>
      <c r="H196" s="22" t="s">
        <v>405</v>
      </c>
      <c r="I196" s="22" t="s">
        <v>331</v>
      </c>
      <c r="J196" s="22" t="s">
        <v>67</v>
      </c>
      <c r="K196" s="22" t="s">
        <v>812</v>
      </c>
      <c r="L196" s="24" t="s">
        <v>421</v>
      </c>
      <c r="M196" s="24" t="s">
        <v>473</v>
      </c>
      <c r="N196" s="25" t="s">
        <v>634</v>
      </c>
      <c r="O196" s="23" t="s">
        <v>651</v>
      </c>
      <c r="P196" s="22" t="s">
        <v>71</v>
      </c>
      <c r="Q196" s="22"/>
      <c r="R196" s="22"/>
      <c r="S196" s="22"/>
      <c r="T196" s="22">
        <f>ROUND(IF(D196=Table!$C$3,V196*Table!$C$4/8,V196*Table!$D$4/8),3)</f>
        <v>26.244</v>
      </c>
      <c r="U196" s="22">
        <f t="shared" si="19"/>
        <v>26.244</v>
      </c>
      <c r="V196" s="22">
        <v>1.615</v>
      </c>
      <c r="W196" s="22">
        <v>4</v>
      </c>
      <c r="X196" s="22" t="s">
        <v>79</v>
      </c>
      <c r="Y196" s="26">
        <v>43910</v>
      </c>
      <c r="Z196" s="26">
        <v>43920</v>
      </c>
      <c r="AA196" s="26">
        <v>43917</v>
      </c>
      <c r="AB196" s="26">
        <v>43917</v>
      </c>
      <c r="AC196" s="26" t="s">
        <v>201</v>
      </c>
      <c r="AD196" s="114"/>
      <c r="AE196" s="114"/>
      <c r="AF196" s="52">
        <v>0.77300000000000002</v>
      </c>
      <c r="AG196" s="52">
        <v>0.77300000000000002</v>
      </c>
      <c r="AH196" s="52" t="s">
        <v>216</v>
      </c>
      <c r="AI196" s="22" t="s">
        <v>721</v>
      </c>
      <c r="AJ196" s="22"/>
      <c r="AK196" s="22" t="s">
        <v>216</v>
      </c>
    </row>
    <row r="197" spans="2:37" x14ac:dyDescent="0.25">
      <c r="B197" s="59">
        <v>135</v>
      </c>
      <c r="C197" s="23">
        <v>20200319</v>
      </c>
      <c r="D197" s="22" t="s">
        <v>2</v>
      </c>
      <c r="E197" s="22" t="s">
        <v>452</v>
      </c>
      <c r="F197" s="24" t="s">
        <v>67</v>
      </c>
      <c r="G197" s="22" t="s">
        <v>447</v>
      </c>
      <c r="H197" s="22" t="s">
        <v>406</v>
      </c>
      <c r="I197" s="22" t="s">
        <v>331</v>
      </c>
      <c r="J197" s="22" t="s">
        <v>67</v>
      </c>
      <c r="K197" s="22" t="s">
        <v>812</v>
      </c>
      <c r="L197" s="24" t="s">
        <v>419</v>
      </c>
      <c r="M197" s="24" t="s">
        <v>473</v>
      </c>
      <c r="N197" s="25" t="s">
        <v>635</v>
      </c>
      <c r="O197" s="23" t="s">
        <v>651</v>
      </c>
      <c r="P197" s="22" t="s">
        <v>71</v>
      </c>
      <c r="Q197" s="22"/>
      <c r="R197" s="22"/>
      <c r="S197" s="22"/>
      <c r="T197" s="22">
        <f>ROUND(IF(D197=Table!$C$3,V197*Table!$C$4/8,V197*Table!$D$4/8),3)</f>
        <v>59.393999999999998</v>
      </c>
      <c r="U197" s="22">
        <f t="shared" si="19"/>
        <v>59.393999999999998</v>
      </c>
      <c r="V197" s="22">
        <v>3.6549999999999998</v>
      </c>
      <c r="W197" s="22">
        <v>4</v>
      </c>
      <c r="X197" s="22" t="s">
        <v>79</v>
      </c>
      <c r="Y197" s="26">
        <v>43910</v>
      </c>
      <c r="Z197" s="26">
        <v>43920</v>
      </c>
      <c r="AA197" s="26">
        <v>43917</v>
      </c>
      <c r="AB197" s="26">
        <v>43917</v>
      </c>
      <c r="AC197" s="26" t="s">
        <v>201</v>
      </c>
      <c r="AD197" s="114"/>
      <c r="AE197" s="114"/>
      <c r="AF197" s="52">
        <v>0.75800000000000001</v>
      </c>
      <c r="AG197" s="52">
        <v>0.75800000000000001</v>
      </c>
      <c r="AH197" s="52" t="s">
        <v>216</v>
      </c>
      <c r="AI197" s="22" t="s">
        <v>722</v>
      </c>
      <c r="AJ197" s="22"/>
      <c r="AK197" s="22" t="s">
        <v>216</v>
      </c>
    </row>
    <row r="198" spans="2:37" x14ac:dyDescent="0.25">
      <c r="B198" s="59">
        <v>136</v>
      </c>
      <c r="C198" s="23">
        <v>20200319</v>
      </c>
      <c r="D198" s="22" t="s">
        <v>2</v>
      </c>
      <c r="E198" s="22" t="s">
        <v>452</v>
      </c>
      <c r="F198" s="24" t="s">
        <v>67</v>
      </c>
      <c r="G198" s="22" t="s">
        <v>448</v>
      </c>
      <c r="H198" s="22" t="s">
        <v>407</v>
      </c>
      <c r="I198" s="22" t="s">
        <v>331</v>
      </c>
      <c r="J198" s="22" t="s">
        <v>67</v>
      </c>
      <c r="K198" s="22" t="s">
        <v>812</v>
      </c>
      <c r="L198" s="24" t="s">
        <v>419</v>
      </c>
      <c r="M198" s="24" t="s">
        <v>473</v>
      </c>
      <c r="N198" s="25" t="s">
        <v>636</v>
      </c>
      <c r="O198" s="23" t="s">
        <v>651</v>
      </c>
      <c r="P198" s="22" t="s">
        <v>71</v>
      </c>
      <c r="Q198" s="22"/>
      <c r="R198" s="22"/>
      <c r="S198" s="22"/>
      <c r="T198" s="22">
        <f>ROUND(IF(D198=Table!$C$3,V198*Table!$C$4/8,V198*Table!$D$4/8),3)</f>
        <v>48.344000000000001</v>
      </c>
      <c r="U198" s="22">
        <f t="shared" si="19"/>
        <v>48.344000000000001</v>
      </c>
      <c r="V198" s="22">
        <v>2.9750000000000001</v>
      </c>
      <c r="W198" s="22">
        <v>4</v>
      </c>
      <c r="X198" s="22" t="s">
        <v>79</v>
      </c>
      <c r="Y198" s="26">
        <v>43910</v>
      </c>
      <c r="Z198" s="26">
        <v>43920</v>
      </c>
      <c r="AA198" s="26">
        <v>43920</v>
      </c>
      <c r="AB198" s="26">
        <v>43920</v>
      </c>
      <c r="AC198" s="26" t="s">
        <v>201</v>
      </c>
      <c r="AD198" s="114"/>
      <c r="AE198" s="114"/>
      <c r="AF198" s="52">
        <v>0.84</v>
      </c>
      <c r="AG198" s="52">
        <v>0.84</v>
      </c>
      <c r="AH198" s="52">
        <v>0.64</v>
      </c>
      <c r="AI198" s="22"/>
      <c r="AJ198" s="22"/>
      <c r="AK198" s="22"/>
    </row>
    <row r="199" spans="2:37" x14ac:dyDescent="0.25">
      <c r="B199" s="59">
        <v>137</v>
      </c>
      <c r="C199" s="23">
        <v>20200319</v>
      </c>
      <c r="D199" s="22" t="s">
        <v>2</v>
      </c>
      <c r="E199" s="22" t="s">
        <v>452</v>
      </c>
      <c r="F199" s="24" t="s">
        <v>67</v>
      </c>
      <c r="G199" s="22" t="s">
        <v>449</v>
      </c>
      <c r="H199" s="22" t="s">
        <v>408</v>
      </c>
      <c r="I199" s="22" t="s">
        <v>331</v>
      </c>
      <c r="J199" s="22" t="s">
        <v>67</v>
      </c>
      <c r="K199" s="22" t="s">
        <v>812</v>
      </c>
      <c r="L199" s="24" t="s">
        <v>419</v>
      </c>
      <c r="M199" s="24" t="s">
        <v>473</v>
      </c>
      <c r="N199" s="25" t="s">
        <v>637</v>
      </c>
      <c r="O199" s="23" t="s">
        <v>651</v>
      </c>
      <c r="P199" s="22" t="s">
        <v>71</v>
      </c>
      <c r="Q199" s="22"/>
      <c r="R199" s="22"/>
      <c r="S199" s="22"/>
      <c r="T199" s="22">
        <f>ROUND(IF(D199=Table!$C$3,V199*Table!$C$4/8,V199*Table!$D$4/8),3)</f>
        <v>48.344000000000001</v>
      </c>
      <c r="U199" s="22">
        <f t="shared" si="19"/>
        <v>48.344000000000001</v>
      </c>
      <c r="V199" s="22">
        <v>2.9750000000000001</v>
      </c>
      <c r="W199" s="22">
        <v>4</v>
      </c>
      <c r="X199" s="22" t="s">
        <v>79</v>
      </c>
      <c r="Y199" s="26">
        <v>43910</v>
      </c>
      <c r="Z199" s="26">
        <v>43920</v>
      </c>
      <c r="AA199" s="26">
        <v>43920</v>
      </c>
      <c r="AB199" s="26">
        <v>43920</v>
      </c>
      <c r="AC199" s="26" t="s">
        <v>201</v>
      </c>
      <c r="AD199" s="114"/>
      <c r="AE199" s="114"/>
      <c r="AF199" s="52">
        <v>0.91700000000000004</v>
      </c>
      <c r="AG199" s="52">
        <v>0.91700000000000004</v>
      </c>
      <c r="AH199" s="52" t="s">
        <v>216</v>
      </c>
      <c r="AI199" s="22" t="s">
        <v>723</v>
      </c>
      <c r="AJ199" s="22"/>
      <c r="AK199" s="22" t="s">
        <v>216</v>
      </c>
    </row>
    <row r="200" spans="2:37" x14ac:dyDescent="0.25">
      <c r="B200" s="59">
        <v>138</v>
      </c>
      <c r="C200" s="23">
        <v>20200319</v>
      </c>
      <c r="D200" s="22" t="s">
        <v>2</v>
      </c>
      <c r="E200" s="22" t="s">
        <v>452</v>
      </c>
      <c r="F200" s="24" t="s">
        <v>67</v>
      </c>
      <c r="G200" s="22" t="s">
        <v>450</v>
      </c>
      <c r="H200" s="22" t="s">
        <v>409</v>
      </c>
      <c r="I200" s="22" t="s">
        <v>331</v>
      </c>
      <c r="J200" s="22" t="s">
        <v>67</v>
      </c>
      <c r="K200" s="22" t="s">
        <v>812</v>
      </c>
      <c r="L200" s="24" t="s">
        <v>422</v>
      </c>
      <c r="M200" s="24" t="s">
        <v>473</v>
      </c>
      <c r="N200" s="25" t="s">
        <v>638</v>
      </c>
      <c r="O200" s="23" t="s">
        <v>651</v>
      </c>
      <c r="P200" s="22" t="s">
        <v>71</v>
      </c>
      <c r="Q200" s="22"/>
      <c r="R200" s="22"/>
      <c r="S200" s="22"/>
      <c r="T200" s="22">
        <f>ROUND(IF(D200=Table!$C$3,V200*Table!$C$4/8,V200*Table!$D$4/8),3)</f>
        <v>59.393999999999998</v>
      </c>
      <c r="U200" s="22">
        <f t="shared" si="19"/>
        <v>59.393999999999998</v>
      </c>
      <c r="V200" s="22">
        <v>3.6549999999999998</v>
      </c>
      <c r="W200" s="22">
        <v>4</v>
      </c>
      <c r="X200" s="22" t="s">
        <v>79</v>
      </c>
      <c r="Y200" s="26">
        <v>43910</v>
      </c>
      <c r="Z200" s="26">
        <v>43920</v>
      </c>
      <c r="AA200" s="26">
        <v>43917</v>
      </c>
      <c r="AB200" s="26">
        <v>43917</v>
      </c>
      <c r="AC200" s="26" t="s">
        <v>201</v>
      </c>
      <c r="AD200" s="114"/>
      <c r="AE200" s="114"/>
      <c r="AF200" s="52">
        <v>1</v>
      </c>
      <c r="AG200" s="52">
        <v>1</v>
      </c>
      <c r="AH200" s="52" t="s">
        <v>216</v>
      </c>
      <c r="AI200" s="22"/>
      <c r="AJ200" s="22"/>
      <c r="AK200" s="22"/>
    </row>
    <row r="201" spans="2:37" x14ac:dyDescent="0.25">
      <c r="B201" s="59">
        <v>139</v>
      </c>
      <c r="C201" s="23">
        <v>20200319</v>
      </c>
      <c r="D201" s="22" t="s">
        <v>2</v>
      </c>
      <c r="E201" s="22" t="s">
        <v>452</v>
      </c>
      <c r="F201" s="24" t="s">
        <v>67</v>
      </c>
      <c r="G201" s="22" t="s">
        <v>451</v>
      </c>
      <c r="H201" s="22" t="s">
        <v>410</v>
      </c>
      <c r="I201" s="22" t="s">
        <v>331</v>
      </c>
      <c r="J201" s="22" t="s">
        <v>67</v>
      </c>
      <c r="K201" s="22" t="s">
        <v>812</v>
      </c>
      <c r="L201" s="24" t="s">
        <v>423</v>
      </c>
      <c r="M201" s="24" t="s">
        <v>473</v>
      </c>
      <c r="N201" s="25" t="s">
        <v>639</v>
      </c>
      <c r="O201" s="23" t="s">
        <v>651</v>
      </c>
      <c r="P201" s="22" t="s">
        <v>71</v>
      </c>
      <c r="Q201" s="22"/>
      <c r="R201" s="22"/>
      <c r="S201" s="22"/>
      <c r="T201" s="22">
        <f>ROUND(IF(D201=Table!$C$3,V201*Table!$C$4/8,V201*Table!$D$4/8),3)</f>
        <v>59.393999999999998</v>
      </c>
      <c r="U201" s="22">
        <f t="shared" si="19"/>
        <v>59.393999999999998</v>
      </c>
      <c r="V201" s="22">
        <v>3.6549999999999998</v>
      </c>
      <c r="W201" s="22">
        <v>4</v>
      </c>
      <c r="X201" s="22" t="s">
        <v>79</v>
      </c>
      <c r="Y201" s="26">
        <v>43910</v>
      </c>
      <c r="Z201" s="26">
        <v>43920</v>
      </c>
      <c r="AA201" s="26">
        <v>43916</v>
      </c>
      <c r="AB201" s="26">
        <v>43916</v>
      </c>
      <c r="AC201" s="26" t="s">
        <v>201</v>
      </c>
      <c r="AD201" s="114"/>
      <c r="AE201" s="114"/>
      <c r="AF201" s="52">
        <v>1</v>
      </c>
      <c r="AG201" s="52">
        <v>1</v>
      </c>
      <c r="AH201" s="52">
        <v>1</v>
      </c>
      <c r="AI201" s="22"/>
      <c r="AJ201" s="22"/>
      <c r="AK201" s="22"/>
    </row>
    <row r="202" spans="2:37" x14ac:dyDescent="0.25">
      <c r="B202" s="44">
        <v>140</v>
      </c>
      <c r="C202" s="81">
        <v>20200330</v>
      </c>
      <c r="D202" s="22" t="s">
        <v>3</v>
      </c>
      <c r="E202" s="22" t="s">
        <v>672</v>
      </c>
      <c r="F202" s="24" t="s">
        <v>67</v>
      </c>
      <c r="G202" s="22" t="s">
        <v>673</v>
      </c>
      <c r="H202" s="22" t="s">
        <v>657</v>
      </c>
      <c r="I202" s="22" t="s">
        <v>331</v>
      </c>
      <c r="J202" s="22" t="s">
        <v>67</v>
      </c>
      <c r="K202" s="22" t="s">
        <v>813</v>
      </c>
      <c r="L202" s="24" t="s">
        <v>865</v>
      </c>
      <c r="M202" s="24" t="s">
        <v>694</v>
      </c>
      <c r="N202" s="25" t="s">
        <v>695</v>
      </c>
      <c r="O202" s="23" t="s">
        <v>320</v>
      </c>
      <c r="P202" s="22" t="s">
        <v>6</v>
      </c>
      <c r="Q202" s="22"/>
      <c r="R202" s="22"/>
      <c r="S202" s="22">
        <v>47</v>
      </c>
      <c r="T202" s="22">
        <f>ROUND(IF(D202=Table!$C$3,V202*Table!$C$4/8,V202*Table!$D$4/8),3)</f>
        <v>90</v>
      </c>
      <c r="U202" s="22">
        <f t="shared" si="19"/>
        <v>90</v>
      </c>
      <c r="V202" s="22">
        <v>1.6</v>
      </c>
      <c r="W202" s="22">
        <v>8</v>
      </c>
      <c r="X202" s="22" t="s">
        <v>80</v>
      </c>
      <c r="Y202" s="26">
        <v>43920</v>
      </c>
      <c r="Z202" s="26">
        <v>43924</v>
      </c>
      <c r="AA202" s="26">
        <v>43920</v>
      </c>
      <c r="AB202" s="26">
        <v>43920</v>
      </c>
      <c r="AC202" s="26" t="s">
        <v>201</v>
      </c>
      <c r="AD202" s="114"/>
      <c r="AE202" s="114"/>
      <c r="AF202" s="52">
        <v>1</v>
      </c>
      <c r="AG202" s="52">
        <v>1</v>
      </c>
      <c r="AH202" s="52">
        <v>1</v>
      </c>
      <c r="AI202" s="22"/>
      <c r="AJ202" s="22"/>
      <c r="AK202" s="22" t="s">
        <v>679</v>
      </c>
    </row>
    <row r="203" spans="2:37" x14ac:dyDescent="0.25">
      <c r="B203" s="44">
        <v>141</v>
      </c>
      <c r="C203" s="81">
        <v>20200330</v>
      </c>
      <c r="D203" s="22" t="s">
        <v>3</v>
      </c>
      <c r="E203" s="22" t="s">
        <v>672</v>
      </c>
      <c r="F203" s="24" t="s">
        <v>67</v>
      </c>
      <c r="G203" s="22" t="s">
        <v>207</v>
      </c>
      <c r="H203" s="22" t="s">
        <v>658</v>
      </c>
      <c r="I203" s="22" t="s">
        <v>332</v>
      </c>
      <c r="J203" s="22" t="s">
        <v>67</v>
      </c>
      <c r="K203" s="22" t="s">
        <v>813</v>
      </c>
      <c r="L203" s="24" t="s">
        <v>866</v>
      </c>
      <c r="M203" s="24" t="s">
        <v>694</v>
      </c>
      <c r="N203" s="25" t="s">
        <v>696</v>
      </c>
      <c r="O203" s="23" t="s">
        <v>320</v>
      </c>
      <c r="P203" s="22" t="s">
        <v>6</v>
      </c>
      <c r="Q203" s="22"/>
      <c r="R203" s="22"/>
      <c r="S203" s="22">
        <v>1823</v>
      </c>
      <c r="T203" s="22">
        <f>ROUND(IF(D203=Table!$C$3,V203*Table!$C$4/8,V203*Table!$D$4/8),3)</f>
        <v>225</v>
      </c>
      <c r="U203" s="22">
        <f t="shared" si="19"/>
        <v>225</v>
      </c>
      <c r="V203" s="22">
        <v>4</v>
      </c>
      <c r="W203" s="22">
        <v>8</v>
      </c>
      <c r="X203" s="22" t="s">
        <v>80</v>
      </c>
      <c r="Y203" s="26">
        <v>43920</v>
      </c>
      <c r="Z203" s="26">
        <v>43924</v>
      </c>
      <c r="AA203" s="26">
        <v>43921</v>
      </c>
      <c r="AB203" s="26">
        <v>43921</v>
      </c>
      <c r="AC203" s="26" t="s">
        <v>201</v>
      </c>
      <c r="AD203" s="114"/>
      <c r="AE203" s="114"/>
      <c r="AF203" s="52">
        <v>1</v>
      </c>
      <c r="AG203" s="52">
        <v>0.83</v>
      </c>
      <c r="AH203" s="52">
        <v>0</v>
      </c>
      <c r="AI203" s="22" t="s">
        <v>735</v>
      </c>
      <c r="AJ203" s="82"/>
      <c r="AK203" s="22" t="s">
        <v>680</v>
      </c>
    </row>
    <row r="204" spans="2:37" x14ac:dyDescent="0.25">
      <c r="B204" s="44">
        <v>142</v>
      </c>
      <c r="C204" s="81">
        <v>20200330</v>
      </c>
      <c r="D204" s="22" t="s">
        <v>3</v>
      </c>
      <c r="E204" s="22" t="s">
        <v>672</v>
      </c>
      <c r="F204" s="24" t="s">
        <v>67</v>
      </c>
      <c r="G204" s="22" t="s">
        <v>674</v>
      </c>
      <c r="H204" s="22" t="s">
        <v>659</v>
      </c>
      <c r="I204" s="22" t="s">
        <v>332</v>
      </c>
      <c r="J204" s="22" t="s">
        <v>67</v>
      </c>
      <c r="K204" s="22" t="s">
        <v>813</v>
      </c>
      <c r="L204" s="24" t="s">
        <v>867</v>
      </c>
      <c r="M204" s="24" t="s">
        <v>694</v>
      </c>
      <c r="N204" s="25" t="s">
        <v>697</v>
      </c>
      <c r="O204" s="23" t="s">
        <v>321</v>
      </c>
      <c r="P204" s="22" t="s">
        <v>70</v>
      </c>
      <c r="Q204" s="22"/>
      <c r="R204" s="22"/>
      <c r="S204" s="22">
        <v>83</v>
      </c>
      <c r="T204" s="22">
        <f>ROUND(IF(D204=Table!$C$3,V204*Table!$C$4/8,V204*Table!$D$4/8),3)</f>
        <v>90</v>
      </c>
      <c r="U204" s="22">
        <f t="shared" si="19"/>
        <v>90</v>
      </c>
      <c r="V204" s="22">
        <v>1.6</v>
      </c>
      <c r="W204" s="22">
        <v>4</v>
      </c>
      <c r="X204" s="22" t="s">
        <v>80</v>
      </c>
      <c r="Y204" s="26">
        <v>43920</v>
      </c>
      <c r="Z204" s="26">
        <v>43921</v>
      </c>
      <c r="AA204" s="26">
        <v>43920</v>
      </c>
      <c r="AB204" s="26">
        <v>43920</v>
      </c>
      <c r="AC204" s="26" t="s">
        <v>201</v>
      </c>
      <c r="AD204" s="114"/>
      <c r="AE204" s="114"/>
      <c r="AF204" s="52">
        <v>1</v>
      </c>
      <c r="AG204" s="52">
        <v>1</v>
      </c>
      <c r="AH204" s="52">
        <v>0.83</v>
      </c>
      <c r="AI204" s="22"/>
      <c r="AJ204" s="22"/>
      <c r="AK204" s="22" t="s">
        <v>681</v>
      </c>
    </row>
    <row r="205" spans="2:37" x14ac:dyDescent="0.25">
      <c r="B205" s="44">
        <v>143</v>
      </c>
      <c r="C205" s="81">
        <v>20200330</v>
      </c>
      <c r="D205" s="22" t="s">
        <v>3</v>
      </c>
      <c r="E205" s="22" t="s">
        <v>672</v>
      </c>
      <c r="F205" s="24" t="s">
        <v>67</v>
      </c>
      <c r="G205" s="22" t="s">
        <v>675</v>
      </c>
      <c r="H205" s="22" t="s">
        <v>660</v>
      </c>
      <c r="I205" s="22" t="s">
        <v>332</v>
      </c>
      <c r="J205" s="22" t="s">
        <v>67</v>
      </c>
      <c r="K205" s="22" t="s">
        <v>813</v>
      </c>
      <c r="L205" s="24" t="s">
        <v>868</v>
      </c>
      <c r="M205" s="24" t="s">
        <v>694</v>
      </c>
      <c r="N205" s="25" t="s">
        <v>698</v>
      </c>
      <c r="O205" s="23" t="s">
        <v>321</v>
      </c>
      <c r="P205" s="22" t="s">
        <v>70</v>
      </c>
      <c r="Q205" s="22"/>
      <c r="R205" s="22"/>
      <c r="S205" s="22">
        <v>765</v>
      </c>
      <c r="T205" s="22">
        <f>ROUND(IF(D205=Table!$C$3,V205*Table!$C$4/8,V205*Table!$D$4/8),3)</f>
        <v>135</v>
      </c>
      <c r="U205" s="22">
        <f t="shared" si="19"/>
        <v>135</v>
      </c>
      <c r="V205" s="22">
        <v>2.4</v>
      </c>
      <c r="W205" s="22">
        <v>4</v>
      </c>
      <c r="X205" s="22" t="s">
        <v>80</v>
      </c>
      <c r="Y205" s="26">
        <v>43920</v>
      </c>
      <c r="Z205" s="26">
        <v>43921</v>
      </c>
      <c r="AA205" s="26">
        <v>43920</v>
      </c>
      <c r="AB205" s="26">
        <v>43920</v>
      </c>
      <c r="AC205" s="26" t="s">
        <v>201</v>
      </c>
      <c r="AD205" s="114"/>
      <c r="AE205" s="114"/>
      <c r="AF205" s="52">
        <v>1</v>
      </c>
      <c r="AG205" s="52">
        <v>1</v>
      </c>
      <c r="AH205" s="52">
        <v>1</v>
      </c>
      <c r="AI205" s="22"/>
      <c r="AJ205" s="22"/>
      <c r="AK205" s="22" t="s">
        <v>682</v>
      </c>
    </row>
    <row r="206" spans="2:37" x14ac:dyDescent="0.25">
      <c r="B206" s="44">
        <v>144</v>
      </c>
      <c r="C206" s="81">
        <v>20200330</v>
      </c>
      <c r="D206" s="22" t="s">
        <v>3</v>
      </c>
      <c r="E206" s="22" t="s">
        <v>672</v>
      </c>
      <c r="F206" s="24" t="s">
        <v>67</v>
      </c>
      <c r="G206" s="22" t="s">
        <v>121</v>
      </c>
      <c r="H206" s="22" t="s">
        <v>661</v>
      </c>
      <c r="I206" s="22" t="s">
        <v>332</v>
      </c>
      <c r="J206" s="22" t="s">
        <v>67</v>
      </c>
      <c r="K206" s="22" t="s">
        <v>813</v>
      </c>
      <c r="L206" s="24" t="s">
        <v>869</v>
      </c>
      <c r="M206" s="24" t="s">
        <v>694</v>
      </c>
      <c r="N206" s="25" t="s">
        <v>699</v>
      </c>
      <c r="O206" s="23" t="s">
        <v>322</v>
      </c>
      <c r="P206" s="22" t="s">
        <v>72</v>
      </c>
      <c r="Q206" s="22"/>
      <c r="R206" s="22"/>
      <c r="S206" s="22">
        <v>128</v>
      </c>
      <c r="T206" s="22">
        <f>ROUND(IF(D206=Table!$C$3,V206*Table!$C$4/8,V206*Table!$D$4/8),3)</f>
        <v>90</v>
      </c>
      <c r="U206" s="22">
        <f t="shared" si="19"/>
        <v>90</v>
      </c>
      <c r="V206" s="22">
        <v>1.6</v>
      </c>
      <c r="W206" s="22">
        <v>4</v>
      </c>
      <c r="X206" s="22" t="s">
        <v>80</v>
      </c>
      <c r="Y206" s="26">
        <v>43920</v>
      </c>
      <c r="Z206" s="26">
        <v>43924</v>
      </c>
      <c r="AA206" s="26">
        <v>43924</v>
      </c>
      <c r="AB206" s="26">
        <v>43924</v>
      </c>
      <c r="AC206" s="26" t="s">
        <v>201</v>
      </c>
      <c r="AD206" s="114"/>
      <c r="AE206" s="114"/>
      <c r="AF206" s="52">
        <v>1</v>
      </c>
      <c r="AG206" s="52">
        <v>1</v>
      </c>
      <c r="AH206" s="52">
        <v>1</v>
      </c>
      <c r="AI206" s="22"/>
      <c r="AJ206" s="22"/>
      <c r="AK206" s="22" t="s">
        <v>683</v>
      </c>
    </row>
    <row r="207" spans="2:37" x14ac:dyDescent="0.25">
      <c r="B207" s="44">
        <v>145</v>
      </c>
      <c r="C207" s="81">
        <v>20200330</v>
      </c>
      <c r="D207" s="22" t="s">
        <v>3</v>
      </c>
      <c r="E207" s="22" t="s">
        <v>672</v>
      </c>
      <c r="F207" s="24" t="s">
        <v>67</v>
      </c>
      <c r="G207" s="22" t="s">
        <v>676</v>
      </c>
      <c r="H207" s="22" t="s">
        <v>662</v>
      </c>
      <c r="I207" s="22" t="s">
        <v>332</v>
      </c>
      <c r="J207" s="22" t="s">
        <v>67</v>
      </c>
      <c r="K207" s="22" t="s">
        <v>813</v>
      </c>
      <c r="L207" s="24" t="s">
        <v>870</v>
      </c>
      <c r="M207" s="24" t="s">
        <v>694</v>
      </c>
      <c r="N207" s="25" t="s">
        <v>700</v>
      </c>
      <c r="O207" s="23" t="s">
        <v>322</v>
      </c>
      <c r="P207" s="22" t="s">
        <v>72</v>
      </c>
      <c r="Q207" s="22"/>
      <c r="R207" s="22"/>
      <c r="S207" s="22">
        <v>283</v>
      </c>
      <c r="T207" s="22">
        <f>ROUND(IF(D207=Table!$C$3,V207*Table!$C$4/8,V207*Table!$D$4/8),3)</f>
        <v>90</v>
      </c>
      <c r="U207" s="22">
        <f t="shared" si="19"/>
        <v>90</v>
      </c>
      <c r="V207" s="22">
        <v>1.6</v>
      </c>
      <c r="W207" s="22">
        <v>4</v>
      </c>
      <c r="X207" s="22" t="s">
        <v>80</v>
      </c>
      <c r="Y207" s="26">
        <v>43920</v>
      </c>
      <c r="Z207" s="26">
        <v>43924</v>
      </c>
      <c r="AA207" s="26">
        <v>43924</v>
      </c>
      <c r="AB207" s="26">
        <v>43924</v>
      </c>
      <c r="AC207" s="26" t="s">
        <v>201</v>
      </c>
      <c r="AD207" s="114"/>
      <c r="AE207" s="114"/>
      <c r="AF207" s="52">
        <v>1</v>
      </c>
      <c r="AG207" s="52">
        <v>1</v>
      </c>
      <c r="AH207" s="52">
        <v>1</v>
      </c>
      <c r="AI207" s="22"/>
      <c r="AJ207" s="22"/>
      <c r="AK207" s="22" t="s">
        <v>684</v>
      </c>
    </row>
    <row r="208" spans="2:37" x14ac:dyDescent="0.25">
      <c r="B208" s="44">
        <v>146</v>
      </c>
      <c r="C208" s="81">
        <v>20200330</v>
      </c>
      <c r="D208" s="22" t="s">
        <v>3</v>
      </c>
      <c r="E208" s="22" t="s">
        <v>672</v>
      </c>
      <c r="F208" s="24" t="s">
        <v>67</v>
      </c>
      <c r="G208" s="22" t="s">
        <v>124</v>
      </c>
      <c r="H208" s="22" t="s">
        <v>663</v>
      </c>
      <c r="I208" s="22" t="s">
        <v>332</v>
      </c>
      <c r="J208" s="22" t="s">
        <v>67</v>
      </c>
      <c r="K208" s="22" t="s">
        <v>813</v>
      </c>
      <c r="L208" s="24" t="s">
        <v>871</v>
      </c>
      <c r="M208" s="24" t="s">
        <v>694</v>
      </c>
      <c r="N208" s="25" t="s">
        <v>701</v>
      </c>
      <c r="O208" s="23" t="s">
        <v>322</v>
      </c>
      <c r="P208" s="22" t="s">
        <v>72</v>
      </c>
      <c r="Q208" s="22"/>
      <c r="R208" s="22"/>
      <c r="S208" s="22">
        <v>1998</v>
      </c>
      <c r="T208" s="22">
        <f>ROUND(IF(D208=Table!$C$3,V208*Table!$C$4/8,V208*Table!$D$4/8),3)</f>
        <v>135</v>
      </c>
      <c r="U208" s="22">
        <f t="shared" si="19"/>
        <v>135</v>
      </c>
      <c r="V208" s="22">
        <v>2.4</v>
      </c>
      <c r="W208" s="22">
        <v>4</v>
      </c>
      <c r="X208" s="22" t="s">
        <v>80</v>
      </c>
      <c r="Y208" s="26">
        <v>43920</v>
      </c>
      <c r="Z208" s="26">
        <v>43924</v>
      </c>
      <c r="AA208" s="26">
        <v>43924</v>
      </c>
      <c r="AB208" s="26">
        <v>43924</v>
      </c>
      <c r="AC208" s="26" t="s">
        <v>201</v>
      </c>
      <c r="AD208" s="114"/>
      <c r="AE208" s="114"/>
      <c r="AF208" s="52">
        <v>1</v>
      </c>
      <c r="AG208" s="52">
        <v>1</v>
      </c>
      <c r="AH208" s="52">
        <v>1</v>
      </c>
      <c r="AI208" s="22"/>
      <c r="AJ208" s="22"/>
      <c r="AK208" s="22" t="s">
        <v>685</v>
      </c>
    </row>
    <row r="209" spans="2:37" x14ac:dyDescent="0.25">
      <c r="B209" s="44">
        <v>147</v>
      </c>
      <c r="C209" s="81">
        <v>20200330</v>
      </c>
      <c r="D209" s="22" t="s">
        <v>3</v>
      </c>
      <c r="E209" s="22" t="s">
        <v>672</v>
      </c>
      <c r="F209" s="24" t="s">
        <v>67</v>
      </c>
      <c r="G209" s="22" t="s">
        <v>126</v>
      </c>
      <c r="H209" s="22" t="s">
        <v>664</v>
      </c>
      <c r="I209" s="22" t="s">
        <v>332</v>
      </c>
      <c r="J209" s="22" t="s">
        <v>67</v>
      </c>
      <c r="K209" s="22" t="s">
        <v>813</v>
      </c>
      <c r="L209" s="24" t="s">
        <v>872</v>
      </c>
      <c r="M209" s="24" t="s">
        <v>694</v>
      </c>
      <c r="N209" s="25" t="s">
        <v>702</v>
      </c>
      <c r="O209" s="23" t="s">
        <v>323</v>
      </c>
      <c r="P209" s="22" t="s">
        <v>71</v>
      </c>
      <c r="Q209" s="22"/>
      <c r="R209" s="22"/>
      <c r="S209" s="22">
        <v>191</v>
      </c>
      <c r="T209" s="22">
        <f>ROUND(IF(D209=Table!$C$3,V209*Table!$C$4/8,V209*Table!$D$4/8),3)</f>
        <v>360</v>
      </c>
      <c r="U209" s="22">
        <f t="shared" si="19"/>
        <v>360</v>
      </c>
      <c r="V209" s="22">
        <v>6.4</v>
      </c>
      <c r="W209" s="22">
        <v>4</v>
      </c>
      <c r="X209" s="22" t="s">
        <v>80</v>
      </c>
      <c r="Y209" s="26">
        <v>43920</v>
      </c>
      <c r="Z209" s="26">
        <v>43924</v>
      </c>
      <c r="AA209" s="26">
        <v>43924</v>
      </c>
      <c r="AB209" s="26">
        <v>43924</v>
      </c>
      <c r="AC209" s="26" t="s">
        <v>201</v>
      </c>
      <c r="AD209" s="114"/>
      <c r="AE209" s="114"/>
      <c r="AF209" s="52">
        <v>1</v>
      </c>
      <c r="AG209" s="52">
        <v>1</v>
      </c>
      <c r="AH209" s="52">
        <v>1</v>
      </c>
      <c r="AI209" s="22"/>
      <c r="AJ209" s="22"/>
      <c r="AK209" s="22" t="s">
        <v>686</v>
      </c>
    </row>
    <row r="210" spans="2:37" x14ac:dyDescent="0.25">
      <c r="B210" s="44">
        <v>148</v>
      </c>
      <c r="C210" s="81">
        <v>20200330</v>
      </c>
      <c r="D210" s="22" t="s">
        <v>3</v>
      </c>
      <c r="E210" s="22" t="s">
        <v>672</v>
      </c>
      <c r="F210" s="24" t="s">
        <v>67</v>
      </c>
      <c r="G210" s="22" t="s">
        <v>677</v>
      </c>
      <c r="H210" s="22" t="s">
        <v>665</v>
      </c>
      <c r="I210" s="22" t="s">
        <v>332</v>
      </c>
      <c r="J210" s="22" t="s">
        <v>67</v>
      </c>
      <c r="K210" s="22" t="s">
        <v>813</v>
      </c>
      <c r="L210" s="24" t="s">
        <v>873</v>
      </c>
      <c r="M210" s="24" t="s">
        <v>694</v>
      </c>
      <c r="N210" s="25" t="s">
        <v>703</v>
      </c>
      <c r="O210" s="23" t="s">
        <v>323</v>
      </c>
      <c r="P210" s="22" t="s">
        <v>71</v>
      </c>
      <c r="Q210" s="22"/>
      <c r="R210" s="22"/>
      <c r="S210" s="22">
        <v>1379</v>
      </c>
      <c r="T210" s="22">
        <f>ROUND(IF(D210=Table!$C$3,V210*Table!$C$4/8,V210*Table!$D$4/8),3)</f>
        <v>900</v>
      </c>
      <c r="U210" s="22">
        <f t="shared" si="19"/>
        <v>900</v>
      </c>
      <c r="V210" s="22">
        <v>16</v>
      </c>
      <c r="W210" s="22">
        <v>4</v>
      </c>
      <c r="X210" s="22" t="s">
        <v>80</v>
      </c>
      <c r="Y210" s="26">
        <v>43920</v>
      </c>
      <c r="Z210" s="26">
        <v>43924</v>
      </c>
      <c r="AA210" s="26">
        <v>43924</v>
      </c>
      <c r="AB210" s="26">
        <v>43924</v>
      </c>
      <c r="AC210" s="26" t="s">
        <v>201</v>
      </c>
      <c r="AD210" s="114"/>
      <c r="AE210" s="114"/>
      <c r="AF210" s="52">
        <v>1</v>
      </c>
      <c r="AG210" s="52">
        <v>1</v>
      </c>
      <c r="AH210" s="52">
        <v>1</v>
      </c>
      <c r="AI210" s="22"/>
      <c r="AJ210" s="22"/>
      <c r="AK210" s="22" t="s">
        <v>687</v>
      </c>
    </row>
    <row r="211" spans="2:37" x14ac:dyDescent="0.25">
      <c r="B211" s="44">
        <v>149</v>
      </c>
      <c r="C211" s="81">
        <v>20200330</v>
      </c>
      <c r="D211" s="22" t="s">
        <v>3</v>
      </c>
      <c r="E211" s="22" t="s">
        <v>672</v>
      </c>
      <c r="F211" s="24" t="s">
        <v>67</v>
      </c>
      <c r="G211" s="22" t="s">
        <v>127</v>
      </c>
      <c r="H211" s="22" t="s">
        <v>666</v>
      </c>
      <c r="I211" s="22" t="s">
        <v>332</v>
      </c>
      <c r="J211" s="22" t="s">
        <v>67</v>
      </c>
      <c r="K211" s="22" t="s">
        <v>813</v>
      </c>
      <c r="L211" s="24" t="s">
        <v>874</v>
      </c>
      <c r="M211" s="24" t="s">
        <v>694</v>
      </c>
      <c r="N211" s="25" t="s">
        <v>704</v>
      </c>
      <c r="O211" s="23" t="s">
        <v>322</v>
      </c>
      <c r="P211" s="22" t="s">
        <v>72</v>
      </c>
      <c r="Q211" s="22"/>
      <c r="R211" s="22"/>
      <c r="S211" s="22">
        <v>1395</v>
      </c>
      <c r="T211" s="22">
        <f>ROUND(IF(D211=Table!$C$3,V211*Table!$C$4/8,V211*Table!$D$4/8),3)</f>
        <v>900</v>
      </c>
      <c r="U211" s="22">
        <f t="shared" si="19"/>
        <v>900</v>
      </c>
      <c r="V211" s="22">
        <v>16</v>
      </c>
      <c r="W211" s="22">
        <v>4</v>
      </c>
      <c r="X211" s="22" t="s">
        <v>80</v>
      </c>
      <c r="Y211" s="26">
        <v>43920</v>
      </c>
      <c r="Z211" s="26">
        <v>43924</v>
      </c>
      <c r="AA211" s="26">
        <v>43924</v>
      </c>
      <c r="AB211" s="26">
        <v>43924</v>
      </c>
      <c r="AC211" s="26" t="s">
        <v>201</v>
      </c>
      <c r="AD211" s="114"/>
      <c r="AE211" s="114"/>
      <c r="AF211" s="52">
        <v>1</v>
      </c>
      <c r="AG211" s="52">
        <v>1</v>
      </c>
      <c r="AH211" s="52">
        <v>1</v>
      </c>
      <c r="AI211" s="22"/>
      <c r="AJ211" s="22"/>
      <c r="AK211" s="22" t="s">
        <v>688</v>
      </c>
    </row>
    <row r="212" spans="2:37" x14ac:dyDescent="0.25">
      <c r="B212" s="44">
        <v>150</v>
      </c>
      <c r="C212" s="81">
        <v>20200330</v>
      </c>
      <c r="D212" s="22" t="s">
        <v>3</v>
      </c>
      <c r="E212" s="22" t="s">
        <v>672</v>
      </c>
      <c r="F212" s="24" t="s">
        <v>67</v>
      </c>
      <c r="G212" s="22" t="s">
        <v>678</v>
      </c>
      <c r="H212" s="22" t="s">
        <v>667</v>
      </c>
      <c r="I212" s="22" t="s">
        <v>332</v>
      </c>
      <c r="J212" s="22" t="s">
        <v>67</v>
      </c>
      <c r="K212" s="22" t="s">
        <v>813</v>
      </c>
      <c r="L212" s="24" t="s">
        <v>875</v>
      </c>
      <c r="M212" s="24" t="s">
        <v>694</v>
      </c>
      <c r="N212" s="25" t="s">
        <v>705</v>
      </c>
      <c r="O212" s="23" t="s">
        <v>321</v>
      </c>
      <c r="P212" s="22" t="s">
        <v>70</v>
      </c>
      <c r="Q212" s="22"/>
      <c r="R212" s="22"/>
      <c r="S212" s="22">
        <v>1580</v>
      </c>
      <c r="T212" s="22">
        <f>ROUND(IF(D212=Table!$C$3,V212*Table!$C$4/8,V212*Table!$D$4/8),3)</f>
        <v>1125</v>
      </c>
      <c r="U212" s="22">
        <f t="shared" si="19"/>
        <v>1125</v>
      </c>
      <c r="V212" s="22">
        <v>20</v>
      </c>
      <c r="W212" s="22">
        <v>8</v>
      </c>
      <c r="X212" s="22" t="s">
        <v>80</v>
      </c>
      <c r="Y212" s="26">
        <v>43920</v>
      </c>
      <c r="Z212" s="26">
        <v>43921</v>
      </c>
      <c r="AA212" s="26">
        <v>43921</v>
      </c>
      <c r="AB212" s="26">
        <v>43921</v>
      </c>
      <c r="AC212" s="26" t="s">
        <v>201</v>
      </c>
      <c r="AD212" s="114"/>
      <c r="AE212" s="114"/>
      <c r="AF212" s="52">
        <v>1</v>
      </c>
      <c r="AG212" s="52">
        <v>1</v>
      </c>
      <c r="AH212" s="52">
        <v>0.67</v>
      </c>
      <c r="AI212" s="22"/>
      <c r="AJ212" s="22"/>
      <c r="AK212" s="22" t="s">
        <v>689</v>
      </c>
    </row>
    <row r="213" spans="2:37" x14ac:dyDescent="0.25">
      <c r="B213" s="44">
        <v>151</v>
      </c>
      <c r="C213" s="81">
        <v>20200330</v>
      </c>
      <c r="D213" s="22" t="s">
        <v>3</v>
      </c>
      <c r="E213" s="22" t="s">
        <v>672</v>
      </c>
      <c r="F213" s="24" t="s">
        <v>67</v>
      </c>
      <c r="G213" s="22" t="s">
        <v>129</v>
      </c>
      <c r="H213" s="22" t="s">
        <v>668</v>
      </c>
      <c r="I213" s="22" t="s">
        <v>332</v>
      </c>
      <c r="J213" s="22" t="s">
        <v>67</v>
      </c>
      <c r="K213" s="22" t="s">
        <v>813</v>
      </c>
      <c r="L213" s="24" t="s">
        <v>876</v>
      </c>
      <c r="M213" s="24" t="s">
        <v>694</v>
      </c>
      <c r="N213" s="25" t="s">
        <v>706</v>
      </c>
      <c r="O213" s="23" t="s">
        <v>320</v>
      </c>
      <c r="P213" s="22" t="s">
        <v>6</v>
      </c>
      <c r="Q213" s="22"/>
      <c r="R213" s="22"/>
      <c r="S213" s="22">
        <v>171</v>
      </c>
      <c r="T213" s="22">
        <f>ROUND(IF(D213=Table!$C$3,V213*Table!$C$4/8,V213*Table!$D$4/8),3)</f>
        <v>315</v>
      </c>
      <c r="U213" s="22">
        <f t="shared" si="19"/>
        <v>315</v>
      </c>
      <c r="V213" s="22">
        <v>5.6</v>
      </c>
      <c r="W213" s="22">
        <v>8</v>
      </c>
      <c r="X213" s="22" t="s">
        <v>80</v>
      </c>
      <c r="Y213" s="26">
        <v>43920</v>
      </c>
      <c r="Z213" s="26">
        <v>43924</v>
      </c>
      <c r="AA213" s="26">
        <v>43922</v>
      </c>
      <c r="AB213" s="26">
        <v>43922</v>
      </c>
      <c r="AC213" s="26" t="s">
        <v>201</v>
      </c>
      <c r="AD213" s="114"/>
      <c r="AE213" s="114"/>
      <c r="AF213" s="52">
        <v>1</v>
      </c>
      <c r="AG213" s="52">
        <v>1</v>
      </c>
      <c r="AH213" s="52">
        <v>0.26</v>
      </c>
      <c r="AI213" s="22"/>
      <c r="AJ213" s="22"/>
      <c r="AK213" s="22" t="s">
        <v>690</v>
      </c>
    </row>
    <row r="214" spans="2:37" x14ac:dyDescent="0.25">
      <c r="B214" s="44">
        <v>152</v>
      </c>
      <c r="C214" s="81">
        <v>20200330</v>
      </c>
      <c r="D214" s="22" t="s">
        <v>3</v>
      </c>
      <c r="E214" s="22" t="s">
        <v>672</v>
      </c>
      <c r="F214" s="24" t="s">
        <v>67</v>
      </c>
      <c r="G214" s="22" t="s">
        <v>130</v>
      </c>
      <c r="H214" s="22" t="s">
        <v>669</v>
      </c>
      <c r="I214" s="22" t="s">
        <v>332</v>
      </c>
      <c r="J214" s="22" t="s">
        <v>67</v>
      </c>
      <c r="K214" s="22" t="s">
        <v>813</v>
      </c>
      <c r="L214" s="24" t="s">
        <v>877</v>
      </c>
      <c r="M214" s="24" t="s">
        <v>694</v>
      </c>
      <c r="N214" s="25" t="s">
        <v>707</v>
      </c>
      <c r="O214" s="23" t="s">
        <v>320</v>
      </c>
      <c r="P214" s="22" t="s">
        <v>6</v>
      </c>
      <c r="Q214" s="22"/>
      <c r="R214" s="22"/>
      <c r="S214" s="22">
        <v>90</v>
      </c>
      <c r="T214" s="22">
        <f>ROUND(IF(D214=Table!$C$3,V214*Table!$C$4/8,V214*Table!$D$4/8),3)</f>
        <v>90</v>
      </c>
      <c r="U214" s="22">
        <f t="shared" si="19"/>
        <v>90</v>
      </c>
      <c r="V214" s="22">
        <v>1.6</v>
      </c>
      <c r="W214" s="22">
        <v>2</v>
      </c>
      <c r="X214" s="22" t="s">
        <v>80</v>
      </c>
      <c r="Y214" s="26">
        <v>43920</v>
      </c>
      <c r="Z214" s="26">
        <v>43924</v>
      </c>
      <c r="AA214" s="26">
        <v>43924</v>
      </c>
      <c r="AB214" s="26">
        <v>43924</v>
      </c>
      <c r="AC214" s="26" t="s">
        <v>201</v>
      </c>
      <c r="AD214" s="114"/>
      <c r="AE214" s="114"/>
      <c r="AF214" s="52">
        <v>1</v>
      </c>
      <c r="AG214" s="52">
        <v>1</v>
      </c>
      <c r="AH214" s="52">
        <v>1</v>
      </c>
      <c r="AI214" s="22"/>
      <c r="AJ214" s="22"/>
      <c r="AK214" s="22" t="s">
        <v>691</v>
      </c>
    </row>
    <row r="215" spans="2:37" x14ac:dyDescent="0.25">
      <c r="B215" s="44">
        <v>153</v>
      </c>
      <c r="C215" s="81">
        <v>20200330</v>
      </c>
      <c r="D215" s="22" t="s">
        <v>3</v>
      </c>
      <c r="E215" s="22" t="s">
        <v>672</v>
      </c>
      <c r="F215" s="24" t="s">
        <v>67</v>
      </c>
      <c r="G215" s="22" t="s">
        <v>131</v>
      </c>
      <c r="H215" s="22" t="s">
        <v>670</v>
      </c>
      <c r="I215" s="22" t="s">
        <v>332</v>
      </c>
      <c r="J215" s="22" t="s">
        <v>67</v>
      </c>
      <c r="K215" s="22" t="s">
        <v>813</v>
      </c>
      <c r="L215" s="24" t="s">
        <v>878</v>
      </c>
      <c r="M215" s="24" t="s">
        <v>694</v>
      </c>
      <c r="N215" s="25" t="s">
        <v>708</v>
      </c>
      <c r="O215" s="23" t="s">
        <v>320</v>
      </c>
      <c r="P215" s="22" t="s">
        <v>6</v>
      </c>
      <c r="Q215" s="22"/>
      <c r="R215" s="22"/>
      <c r="S215" s="22">
        <v>234</v>
      </c>
      <c r="T215" s="22">
        <f>ROUND(IF(D215=Table!$C$3,V215*Table!$C$4/8,V215*Table!$D$4/8),3)</f>
        <v>450</v>
      </c>
      <c r="U215" s="22">
        <f t="shared" si="19"/>
        <v>450</v>
      </c>
      <c r="V215" s="22">
        <v>8</v>
      </c>
      <c r="W215" s="22">
        <v>4</v>
      </c>
      <c r="X215" s="22" t="s">
        <v>80</v>
      </c>
      <c r="Y215" s="26">
        <v>43920</v>
      </c>
      <c r="Z215" s="26">
        <v>43924</v>
      </c>
      <c r="AA215" s="26">
        <v>43924</v>
      </c>
      <c r="AB215" s="26">
        <v>43924</v>
      </c>
      <c r="AC215" s="26" t="s">
        <v>201</v>
      </c>
      <c r="AD215" s="114"/>
      <c r="AE215" s="114"/>
      <c r="AF215" s="52">
        <v>1</v>
      </c>
      <c r="AG215" s="52">
        <v>1</v>
      </c>
      <c r="AH215" s="52">
        <v>0.22</v>
      </c>
      <c r="AI215" s="22"/>
      <c r="AJ215" s="22"/>
      <c r="AK215" s="22" t="s">
        <v>692</v>
      </c>
    </row>
    <row r="216" spans="2:37" x14ac:dyDescent="0.25">
      <c r="B216" s="44">
        <v>154</v>
      </c>
      <c r="C216" s="81">
        <v>20200330</v>
      </c>
      <c r="D216" s="22" t="s">
        <v>3</v>
      </c>
      <c r="E216" s="22" t="s">
        <v>672</v>
      </c>
      <c r="F216" s="24" t="s">
        <v>67</v>
      </c>
      <c r="G216" s="22" t="s">
        <v>132</v>
      </c>
      <c r="H216" s="22" t="s">
        <v>671</v>
      </c>
      <c r="I216" s="22" t="s">
        <v>331</v>
      </c>
      <c r="J216" s="22" t="s">
        <v>67</v>
      </c>
      <c r="K216" s="22" t="s">
        <v>813</v>
      </c>
      <c r="L216" s="24" t="s">
        <v>879</v>
      </c>
      <c r="M216" s="24" t="s">
        <v>694</v>
      </c>
      <c r="N216" s="25" t="s">
        <v>709</v>
      </c>
      <c r="O216" s="23" t="s">
        <v>320</v>
      </c>
      <c r="P216" s="22" t="s">
        <v>6</v>
      </c>
      <c r="Q216" s="22"/>
      <c r="R216" s="22"/>
      <c r="S216" s="22">
        <v>159</v>
      </c>
      <c r="T216" s="22">
        <f>ROUND(IF(D216=Table!$C$3,V216*Table!$C$4/8,V216*Table!$D$4/8),3)</f>
        <v>135</v>
      </c>
      <c r="U216" s="22">
        <f t="shared" si="19"/>
        <v>135</v>
      </c>
      <c r="V216" s="22">
        <v>2.4</v>
      </c>
      <c r="W216" s="22">
        <v>2</v>
      </c>
      <c r="X216" s="22" t="s">
        <v>80</v>
      </c>
      <c r="Y216" s="26">
        <v>43920</v>
      </c>
      <c r="Z216" s="26">
        <v>43924</v>
      </c>
      <c r="AA216" s="26">
        <v>43924</v>
      </c>
      <c r="AB216" s="26">
        <v>43924</v>
      </c>
      <c r="AC216" s="26" t="s">
        <v>201</v>
      </c>
      <c r="AD216" s="114"/>
      <c r="AE216" s="114"/>
      <c r="AF216" s="52">
        <v>1</v>
      </c>
      <c r="AG216" s="52">
        <v>0.97</v>
      </c>
      <c r="AH216" s="52">
        <v>0.75</v>
      </c>
      <c r="AI216" s="22" t="s">
        <v>736</v>
      </c>
      <c r="AJ216" s="22"/>
      <c r="AK216" s="22" t="s">
        <v>693</v>
      </c>
    </row>
    <row r="217" spans="2:37" x14ac:dyDescent="0.25">
      <c r="B217" s="45">
        <v>155</v>
      </c>
      <c r="C217" s="23">
        <v>20200401</v>
      </c>
      <c r="D217" s="22" t="s">
        <v>2</v>
      </c>
      <c r="E217" s="22" t="s">
        <v>724</v>
      </c>
      <c r="F217" s="24" t="s">
        <v>67</v>
      </c>
      <c r="G217" s="22" t="s">
        <v>673</v>
      </c>
      <c r="H217" s="22" t="s">
        <v>725</v>
      </c>
      <c r="I217" s="22" t="s">
        <v>331</v>
      </c>
      <c r="J217" s="22" t="s">
        <v>67</v>
      </c>
      <c r="K217" s="97" t="s">
        <v>160</v>
      </c>
      <c r="L217" s="24" t="s">
        <v>728</v>
      </c>
      <c r="M217" s="24" t="s">
        <v>734</v>
      </c>
      <c r="N217" s="25" t="s">
        <v>709</v>
      </c>
      <c r="O217" s="23" t="s">
        <v>199</v>
      </c>
      <c r="P217" s="22" t="s">
        <v>70</v>
      </c>
      <c r="Q217" s="22"/>
      <c r="R217" s="22"/>
      <c r="S217" s="22"/>
      <c r="T217" s="22">
        <f>ROUND(IF(D217=Table!$C$3,V217*Table!$C$4/8,V217*Table!$D$4/8),3)</f>
        <v>39</v>
      </c>
      <c r="U217" s="22">
        <f t="shared" si="19"/>
        <v>39</v>
      </c>
      <c r="V217" s="22">
        <v>2.4</v>
      </c>
      <c r="W217" s="22">
        <f>V217</f>
        <v>2.4</v>
      </c>
      <c r="X217" s="22" t="s">
        <v>80</v>
      </c>
      <c r="Y217" s="26">
        <v>43920</v>
      </c>
      <c r="Z217" s="26">
        <v>43924</v>
      </c>
      <c r="AA217" s="26">
        <v>43924</v>
      </c>
      <c r="AB217" s="26">
        <v>43924</v>
      </c>
      <c r="AC217" s="26" t="s">
        <v>201</v>
      </c>
      <c r="AD217" s="114"/>
      <c r="AE217" s="114"/>
      <c r="AF217" s="52">
        <v>1</v>
      </c>
      <c r="AG217" s="52">
        <v>1</v>
      </c>
      <c r="AH217" s="52" t="s">
        <v>216</v>
      </c>
      <c r="AI217" s="22"/>
      <c r="AJ217" s="22"/>
      <c r="AK217" s="22"/>
    </row>
    <row r="218" spans="2:37" x14ac:dyDescent="0.25">
      <c r="B218" s="45">
        <v>156</v>
      </c>
      <c r="C218" s="23">
        <v>20200401</v>
      </c>
      <c r="D218" s="22" t="s">
        <v>2</v>
      </c>
      <c r="E218" s="22" t="s">
        <v>724</v>
      </c>
      <c r="F218" s="24" t="s">
        <v>67</v>
      </c>
      <c r="G218" s="22" t="s">
        <v>730</v>
      </c>
      <c r="H218" s="22" t="s">
        <v>184</v>
      </c>
      <c r="I218" s="22" t="s">
        <v>331</v>
      </c>
      <c r="J218" s="22" t="s">
        <v>67</v>
      </c>
      <c r="K218" s="22" t="s">
        <v>160</v>
      </c>
      <c r="L218" s="24" t="s">
        <v>275</v>
      </c>
      <c r="M218" s="24" t="s">
        <v>734</v>
      </c>
      <c r="N218" s="25" t="s">
        <v>709</v>
      </c>
      <c r="O218" s="23" t="s">
        <v>199</v>
      </c>
      <c r="P218" s="22" t="s">
        <v>72</v>
      </c>
      <c r="Q218" s="22"/>
      <c r="R218" s="22"/>
      <c r="S218" s="22"/>
      <c r="T218" s="22">
        <f>ROUND(IF(D218=Table!$C$3,V218*Table!$C$4/8,V218*Table!$D$4/8),3)</f>
        <v>39</v>
      </c>
      <c r="U218" s="22">
        <f t="shared" si="19"/>
        <v>39</v>
      </c>
      <c r="V218" s="22">
        <v>2.4</v>
      </c>
      <c r="W218" s="22">
        <v>1</v>
      </c>
      <c r="X218" s="22" t="s">
        <v>80</v>
      </c>
      <c r="Y218" s="26">
        <v>43920</v>
      </c>
      <c r="Z218" s="26">
        <v>43924</v>
      </c>
      <c r="AA218" s="26">
        <v>43924</v>
      </c>
      <c r="AB218" s="26">
        <v>43924</v>
      </c>
      <c r="AC218" s="26" t="s">
        <v>201</v>
      </c>
      <c r="AD218" s="114"/>
      <c r="AE218" s="114"/>
      <c r="AF218" s="52">
        <v>1</v>
      </c>
      <c r="AG218" s="52">
        <v>1</v>
      </c>
      <c r="AH218" s="52">
        <v>1</v>
      </c>
      <c r="AI218" s="22"/>
      <c r="AJ218" s="22"/>
      <c r="AK218" s="22"/>
    </row>
    <row r="219" spans="2:37" x14ac:dyDescent="0.25">
      <c r="B219" s="45">
        <v>157</v>
      </c>
      <c r="C219" s="23">
        <v>20200401</v>
      </c>
      <c r="D219" s="22" t="s">
        <v>2</v>
      </c>
      <c r="E219" s="22" t="s">
        <v>724</v>
      </c>
      <c r="F219" s="24" t="s">
        <v>67</v>
      </c>
      <c r="G219" s="22" t="s">
        <v>731</v>
      </c>
      <c r="H219" s="22" t="s">
        <v>185</v>
      </c>
      <c r="I219" s="22" t="s">
        <v>331</v>
      </c>
      <c r="J219" s="22" t="s">
        <v>67</v>
      </c>
      <c r="K219" s="22" t="s">
        <v>160</v>
      </c>
      <c r="L219" s="24" t="s">
        <v>275</v>
      </c>
      <c r="M219" s="24" t="s">
        <v>734</v>
      </c>
      <c r="N219" s="25" t="s">
        <v>709</v>
      </c>
      <c r="O219" s="23" t="s">
        <v>199</v>
      </c>
      <c r="P219" s="22" t="s">
        <v>72</v>
      </c>
      <c r="Q219" s="22"/>
      <c r="R219" s="22"/>
      <c r="S219" s="22"/>
      <c r="T219" s="22">
        <f>ROUND(IF(D219=Table!$C$3,V219*Table!$C$4/8,V219*Table!$D$4/8),3)</f>
        <v>39</v>
      </c>
      <c r="U219" s="22">
        <f t="shared" si="19"/>
        <v>39</v>
      </c>
      <c r="V219" s="22">
        <v>2.4</v>
      </c>
      <c r="W219" s="22">
        <v>1</v>
      </c>
      <c r="X219" s="22" t="s">
        <v>80</v>
      </c>
      <c r="Y219" s="26">
        <v>43920</v>
      </c>
      <c r="Z219" s="26">
        <v>43924</v>
      </c>
      <c r="AA219" s="26">
        <v>43924</v>
      </c>
      <c r="AB219" s="26">
        <v>43924</v>
      </c>
      <c r="AC219" s="26" t="s">
        <v>201</v>
      </c>
      <c r="AD219" s="114"/>
      <c r="AE219" s="114"/>
      <c r="AF219" s="52">
        <v>1</v>
      </c>
      <c r="AG219" s="52">
        <v>1</v>
      </c>
      <c r="AH219" s="52">
        <v>1</v>
      </c>
      <c r="AI219" s="22"/>
      <c r="AJ219" s="22"/>
      <c r="AK219" s="22"/>
    </row>
    <row r="220" spans="2:37" x14ac:dyDescent="0.25">
      <c r="B220" s="45">
        <v>158</v>
      </c>
      <c r="C220" s="23">
        <v>20200401</v>
      </c>
      <c r="D220" s="22" t="s">
        <v>3</v>
      </c>
      <c r="E220" s="22" t="s">
        <v>724</v>
      </c>
      <c r="F220" s="24" t="s">
        <v>67</v>
      </c>
      <c r="G220" s="22" t="s">
        <v>732</v>
      </c>
      <c r="H220" s="22" t="s">
        <v>726</v>
      </c>
      <c r="I220" s="22" t="s">
        <v>331</v>
      </c>
      <c r="J220" s="22" t="s">
        <v>67</v>
      </c>
      <c r="K220" s="97" t="s">
        <v>816</v>
      </c>
      <c r="L220" s="24" t="s">
        <v>729</v>
      </c>
      <c r="M220" s="24" t="s">
        <v>734</v>
      </c>
      <c r="N220" s="25" t="s">
        <v>709</v>
      </c>
      <c r="O220" s="23" t="s">
        <v>199</v>
      </c>
      <c r="P220" s="22" t="s">
        <v>71</v>
      </c>
      <c r="Q220" s="22"/>
      <c r="R220" s="22"/>
      <c r="S220" s="22"/>
      <c r="T220" s="22">
        <f>ROUND(IF(D220=Table!$C$3,V220*Table!$C$4/8,V220*Table!$D$4/8),3)</f>
        <v>67.5</v>
      </c>
      <c r="U220" s="22">
        <f t="shared" si="19"/>
        <v>67.5</v>
      </c>
      <c r="V220" s="22">
        <v>1.2</v>
      </c>
      <c r="W220" s="22">
        <v>4</v>
      </c>
      <c r="X220" s="22" t="s">
        <v>80</v>
      </c>
      <c r="Y220" s="26">
        <v>43920</v>
      </c>
      <c r="Z220" s="26">
        <v>43924</v>
      </c>
      <c r="AA220" s="26">
        <v>43924</v>
      </c>
      <c r="AB220" s="26">
        <v>43924</v>
      </c>
      <c r="AC220" s="26" t="s">
        <v>201</v>
      </c>
      <c r="AD220" s="114"/>
      <c r="AE220" s="114"/>
      <c r="AF220" s="52">
        <v>1</v>
      </c>
      <c r="AG220" s="52">
        <v>1</v>
      </c>
      <c r="AH220" s="52">
        <v>1</v>
      </c>
      <c r="AI220" s="22"/>
      <c r="AJ220" s="22"/>
      <c r="AK220" s="22"/>
    </row>
    <row r="221" spans="2:37" x14ac:dyDescent="0.25">
      <c r="B221" s="45">
        <v>159</v>
      </c>
      <c r="C221" s="23">
        <v>20200401</v>
      </c>
      <c r="D221" s="22" t="s">
        <v>3</v>
      </c>
      <c r="E221" s="22" t="s">
        <v>724</v>
      </c>
      <c r="F221" s="24" t="s">
        <v>67</v>
      </c>
      <c r="G221" s="22" t="s">
        <v>733</v>
      </c>
      <c r="H221" s="22" t="s">
        <v>727</v>
      </c>
      <c r="I221" s="22" t="s">
        <v>331</v>
      </c>
      <c r="J221" s="22" t="s">
        <v>67</v>
      </c>
      <c r="K221" s="97" t="s">
        <v>816</v>
      </c>
      <c r="L221" s="24" t="s">
        <v>275</v>
      </c>
      <c r="M221" s="24" t="s">
        <v>734</v>
      </c>
      <c r="N221" s="25" t="s">
        <v>709</v>
      </c>
      <c r="O221" s="23" t="s">
        <v>199</v>
      </c>
      <c r="P221" s="22" t="s">
        <v>71</v>
      </c>
      <c r="Q221" s="22"/>
      <c r="R221" s="22"/>
      <c r="S221" s="22"/>
      <c r="T221" s="22">
        <f>ROUND(IF(D221=Table!$C$3,V221*Table!$C$4/8,V221*Table!$D$4/8),3)</f>
        <v>67.5</v>
      </c>
      <c r="U221" s="22">
        <f t="shared" si="19"/>
        <v>67.5</v>
      </c>
      <c r="V221" s="22">
        <v>1.2</v>
      </c>
      <c r="W221" s="22">
        <v>4</v>
      </c>
      <c r="X221" s="22" t="s">
        <v>80</v>
      </c>
      <c r="Y221" s="26">
        <v>43920</v>
      </c>
      <c r="Z221" s="26">
        <v>43924</v>
      </c>
      <c r="AA221" s="26">
        <v>43924</v>
      </c>
      <c r="AB221" s="26">
        <v>43924</v>
      </c>
      <c r="AC221" s="26" t="s">
        <v>201</v>
      </c>
      <c r="AD221" s="114"/>
      <c r="AE221" s="114"/>
      <c r="AF221" s="52">
        <v>1</v>
      </c>
      <c r="AG221" s="52">
        <v>1</v>
      </c>
      <c r="AH221" s="52">
        <v>1</v>
      </c>
      <c r="AI221" s="22"/>
      <c r="AJ221" s="22"/>
      <c r="AK221" s="22"/>
    </row>
    <row r="222" spans="2:37" x14ac:dyDescent="0.25">
      <c r="B222" s="92">
        <v>160</v>
      </c>
      <c r="C222" s="23">
        <v>20200403</v>
      </c>
      <c r="D222" s="22" t="s">
        <v>2</v>
      </c>
      <c r="E222" s="22" t="s">
        <v>750</v>
      </c>
      <c r="F222" s="24" t="s">
        <v>67</v>
      </c>
      <c r="G222" s="24" t="s">
        <v>67</v>
      </c>
      <c r="H222" s="22" t="s">
        <v>746</v>
      </c>
      <c r="I222" s="22" t="s">
        <v>332</v>
      </c>
      <c r="J222" s="22" t="s">
        <v>67</v>
      </c>
      <c r="K222" s="22" t="s">
        <v>814</v>
      </c>
      <c r="L222" s="24" t="s">
        <v>751</v>
      </c>
      <c r="M222" s="24" t="s">
        <v>752</v>
      </c>
      <c r="N222" s="25" t="s">
        <v>753</v>
      </c>
      <c r="O222" s="95" t="s">
        <v>67</v>
      </c>
      <c r="P222" s="22" t="s">
        <v>6</v>
      </c>
      <c r="Q222" s="22"/>
      <c r="R222" s="22"/>
      <c r="S222" s="22"/>
      <c r="T222" s="22">
        <f>ROUND(IF(D222=Table!$C$3,V222*Table!$C$4/8,V222*Table!$D$4/8),3)</f>
        <v>32.5</v>
      </c>
      <c r="U222" s="22">
        <f t="shared" si="19"/>
        <v>32.5</v>
      </c>
      <c r="V222" s="22">
        <v>2</v>
      </c>
      <c r="W222" s="22">
        <v>2</v>
      </c>
      <c r="X222" s="22" t="s">
        <v>80</v>
      </c>
      <c r="Y222" s="26">
        <v>43927</v>
      </c>
      <c r="Z222" s="26">
        <v>43927</v>
      </c>
      <c r="AA222" s="26">
        <v>43927</v>
      </c>
      <c r="AB222" s="26">
        <v>43927</v>
      </c>
      <c r="AC222" s="26" t="s">
        <v>201</v>
      </c>
      <c r="AD222" s="114"/>
      <c r="AE222" s="114"/>
      <c r="AF222" s="52">
        <v>0.95599999999999996</v>
      </c>
      <c r="AG222" s="52">
        <v>0.95599999999999996</v>
      </c>
      <c r="AH222" s="52">
        <v>1</v>
      </c>
      <c r="AI222" s="22" t="s">
        <v>810</v>
      </c>
      <c r="AJ222" s="22"/>
      <c r="AK222" s="22"/>
    </row>
    <row r="223" spans="2:37" x14ac:dyDescent="0.25">
      <c r="B223" s="92">
        <v>161</v>
      </c>
      <c r="C223" s="23">
        <v>20200403</v>
      </c>
      <c r="D223" s="22" t="s">
        <v>2</v>
      </c>
      <c r="E223" s="22" t="s">
        <v>750</v>
      </c>
      <c r="F223" s="24" t="s">
        <v>67</v>
      </c>
      <c r="G223" s="24" t="s">
        <v>67</v>
      </c>
      <c r="H223" s="22" t="s">
        <v>747</v>
      </c>
      <c r="I223" s="22" t="s">
        <v>332</v>
      </c>
      <c r="J223" s="22" t="s">
        <v>67</v>
      </c>
      <c r="K223" s="22" t="s">
        <v>814</v>
      </c>
      <c r="L223" s="24">
        <v>2.9</v>
      </c>
      <c r="M223" s="24" t="s">
        <v>752</v>
      </c>
      <c r="N223" s="25" t="s">
        <v>754</v>
      </c>
      <c r="O223" s="95" t="s">
        <v>67</v>
      </c>
      <c r="P223" s="22" t="s">
        <v>70</v>
      </c>
      <c r="Q223" s="22"/>
      <c r="R223" s="22"/>
      <c r="S223" s="22"/>
      <c r="T223" s="22">
        <f>ROUND(IF(D223=Table!$C$3,V223*Table!$C$4/8,V223*Table!$D$4/8),3)</f>
        <v>32.5</v>
      </c>
      <c r="U223" s="22">
        <f t="shared" si="19"/>
        <v>32.5</v>
      </c>
      <c r="V223" s="22">
        <v>2</v>
      </c>
      <c r="W223" s="22">
        <v>2</v>
      </c>
      <c r="X223" s="22" t="s">
        <v>80</v>
      </c>
      <c r="Y223" s="26">
        <v>43927</v>
      </c>
      <c r="Z223" s="26">
        <v>43927</v>
      </c>
      <c r="AA223" s="26">
        <v>43927</v>
      </c>
      <c r="AB223" s="26">
        <v>43927</v>
      </c>
      <c r="AC223" s="26" t="s">
        <v>201</v>
      </c>
      <c r="AD223" s="114"/>
      <c r="AE223" s="114"/>
      <c r="AF223" s="52">
        <v>1</v>
      </c>
      <c r="AG223" s="52">
        <v>1</v>
      </c>
      <c r="AH223" s="52">
        <v>1</v>
      </c>
      <c r="AI223" s="22"/>
      <c r="AJ223" s="22"/>
      <c r="AK223" s="22"/>
    </row>
    <row r="224" spans="2:37" x14ac:dyDescent="0.25">
      <c r="B224" s="92">
        <v>162</v>
      </c>
      <c r="C224" s="23">
        <v>20200403</v>
      </c>
      <c r="D224" s="22" t="s">
        <v>2</v>
      </c>
      <c r="E224" s="22" t="s">
        <v>750</v>
      </c>
      <c r="F224" s="24" t="s">
        <v>67</v>
      </c>
      <c r="G224" s="24" t="s">
        <v>67</v>
      </c>
      <c r="H224" s="22" t="s">
        <v>748</v>
      </c>
      <c r="I224" s="22" t="s">
        <v>332</v>
      </c>
      <c r="J224" s="22" t="s">
        <v>67</v>
      </c>
      <c r="K224" s="22" t="s">
        <v>814</v>
      </c>
      <c r="L224" s="24">
        <v>1.9</v>
      </c>
      <c r="M224" s="24" t="s">
        <v>752</v>
      </c>
      <c r="N224" s="25" t="s">
        <v>755</v>
      </c>
      <c r="O224" s="95" t="s">
        <v>67</v>
      </c>
      <c r="P224" s="22" t="s">
        <v>72</v>
      </c>
      <c r="Q224" s="22"/>
      <c r="R224" s="22"/>
      <c r="S224" s="22"/>
      <c r="T224" s="22">
        <f>ROUND(IF(D224=Table!$C$3,V224*Table!$C$4/8,V224*Table!$D$4/8),3)</f>
        <v>48.75</v>
      </c>
      <c r="U224" s="22">
        <f t="shared" si="19"/>
        <v>48.75</v>
      </c>
      <c r="V224" s="22">
        <v>3</v>
      </c>
      <c r="W224" s="22">
        <v>3</v>
      </c>
      <c r="X224" s="22" t="s">
        <v>80</v>
      </c>
      <c r="Y224" s="26">
        <v>43927</v>
      </c>
      <c r="Z224" s="26">
        <v>43927</v>
      </c>
      <c r="AA224" s="26">
        <v>43927</v>
      </c>
      <c r="AB224" s="26">
        <v>43927</v>
      </c>
      <c r="AC224" s="26" t="s">
        <v>201</v>
      </c>
      <c r="AD224" s="114"/>
      <c r="AE224" s="114"/>
      <c r="AF224" s="52">
        <v>1</v>
      </c>
      <c r="AG224" s="52">
        <v>1</v>
      </c>
      <c r="AH224" s="52">
        <v>1</v>
      </c>
      <c r="AI224" s="22"/>
      <c r="AJ224" s="22"/>
      <c r="AK224" s="22"/>
    </row>
    <row r="225" spans="2:37" x14ac:dyDescent="0.25">
      <c r="B225" s="92">
        <v>163</v>
      </c>
      <c r="C225" s="23">
        <v>20200403</v>
      </c>
      <c r="D225" s="22" t="s">
        <v>2</v>
      </c>
      <c r="E225" s="22" t="s">
        <v>750</v>
      </c>
      <c r="F225" s="24" t="s">
        <v>67</v>
      </c>
      <c r="G225" s="24" t="s">
        <v>67</v>
      </c>
      <c r="H225" s="22" t="s">
        <v>749</v>
      </c>
      <c r="I225" s="22" t="s">
        <v>331</v>
      </c>
      <c r="J225" s="22" t="s">
        <v>67</v>
      </c>
      <c r="K225" s="22" t="s">
        <v>814</v>
      </c>
      <c r="L225" s="24">
        <v>1.3</v>
      </c>
      <c r="M225" s="24" t="s">
        <v>752</v>
      </c>
      <c r="N225" s="25" t="s">
        <v>756</v>
      </c>
      <c r="O225" s="95" t="s">
        <v>67</v>
      </c>
      <c r="P225" s="22" t="s">
        <v>71</v>
      </c>
      <c r="Q225" s="22"/>
      <c r="R225" s="22"/>
      <c r="S225" s="22"/>
      <c r="T225" s="22">
        <f>ROUND(IF(D225=Table!$C$3,V225*Table!$C$4/8,V225*Table!$D$4/8),3)</f>
        <v>32.5</v>
      </c>
      <c r="U225" s="22">
        <f t="shared" si="19"/>
        <v>32.5</v>
      </c>
      <c r="V225" s="22">
        <v>2</v>
      </c>
      <c r="W225" s="22">
        <v>2</v>
      </c>
      <c r="X225" s="22" t="s">
        <v>80</v>
      </c>
      <c r="Y225" s="26">
        <v>43927</v>
      </c>
      <c r="Z225" s="26">
        <v>43927</v>
      </c>
      <c r="AA225" s="26">
        <v>43927</v>
      </c>
      <c r="AB225" s="26">
        <v>43927</v>
      </c>
      <c r="AC225" s="26" t="s">
        <v>201</v>
      </c>
      <c r="AD225" s="114"/>
      <c r="AE225" s="114"/>
      <c r="AF225" s="52"/>
      <c r="AG225" s="52"/>
      <c r="AH225" s="52"/>
      <c r="AI225" s="22"/>
      <c r="AJ225" s="22"/>
      <c r="AK225" s="22"/>
    </row>
    <row r="226" spans="2:37" x14ac:dyDescent="0.25">
      <c r="B226" s="93">
        <v>164</v>
      </c>
      <c r="C226" s="23">
        <v>20200407</v>
      </c>
      <c r="D226" s="22" t="s">
        <v>2</v>
      </c>
      <c r="E226" s="22" t="s">
        <v>765</v>
      </c>
      <c r="F226" s="24" t="s">
        <v>67</v>
      </c>
      <c r="G226" s="24" t="s">
        <v>67</v>
      </c>
      <c r="H226" s="22" t="s">
        <v>757</v>
      </c>
      <c r="I226" s="22" t="s">
        <v>331</v>
      </c>
      <c r="J226" s="22" t="s">
        <v>67</v>
      </c>
      <c r="K226" s="22" t="s">
        <v>815</v>
      </c>
      <c r="L226" s="24">
        <v>1.5</v>
      </c>
      <c r="M226" s="24" t="s">
        <v>766</v>
      </c>
      <c r="N226" s="25" t="s">
        <v>767</v>
      </c>
      <c r="O226" s="95" t="s">
        <v>67</v>
      </c>
      <c r="P226" s="22" t="s">
        <v>6</v>
      </c>
      <c r="Q226" s="22"/>
      <c r="R226" s="22"/>
      <c r="S226" s="22"/>
      <c r="T226" s="22">
        <f>ROUND(IF(D226=Table!$C$3,V226*Table!$C$4/8,V226*Table!$D$4/8),3)</f>
        <v>24.375</v>
      </c>
      <c r="U226" s="22">
        <f t="shared" si="19"/>
        <v>24.375</v>
      </c>
      <c r="V226" s="22">
        <v>1.5</v>
      </c>
      <c r="W226" s="22">
        <v>1.5</v>
      </c>
      <c r="X226" s="22" t="s">
        <v>80</v>
      </c>
      <c r="Y226" s="26">
        <v>43928</v>
      </c>
      <c r="Z226" s="26">
        <v>43928</v>
      </c>
      <c r="AA226" s="26">
        <v>43928</v>
      </c>
      <c r="AB226" s="26">
        <v>43928</v>
      </c>
      <c r="AC226" s="26" t="s">
        <v>201</v>
      </c>
      <c r="AD226" s="114"/>
      <c r="AE226" s="114"/>
      <c r="AF226" s="52">
        <v>0.86699999999999999</v>
      </c>
      <c r="AG226" s="52">
        <v>0.86699999999999999</v>
      </c>
      <c r="AH226" s="52" t="s">
        <v>216</v>
      </c>
      <c r="AI226" s="22" t="s">
        <v>811</v>
      </c>
      <c r="AJ226" s="22"/>
      <c r="AK226" s="22"/>
    </row>
    <row r="227" spans="2:37" x14ac:dyDescent="0.25">
      <c r="B227" s="93">
        <v>165</v>
      </c>
      <c r="C227" s="23">
        <v>20200407</v>
      </c>
      <c r="D227" s="22" t="s">
        <v>2</v>
      </c>
      <c r="E227" s="22" t="s">
        <v>765</v>
      </c>
      <c r="F227" s="24" t="s">
        <v>67</v>
      </c>
      <c r="G227" s="24" t="s">
        <v>67</v>
      </c>
      <c r="H227" s="22" t="s">
        <v>758</v>
      </c>
      <c r="I227" s="22" t="s">
        <v>331</v>
      </c>
      <c r="J227" s="22" t="s">
        <v>67</v>
      </c>
      <c r="K227" s="22" t="s">
        <v>815</v>
      </c>
      <c r="L227" s="24">
        <v>1.8</v>
      </c>
      <c r="M227" s="24" t="s">
        <v>766</v>
      </c>
      <c r="N227" s="25" t="s">
        <v>768</v>
      </c>
      <c r="O227" s="95" t="s">
        <v>67</v>
      </c>
      <c r="P227" s="22" t="s">
        <v>6</v>
      </c>
      <c r="Q227" s="22"/>
      <c r="R227" s="22"/>
      <c r="S227" s="22"/>
      <c r="T227" s="22">
        <f>ROUND(IF(D227=Table!$C$3,V227*Table!$C$4/8,V227*Table!$D$4/8),3)</f>
        <v>24.375</v>
      </c>
      <c r="U227" s="22">
        <f t="shared" si="19"/>
        <v>24.375</v>
      </c>
      <c r="V227" s="22">
        <v>1.5</v>
      </c>
      <c r="W227" s="22">
        <v>1.5</v>
      </c>
      <c r="X227" s="22" t="s">
        <v>80</v>
      </c>
      <c r="Y227" s="26">
        <v>43928</v>
      </c>
      <c r="Z227" s="26">
        <v>43928</v>
      </c>
      <c r="AA227" s="26">
        <v>43928</v>
      </c>
      <c r="AB227" s="26">
        <v>43928</v>
      </c>
      <c r="AC227" s="26" t="s">
        <v>201</v>
      </c>
      <c r="AD227" s="114"/>
      <c r="AE227" s="114"/>
      <c r="AF227" s="52">
        <v>0.89500000000000002</v>
      </c>
      <c r="AG227" s="52">
        <v>0.89500000000000002</v>
      </c>
      <c r="AH227" s="52" t="s">
        <v>216</v>
      </c>
      <c r="AI227" s="22" t="s">
        <v>811</v>
      </c>
      <c r="AJ227" s="22"/>
      <c r="AK227" s="22"/>
    </row>
    <row r="228" spans="2:37" x14ac:dyDescent="0.25">
      <c r="B228" s="93">
        <v>166</v>
      </c>
      <c r="C228" s="23">
        <v>20200407</v>
      </c>
      <c r="D228" s="22" t="s">
        <v>2</v>
      </c>
      <c r="E228" s="22" t="s">
        <v>765</v>
      </c>
      <c r="F228" s="24" t="s">
        <v>67</v>
      </c>
      <c r="G228" s="24" t="s">
        <v>67</v>
      </c>
      <c r="H228" s="22" t="s">
        <v>759</v>
      </c>
      <c r="I228" s="22" t="s">
        <v>331</v>
      </c>
      <c r="J228" s="22" t="s">
        <v>67</v>
      </c>
      <c r="K228" s="22" t="s">
        <v>815</v>
      </c>
      <c r="L228" s="24">
        <v>1.8</v>
      </c>
      <c r="M228" s="24" t="s">
        <v>766</v>
      </c>
      <c r="N228" s="25" t="s">
        <v>769</v>
      </c>
      <c r="O228" s="95" t="s">
        <v>67</v>
      </c>
      <c r="P228" s="22" t="s">
        <v>70</v>
      </c>
      <c r="Q228" s="22"/>
      <c r="R228" s="22"/>
      <c r="S228" s="22"/>
      <c r="T228" s="22">
        <f>ROUND(IF(D228=Table!$C$3,V228*Table!$C$4/8,V228*Table!$D$4/8),3)</f>
        <v>24.375</v>
      </c>
      <c r="U228" s="22">
        <f t="shared" ref="U228:U236" si="20">T228</f>
        <v>24.375</v>
      </c>
      <c r="V228" s="22">
        <v>1.5</v>
      </c>
      <c r="W228" s="22">
        <f>V228</f>
        <v>1.5</v>
      </c>
      <c r="X228" s="22" t="s">
        <v>80</v>
      </c>
      <c r="Y228" s="26">
        <v>43928</v>
      </c>
      <c r="Z228" s="26">
        <v>43928</v>
      </c>
      <c r="AA228" s="26">
        <v>43928</v>
      </c>
      <c r="AB228" s="26">
        <v>43928</v>
      </c>
      <c r="AC228" s="26" t="s">
        <v>201</v>
      </c>
      <c r="AD228" s="114"/>
      <c r="AE228" s="114"/>
      <c r="AF228" s="52">
        <v>1</v>
      </c>
      <c r="AG228" s="52">
        <v>1</v>
      </c>
      <c r="AH228" s="52" t="s">
        <v>216</v>
      </c>
      <c r="AI228" s="22"/>
      <c r="AJ228" s="22"/>
      <c r="AK228" s="22"/>
    </row>
    <row r="229" spans="2:37" x14ac:dyDescent="0.25">
      <c r="B229" s="93">
        <v>167</v>
      </c>
      <c r="C229" s="23">
        <v>20200407</v>
      </c>
      <c r="D229" s="22" t="s">
        <v>2</v>
      </c>
      <c r="E229" s="22" t="s">
        <v>765</v>
      </c>
      <c r="F229" s="24" t="s">
        <v>67</v>
      </c>
      <c r="G229" s="24" t="s">
        <v>67</v>
      </c>
      <c r="H229" s="22" t="s">
        <v>760</v>
      </c>
      <c r="I229" s="22" t="s">
        <v>331</v>
      </c>
      <c r="J229" s="22" t="s">
        <v>67</v>
      </c>
      <c r="K229" s="22" t="s">
        <v>815</v>
      </c>
      <c r="L229" s="24">
        <v>1.8</v>
      </c>
      <c r="M229" s="24" t="s">
        <v>766</v>
      </c>
      <c r="N229" s="25" t="s">
        <v>770</v>
      </c>
      <c r="O229" s="95" t="s">
        <v>67</v>
      </c>
      <c r="P229" s="22" t="s">
        <v>70</v>
      </c>
      <c r="Q229" s="22"/>
      <c r="R229" s="22"/>
      <c r="S229" s="22"/>
      <c r="T229" s="22">
        <f>ROUND(IF(D229=Table!$C$3,V229*Table!$C$4/8,V229*Table!$D$4/8),3)</f>
        <v>24.375</v>
      </c>
      <c r="U229" s="22">
        <f t="shared" si="20"/>
        <v>24.375</v>
      </c>
      <c r="V229" s="22">
        <v>1.5</v>
      </c>
      <c r="W229" s="22">
        <f>V229</f>
        <v>1.5</v>
      </c>
      <c r="X229" s="22" t="s">
        <v>80</v>
      </c>
      <c r="Y229" s="26">
        <v>43928</v>
      </c>
      <c r="Z229" s="26">
        <v>43928</v>
      </c>
      <c r="AA229" s="26">
        <v>43928</v>
      </c>
      <c r="AB229" s="26">
        <v>43928</v>
      </c>
      <c r="AC229" s="26" t="s">
        <v>201</v>
      </c>
      <c r="AD229" s="114"/>
      <c r="AE229" s="114"/>
      <c r="AF229" s="52">
        <v>1</v>
      </c>
      <c r="AG229" s="52">
        <v>1</v>
      </c>
      <c r="AH229" s="52" t="s">
        <v>216</v>
      </c>
      <c r="AI229" s="22"/>
      <c r="AJ229" s="22"/>
      <c r="AK229" s="22"/>
    </row>
    <row r="230" spans="2:37" x14ac:dyDescent="0.25">
      <c r="B230" s="93">
        <v>168</v>
      </c>
      <c r="C230" s="23">
        <v>20200407</v>
      </c>
      <c r="D230" s="22" t="s">
        <v>2</v>
      </c>
      <c r="E230" s="22" t="s">
        <v>765</v>
      </c>
      <c r="F230" s="24" t="s">
        <v>67</v>
      </c>
      <c r="G230" s="24" t="s">
        <v>67</v>
      </c>
      <c r="H230" s="22" t="s">
        <v>761</v>
      </c>
      <c r="I230" s="22" t="s">
        <v>331</v>
      </c>
      <c r="J230" s="22" t="s">
        <v>67</v>
      </c>
      <c r="K230" s="22" t="s">
        <v>815</v>
      </c>
      <c r="L230" s="24">
        <v>1.1299999999999999</v>
      </c>
      <c r="M230" s="24" t="s">
        <v>766</v>
      </c>
      <c r="N230" s="25" t="s">
        <v>771</v>
      </c>
      <c r="O230" s="95" t="s">
        <v>67</v>
      </c>
      <c r="P230" s="22" t="s">
        <v>71</v>
      </c>
      <c r="Q230" s="22"/>
      <c r="R230" s="22"/>
      <c r="S230" s="22"/>
      <c r="T230" s="22">
        <f>ROUND(IF(D230=Table!$C$3,V230*Table!$C$4/8,V230*Table!$D$4/8),3)</f>
        <v>24.375</v>
      </c>
      <c r="U230" s="22">
        <f t="shared" si="20"/>
        <v>24.375</v>
      </c>
      <c r="V230" s="22">
        <v>1.5</v>
      </c>
      <c r="W230" s="22">
        <v>3</v>
      </c>
      <c r="X230" s="22" t="s">
        <v>80</v>
      </c>
      <c r="Y230" s="26">
        <v>43928</v>
      </c>
      <c r="Z230" s="26">
        <v>43928</v>
      </c>
      <c r="AA230" s="26">
        <v>43928</v>
      </c>
      <c r="AB230" s="26">
        <v>43928</v>
      </c>
      <c r="AC230" s="26" t="s">
        <v>201</v>
      </c>
      <c r="AD230" s="114"/>
      <c r="AE230" s="114"/>
      <c r="AF230" s="52"/>
      <c r="AG230" s="52"/>
      <c r="AH230" s="52"/>
      <c r="AI230" s="22"/>
      <c r="AJ230" s="22"/>
      <c r="AK230" s="22"/>
    </row>
    <row r="231" spans="2:37" x14ac:dyDescent="0.25">
      <c r="B231" s="93">
        <v>169</v>
      </c>
      <c r="C231" s="23">
        <v>20200407</v>
      </c>
      <c r="D231" s="22" t="s">
        <v>2</v>
      </c>
      <c r="E231" s="22" t="s">
        <v>765</v>
      </c>
      <c r="F231" s="24" t="s">
        <v>67</v>
      </c>
      <c r="G231" s="24" t="s">
        <v>67</v>
      </c>
      <c r="H231" s="22" t="s">
        <v>762</v>
      </c>
      <c r="I231" s="22" t="s">
        <v>331</v>
      </c>
      <c r="J231" s="22" t="s">
        <v>67</v>
      </c>
      <c r="K231" s="22" t="s">
        <v>815</v>
      </c>
      <c r="L231" s="24">
        <v>1.17</v>
      </c>
      <c r="M231" s="24" t="s">
        <v>766</v>
      </c>
      <c r="N231" s="25" t="s">
        <v>772</v>
      </c>
      <c r="O231" s="95" t="s">
        <v>67</v>
      </c>
      <c r="P231" s="22" t="s">
        <v>71</v>
      </c>
      <c r="Q231" s="22"/>
      <c r="R231" s="22"/>
      <c r="S231" s="22"/>
      <c r="T231" s="22">
        <f>ROUND(IF(D231=Table!$C$3,V231*Table!$C$4/8,V231*Table!$D$4/8),3)</f>
        <v>24.375</v>
      </c>
      <c r="U231" s="22">
        <f t="shared" si="20"/>
        <v>24.375</v>
      </c>
      <c r="V231" s="22">
        <v>1.5</v>
      </c>
      <c r="W231" s="22">
        <v>3</v>
      </c>
      <c r="X231" s="22" t="s">
        <v>80</v>
      </c>
      <c r="Y231" s="26">
        <v>43928</v>
      </c>
      <c r="Z231" s="26">
        <v>43928</v>
      </c>
      <c r="AA231" s="26">
        <v>43928</v>
      </c>
      <c r="AB231" s="26">
        <v>43928</v>
      </c>
      <c r="AC231" s="26" t="s">
        <v>201</v>
      </c>
      <c r="AD231" s="114"/>
      <c r="AE231" s="114"/>
      <c r="AF231" s="52"/>
      <c r="AG231" s="52"/>
      <c r="AH231" s="52"/>
      <c r="AI231" s="22"/>
      <c r="AJ231" s="22"/>
      <c r="AK231" s="22"/>
    </row>
    <row r="232" spans="2:37" x14ac:dyDescent="0.25">
      <c r="B232" s="93">
        <v>170</v>
      </c>
      <c r="C232" s="23">
        <v>20200407</v>
      </c>
      <c r="D232" s="22" t="s">
        <v>2</v>
      </c>
      <c r="E232" s="22" t="s">
        <v>765</v>
      </c>
      <c r="F232" s="24" t="s">
        <v>67</v>
      </c>
      <c r="G232" s="24" t="s">
        <v>67</v>
      </c>
      <c r="H232" s="22" t="s">
        <v>763</v>
      </c>
      <c r="I232" s="22" t="s">
        <v>331</v>
      </c>
      <c r="J232" s="22" t="s">
        <v>67</v>
      </c>
      <c r="K232" s="22" t="s">
        <v>815</v>
      </c>
      <c r="L232" s="24">
        <v>1.8</v>
      </c>
      <c r="M232" s="24" t="s">
        <v>766</v>
      </c>
      <c r="N232" s="25" t="s">
        <v>773</v>
      </c>
      <c r="O232" s="95" t="s">
        <v>67</v>
      </c>
      <c r="P232" s="22" t="s">
        <v>72</v>
      </c>
      <c r="Q232" s="22"/>
      <c r="R232" s="22"/>
      <c r="S232" s="22"/>
      <c r="T232" s="22">
        <f>ROUND(IF(D232=Table!$C$3,V232*Table!$C$4/8,V232*Table!$D$4/8),3)</f>
        <v>24.375</v>
      </c>
      <c r="U232" s="22">
        <f t="shared" si="20"/>
        <v>24.375</v>
      </c>
      <c r="V232" s="22">
        <v>1.5</v>
      </c>
      <c r="W232" s="22">
        <v>2</v>
      </c>
      <c r="X232" s="22" t="s">
        <v>80</v>
      </c>
      <c r="Y232" s="26">
        <v>43928</v>
      </c>
      <c r="Z232" s="26">
        <v>43928</v>
      </c>
      <c r="AA232" s="26">
        <v>43928</v>
      </c>
      <c r="AB232" s="26">
        <v>43931</v>
      </c>
      <c r="AC232" s="26" t="s">
        <v>201</v>
      </c>
      <c r="AD232" s="114"/>
      <c r="AE232" s="114"/>
      <c r="AF232" s="52">
        <v>1</v>
      </c>
      <c r="AG232" s="52">
        <v>1</v>
      </c>
      <c r="AH232" s="52">
        <v>1</v>
      </c>
      <c r="AI232" s="22"/>
      <c r="AJ232" s="22"/>
      <c r="AK232" s="22"/>
    </row>
    <row r="233" spans="2:37" x14ac:dyDescent="0.25">
      <c r="B233" s="93">
        <v>171</v>
      </c>
      <c r="C233" s="23">
        <v>20200407</v>
      </c>
      <c r="D233" s="22" t="s">
        <v>2</v>
      </c>
      <c r="E233" s="22" t="s">
        <v>765</v>
      </c>
      <c r="F233" s="24" t="s">
        <v>67</v>
      </c>
      <c r="G233" s="24" t="s">
        <v>67</v>
      </c>
      <c r="H233" s="22" t="s">
        <v>764</v>
      </c>
      <c r="I233" s="22" t="s">
        <v>331</v>
      </c>
      <c r="J233" s="22" t="s">
        <v>67</v>
      </c>
      <c r="K233" s="22" t="s">
        <v>815</v>
      </c>
      <c r="L233" s="24">
        <v>1.4</v>
      </c>
      <c r="M233" s="24" t="s">
        <v>766</v>
      </c>
      <c r="N233" s="25" t="s">
        <v>774</v>
      </c>
      <c r="O233" s="95" t="s">
        <v>67</v>
      </c>
      <c r="P233" s="22" t="s">
        <v>72</v>
      </c>
      <c r="Q233" s="22"/>
      <c r="R233" s="22"/>
      <c r="S233" s="22"/>
      <c r="T233" s="22">
        <f>ROUND(IF(D233=Table!$C$3,V233*Table!$C$4/8,V233*Table!$D$4/8),3)</f>
        <v>24.375</v>
      </c>
      <c r="U233" s="22">
        <f t="shared" si="20"/>
        <v>24.375</v>
      </c>
      <c r="V233" s="22">
        <v>1.5</v>
      </c>
      <c r="W233" s="22">
        <v>2</v>
      </c>
      <c r="X233" s="22" t="s">
        <v>80</v>
      </c>
      <c r="Y233" s="26">
        <v>43928</v>
      </c>
      <c r="Z233" s="26">
        <v>43928</v>
      </c>
      <c r="AA233" s="26">
        <v>43928</v>
      </c>
      <c r="AB233" s="26">
        <v>43931</v>
      </c>
      <c r="AC233" s="26" t="s">
        <v>201</v>
      </c>
      <c r="AD233" s="114"/>
      <c r="AE233" s="114"/>
      <c r="AF233" s="52">
        <v>1</v>
      </c>
      <c r="AG233" s="52">
        <v>1</v>
      </c>
      <c r="AH233" s="52">
        <v>1</v>
      </c>
      <c r="AI233" s="22"/>
      <c r="AJ233" s="22"/>
      <c r="AK233" s="22"/>
    </row>
    <row r="234" spans="2:37" x14ac:dyDescent="0.25">
      <c r="B234" s="96">
        <v>172</v>
      </c>
      <c r="C234" s="23">
        <v>20200407</v>
      </c>
      <c r="D234" s="22" t="s">
        <v>2</v>
      </c>
      <c r="E234" s="22" t="s">
        <v>809</v>
      </c>
      <c r="F234" s="24" t="s">
        <v>67</v>
      </c>
      <c r="G234" s="22" t="s">
        <v>677</v>
      </c>
      <c r="H234" s="22" t="s">
        <v>775</v>
      </c>
      <c r="I234" s="22" t="s">
        <v>331</v>
      </c>
      <c r="J234" s="22" t="s">
        <v>67</v>
      </c>
      <c r="K234" s="97" t="s">
        <v>818</v>
      </c>
      <c r="L234" s="24" t="s">
        <v>790</v>
      </c>
      <c r="M234" s="24" t="s">
        <v>793</v>
      </c>
      <c r="N234" s="25" t="s">
        <v>794</v>
      </c>
      <c r="O234" s="23" t="s">
        <v>199</v>
      </c>
      <c r="P234" s="22" t="s">
        <v>6</v>
      </c>
      <c r="Q234" s="22"/>
      <c r="R234" s="22"/>
      <c r="S234" s="22">
        <v>162</v>
      </c>
      <c r="T234" s="22">
        <f>ROUND(IF(D234=Table!$C$3,V234*Table!$C$4/8,V234*Table!$D$4/8),3)</f>
        <v>111.8</v>
      </c>
      <c r="U234" s="22">
        <f t="shared" si="20"/>
        <v>111.8</v>
      </c>
      <c r="V234" s="22">
        <v>6.88</v>
      </c>
      <c r="W234" s="22">
        <v>6</v>
      </c>
      <c r="X234" s="22" t="s">
        <v>80</v>
      </c>
      <c r="Y234" s="26">
        <v>43929</v>
      </c>
      <c r="Z234" s="26">
        <v>43930</v>
      </c>
      <c r="AA234" s="26">
        <v>43929</v>
      </c>
      <c r="AB234" s="26">
        <v>43929</v>
      </c>
      <c r="AC234" s="26" t="s">
        <v>201</v>
      </c>
      <c r="AD234" s="114"/>
      <c r="AE234" s="114"/>
      <c r="AF234" s="52">
        <v>0.95699999999999996</v>
      </c>
      <c r="AG234" s="52">
        <v>0.96199999999999997</v>
      </c>
      <c r="AH234" s="52">
        <v>0.96199999999999997</v>
      </c>
      <c r="AI234" s="22" t="s">
        <v>819</v>
      </c>
      <c r="AJ234" s="22"/>
      <c r="AK234" s="22"/>
    </row>
    <row r="235" spans="2:37" x14ac:dyDescent="0.25">
      <c r="B235" s="96">
        <v>173</v>
      </c>
      <c r="C235" s="23">
        <v>20200407</v>
      </c>
      <c r="D235" s="22" t="s">
        <v>3</v>
      </c>
      <c r="E235" s="22" t="s">
        <v>809</v>
      </c>
      <c r="F235" s="24" t="s">
        <v>67</v>
      </c>
      <c r="G235" s="22" t="s">
        <v>673</v>
      </c>
      <c r="H235" s="22" t="s">
        <v>776</v>
      </c>
      <c r="I235" s="22" t="s">
        <v>332</v>
      </c>
      <c r="J235" s="22" t="s">
        <v>67</v>
      </c>
      <c r="K235" s="97" t="s">
        <v>817</v>
      </c>
      <c r="L235" s="24" t="s">
        <v>880</v>
      </c>
      <c r="M235" s="24" t="s">
        <v>793</v>
      </c>
      <c r="N235" s="25" t="s">
        <v>795</v>
      </c>
      <c r="O235" s="23" t="s">
        <v>199</v>
      </c>
      <c r="P235" s="22" t="s">
        <v>6</v>
      </c>
      <c r="Q235" s="22"/>
      <c r="R235" s="22"/>
      <c r="S235" s="22">
        <v>129</v>
      </c>
      <c r="T235" s="22">
        <f>ROUND(IF(D235=Table!$C$3,V235*Table!$C$4/8,V235*Table!$D$4/8),3)</f>
        <v>67.5</v>
      </c>
      <c r="U235" s="22">
        <f t="shared" si="20"/>
        <v>67.5</v>
      </c>
      <c r="V235" s="22">
        <v>1.2</v>
      </c>
      <c r="W235" s="22">
        <v>1</v>
      </c>
      <c r="X235" s="22" t="s">
        <v>80</v>
      </c>
      <c r="Y235" s="26">
        <v>43929</v>
      </c>
      <c r="Z235" s="26">
        <v>43930</v>
      </c>
      <c r="AA235" s="26">
        <v>43930</v>
      </c>
      <c r="AB235" s="26">
        <v>43930</v>
      </c>
      <c r="AC235" s="26" t="s">
        <v>201</v>
      </c>
      <c r="AD235" s="114"/>
      <c r="AE235" s="114"/>
      <c r="AF235" s="52">
        <v>1</v>
      </c>
      <c r="AG235" s="52">
        <v>1</v>
      </c>
      <c r="AH235" s="52" t="s">
        <v>216</v>
      </c>
      <c r="AI235" s="22"/>
      <c r="AJ235" s="22"/>
      <c r="AK235" s="22"/>
    </row>
    <row r="236" spans="2:37" x14ac:dyDescent="0.25">
      <c r="B236" s="96">
        <v>174</v>
      </c>
      <c r="C236" s="23">
        <v>20200407</v>
      </c>
      <c r="D236" s="22" t="s">
        <v>3</v>
      </c>
      <c r="E236" s="22" t="s">
        <v>809</v>
      </c>
      <c r="F236" s="24" t="s">
        <v>67</v>
      </c>
      <c r="G236" s="22" t="s">
        <v>730</v>
      </c>
      <c r="H236" s="22" t="s">
        <v>777</v>
      </c>
      <c r="I236" s="22" t="s">
        <v>332</v>
      </c>
      <c r="J236" s="22" t="s">
        <v>67</v>
      </c>
      <c r="K236" s="22" t="s">
        <v>817</v>
      </c>
      <c r="L236" s="24" t="s">
        <v>881</v>
      </c>
      <c r="M236" s="24" t="s">
        <v>793</v>
      </c>
      <c r="N236" s="25" t="s">
        <v>796</v>
      </c>
      <c r="O236" s="23" t="s">
        <v>198</v>
      </c>
      <c r="P236" s="22" t="s">
        <v>70</v>
      </c>
      <c r="Q236" s="22"/>
      <c r="R236" s="22"/>
      <c r="S236" s="22">
        <v>75</v>
      </c>
      <c r="T236" s="22">
        <f>ROUND(IF(D236=Table!$C$3,V236*Table!$C$4/8,V236*Table!$D$4/8),3)</f>
        <v>67.5</v>
      </c>
      <c r="U236" s="22">
        <f t="shared" si="20"/>
        <v>67.5</v>
      </c>
      <c r="V236" s="22">
        <v>1.2</v>
      </c>
      <c r="W236" s="22">
        <v>1</v>
      </c>
      <c r="X236" s="22" t="s">
        <v>80</v>
      </c>
      <c r="Y236" s="26">
        <v>43929</v>
      </c>
      <c r="Z236" s="26">
        <v>43930</v>
      </c>
      <c r="AA236" s="26">
        <v>43929</v>
      </c>
      <c r="AB236" s="26">
        <v>43929</v>
      </c>
      <c r="AC236" s="26" t="s">
        <v>201</v>
      </c>
      <c r="AD236" s="114"/>
      <c r="AE236" s="114"/>
      <c r="AF236" s="52">
        <v>1</v>
      </c>
      <c r="AG236" s="52">
        <v>1</v>
      </c>
      <c r="AH236" s="52">
        <v>1</v>
      </c>
      <c r="AI236" s="22"/>
      <c r="AJ236" s="22"/>
      <c r="AK236" s="22"/>
    </row>
    <row r="237" spans="2:37" x14ac:dyDescent="0.25">
      <c r="B237" s="96">
        <v>175</v>
      </c>
      <c r="C237" s="23">
        <v>20200407</v>
      </c>
      <c r="D237" s="22" t="s">
        <v>3</v>
      </c>
      <c r="E237" s="22" t="s">
        <v>809</v>
      </c>
      <c r="F237" s="24" t="s">
        <v>67</v>
      </c>
      <c r="G237" s="22" t="s">
        <v>731</v>
      </c>
      <c r="H237" s="22" t="s">
        <v>778</v>
      </c>
      <c r="I237" s="22" t="s">
        <v>332</v>
      </c>
      <c r="J237" s="22" t="s">
        <v>67</v>
      </c>
      <c r="K237" s="22" t="s">
        <v>817</v>
      </c>
      <c r="L237" s="24" t="s">
        <v>882</v>
      </c>
      <c r="M237" s="24" t="s">
        <v>793</v>
      </c>
      <c r="N237" s="25" t="s">
        <v>797</v>
      </c>
      <c r="O237" s="23" t="s">
        <v>198</v>
      </c>
      <c r="P237" s="22" t="s">
        <v>70</v>
      </c>
      <c r="Q237" s="22"/>
      <c r="R237" s="22"/>
      <c r="S237" s="22">
        <v>357</v>
      </c>
      <c r="T237" s="22">
        <f>ROUND(IF(D237=Table!$C$3,V237*Table!$C$4/8,V237*Table!$D$4/8),3)</f>
        <v>90</v>
      </c>
      <c r="U237" s="22">
        <f t="shared" ref="U237:U240" si="21">T237</f>
        <v>90</v>
      </c>
      <c r="V237" s="22">
        <v>1.6</v>
      </c>
      <c r="W237" s="22">
        <v>1</v>
      </c>
      <c r="X237" s="22" t="s">
        <v>80</v>
      </c>
      <c r="Y237" s="26">
        <v>43929</v>
      </c>
      <c r="Z237" s="26">
        <v>43930</v>
      </c>
      <c r="AA237" s="26">
        <v>43929</v>
      </c>
      <c r="AB237" s="26">
        <v>43929</v>
      </c>
      <c r="AC237" s="26" t="s">
        <v>201</v>
      </c>
      <c r="AD237" s="114"/>
      <c r="AE237" s="114"/>
      <c r="AF237" s="52">
        <v>1</v>
      </c>
      <c r="AG237" s="52">
        <v>1</v>
      </c>
      <c r="AH237" s="52">
        <v>0.33</v>
      </c>
      <c r="AI237" s="102"/>
      <c r="AJ237" s="22"/>
      <c r="AK237" s="22"/>
    </row>
    <row r="238" spans="2:37" x14ac:dyDescent="0.25">
      <c r="B238" s="96">
        <v>176</v>
      </c>
      <c r="C238" s="23">
        <v>20200407</v>
      </c>
      <c r="D238" s="22" t="s">
        <v>3</v>
      </c>
      <c r="E238" s="22" t="s">
        <v>809</v>
      </c>
      <c r="F238" s="24" t="s">
        <v>67</v>
      </c>
      <c r="G238" s="22" t="s">
        <v>791</v>
      </c>
      <c r="H238" s="22" t="s">
        <v>779</v>
      </c>
      <c r="I238" s="22" t="s">
        <v>332</v>
      </c>
      <c r="J238" s="22" t="s">
        <v>67</v>
      </c>
      <c r="K238" s="22" t="s">
        <v>817</v>
      </c>
      <c r="L238" s="24" t="s">
        <v>883</v>
      </c>
      <c r="M238" s="24" t="s">
        <v>793</v>
      </c>
      <c r="N238" s="25" t="s">
        <v>798</v>
      </c>
      <c r="O238" s="23" t="s">
        <v>198</v>
      </c>
      <c r="P238" s="22" t="s">
        <v>70</v>
      </c>
      <c r="Q238" s="22"/>
      <c r="R238" s="22"/>
      <c r="S238" s="22">
        <v>312</v>
      </c>
      <c r="T238" s="22">
        <f>ROUND(IF(D238=Table!$C$3,V238*Table!$C$4/8,V238*Table!$D$4/8),3)</f>
        <v>225</v>
      </c>
      <c r="U238" s="22">
        <f t="shared" si="21"/>
        <v>225</v>
      </c>
      <c r="V238" s="22">
        <v>4</v>
      </c>
      <c r="W238" s="22">
        <v>4</v>
      </c>
      <c r="X238" s="22" t="s">
        <v>80</v>
      </c>
      <c r="Y238" s="26">
        <v>43929</v>
      </c>
      <c r="Z238" s="26">
        <v>43930</v>
      </c>
      <c r="AA238" s="26">
        <v>43929</v>
      </c>
      <c r="AB238" s="26">
        <v>43929</v>
      </c>
      <c r="AC238" s="26" t="s">
        <v>201</v>
      </c>
      <c r="AD238" s="114"/>
      <c r="AE238" s="114"/>
      <c r="AF238" s="52">
        <v>1</v>
      </c>
      <c r="AG238" s="52">
        <v>1</v>
      </c>
      <c r="AH238" s="52">
        <v>1</v>
      </c>
      <c r="AI238" s="22"/>
      <c r="AJ238" s="22"/>
      <c r="AK238" s="22"/>
    </row>
    <row r="239" spans="2:37" x14ac:dyDescent="0.25">
      <c r="B239" s="96">
        <v>177</v>
      </c>
      <c r="C239" s="23">
        <v>20200407</v>
      </c>
      <c r="D239" s="22" t="s">
        <v>3</v>
      </c>
      <c r="E239" s="22" t="s">
        <v>809</v>
      </c>
      <c r="F239" s="24" t="s">
        <v>67</v>
      </c>
      <c r="G239" s="22" t="s">
        <v>792</v>
      </c>
      <c r="H239" s="22" t="s">
        <v>780</v>
      </c>
      <c r="I239" s="22" t="s">
        <v>332</v>
      </c>
      <c r="J239" s="22" t="s">
        <v>67</v>
      </c>
      <c r="K239" s="22" t="s">
        <v>817</v>
      </c>
      <c r="L239" s="24" t="s">
        <v>884</v>
      </c>
      <c r="M239" s="24" t="s">
        <v>793</v>
      </c>
      <c r="N239" s="25" t="s">
        <v>799</v>
      </c>
      <c r="O239" s="23" t="s">
        <v>198</v>
      </c>
      <c r="P239" s="22" t="s">
        <v>70</v>
      </c>
      <c r="Q239" s="22"/>
      <c r="R239" s="22"/>
      <c r="S239" s="22">
        <v>8</v>
      </c>
      <c r="T239" s="22">
        <f>ROUND(IF(D239=Table!$C$3,V239*Table!$C$4/8,V239*Table!$D$4/8),3)</f>
        <v>6.75</v>
      </c>
      <c r="U239" s="22">
        <f t="shared" si="21"/>
        <v>6.75</v>
      </c>
      <c r="V239" s="22">
        <v>0.12</v>
      </c>
      <c r="W239" s="22">
        <v>1</v>
      </c>
      <c r="X239" s="22" t="s">
        <v>80</v>
      </c>
      <c r="Y239" s="26">
        <v>43929</v>
      </c>
      <c r="Z239" s="26">
        <v>43930</v>
      </c>
      <c r="AA239" s="26">
        <v>43929</v>
      </c>
      <c r="AB239" s="26">
        <v>43929</v>
      </c>
      <c r="AC239" s="26" t="s">
        <v>201</v>
      </c>
      <c r="AD239" s="114"/>
      <c r="AE239" s="114"/>
      <c r="AF239" s="52">
        <v>1</v>
      </c>
      <c r="AG239" s="52">
        <v>1</v>
      </c>
      <c r="AH239" s="52">
        <v>1</v>
      </c>
      <c r="AI239" s="22"/>
      <c r="AJ239" s="22"/>
      <c r="AK239" s="22"/>
    </row>
    <row r="240" spans="2:37" x14ac:dyDescent="0.25">
      <c r="B240" s="96">
        <v>178</v>
      </c>
      <c r="C240" s="23">
        <v>20200407</v>
      </c>
      <c r="D240" s="22" t="s">
        <v>3</v>
      </c>
      <c r="E240" s="22" t="s">
        <v>809</v>
      </c>
      <c r="F240" s="24" t="s">
        <v>67</v>
      </c>
      <c r="G240" s="22" t="s">
        <v>291</v>
      </c>
      <c r="H240" s="22" t="s">
        <v>781</v>
      </c>
      <c r="I240" s="22" t="s">
        <v>332</v>
      </c>
      <c r="J240" s="22" t="s">
        <v>67</v>
      </c>
      <c r="K240" s="22" t="s">
        <v>817</v>
      </c>
      <c r="L240" s="24" t="s">
        <v>885</v>
      </c>
      <c r="M240" s="24" t="s">
        <v>793</v>
      </c>
      <c r="N240" s="25" t="s">
        <v>800</v>
      </c>
      <c r="O240" s="23" t="s">
        <v>198</v>
      </c>
      <c r="P240" s="22" t="s">
        <v>70</v>
      </c>
      <c r="Q240" s="22"/>
      <c r="R240" s="22"/>
      <c r="S240" s="22">
        <v>38</v>
      </c>
      <c r="T240" s="22">
        <f>ROUND(IF(D240=Table!$C$3,V240*Table!$C$4/8,V240*Table!$D$4/8),3)</f>
        <v>72</v>
      </c>
      <c r="U240" s="22">
        <f t="shared" si="21"/>
        <v>72</v>
      </c>
      <c r="V240" s="22">
        <v>1.2800000000000002</v>
      </c>
      <c r="W240" s="22">
        <v>1</v>
      </c>
      <c r="X240" s="22" t="s">
        <v>80</v>
      </c>
      <c r="Y240" s="26">
        <v>43929</v>
      </c>
      <c r="Z240" s="26">
        <v>43930</v>
      </c>
      <c r="AA240" s="26">
        <v>43929</v>
      </c>
      <c r="AB240" s="26">
        <v>43929</v>
      </c>
      <c r="AC240" s="26" t="s">
        <v>201</v>
      </c>
      <c r="AD240" s="114"/>
      <c r="AE240" s="114"/>
      <c r="AF240" s="52">
        <v>1</v>
      </c>
      <c r="AG240" s="52">
        <v>1</v>
      </c>
      <c r="AH240" s="52">
        <v>0.5</v>
      </c>
      <c r="AI240" s="22"/>
      <c r="AJ240" s="22"/>
      <c r="AK240" s="22"/>
    </row>
    <row r="241" spans="2:37" x14ac:dyDescent="0.25">
      <c r="B241" s="96">
        <v>179</v>
      </c>
      <c r="C241" s="23">
        <v>20200407</v>
      </c>
      <c r="D241" s="22" t="s">
        <v>3</v>
      </c>
      <c r="E241" s="22" t="s">
        <v>809</v>
      </c>
      <c r="F241" s="24" t="s">
        <v>67</v>
      </c>
      <c r="G241" s="22" t="s">
        <v>674</v>
      </c>
      <c r="H241" s="22" t="s">
        <v>782</v>
      </c>
      <c r="I241" s="22" t="s">
        <v>332</v>
      </c>
      <c r="J241" s="22" t="s">
        <v>67</v>
      </c>
      <c r="K241" s="22" t="s">
        <v>817</v>
      </c>
      <c r="L241" s="24" t="s">
        <v>886</v>
      </c>
      <c r="M241" s="24" t="s">
        <v>793</v>
      </c>
      <c r="N241" s="25" t="s">
        <v>801</v>
      </c>
      <c r="O241" s="23" t="s">
        <v>200</v>
      </c>
      <c r="P241" s="22" t="s">
        <v>72</v>
      </c>
      <c r="Q241" s="22"/>
      <c r="R241" s="22"/>
      <c r="S241" s="22">
        <v>26</v>
      </c>
      <c r="T241" s="22">
        <f>ROUND(IF(D241=Table!$C$3,V241*Table!$C$4/8,V241*Table!$D$4/8),3)</f>
        <v>72</v>
      </c>
      <c r="U241" s="22">
        <f>T241</f>
        <v>72</v>
      </c>
      <c r="V241" s="22">
        <v>1.2800000000000002</v>
      </c>
      <c r="W241" s="22">
        <v>2</v>
      </c>
      <c r="X241" s="22" t="s">
        <v>80</v>
      </c>
      <c r="Y241" s="26">
        <v>43929</v>
      </c>
      <c r="Z241" s="26">
        <v>43930</v>
      </c>
      <c r="AA241" s="26">
        <v>43931</v>
      </c>
      <c r="AB241" s="26">
        <v>43931</v>
      </c>
      <c r="AC241" s="26" t="s">
        <v>201</v>
      </c>
      <c r="AD241" s="114"/>
      <c r="AE241" s="114"/>
      <c r="AF241" s="52">
        <v>1</v>
      </c>
      <c r="AG241" s="52">
        <v>1</v>
      </c>
      <c r="AH241" s="52">
        <v>1</v>
      </c>
      <c r="AI241" s="22"/>
      <c r="AJ241" s="22"/>
      <c r="AK241" s="22"/>
    </row>
    <row r="242" spans="2:37" x14ac:dyDescent="0.25">
      <c r="B242" s="96">
        <v>180</v>
      </c>
      <c r="C242" s="23">
        <v>20200407</v>
      </c>
      <c r="D242" s="22" t="s">
        <v>3</v>
      </c>
      <c r="E242" s="22" t="s">
        <v>809</v>
      </c>
      <c r="F242" s="24" t="s">
        <v>67</v>
      </c>
      <c r="G242" s="22" t="s">
        <v>675</v>
      </c>
      <c r="H242" s="22" t="s">
        <v>783</v>
      </c>
      <c r="I242" s="22" t="s">
        <v>332</v>
      </c>
      <c r="J242" s="22" t="s">
        <v>67</v>
      </c>
      <c r="K242" s="22" t="s">
        <v>817</v>
      </c>
      <c r="L242" s="24" t="s">
        <v>887</v>
      </c>
      <c r="M242" s="24" t="s">
        <v>793</v>
      </c>
      <c r="N242" s="25" t="s">
        <v>802</v>
      </c>
      <c r="O242" s="23" t="s">
        <v>200</v>
      </c>
      <c r="P242" s="22" t="s">
        <v>72</v>
      </c>
      <c r="Q242" s="22"/>
      <c r="R242" s="22"/>
      <c r="S242" s="22">
        <v>127</v>
      </c>
      <c r="T242" s="22">
        <f>ROUND(IF(D242=Table!$C$3,V242*Table!$C$4/8,V242*Table!$D$4/8),3)</f>
        <v>144</v>
      </c>
      <c r="U242" s="22">
        <f>T242</f>
        <v>144</v>
      </c>
      <c r="V242" s="22">
        <v>2.5600000000000005</v>
      </c>
      <c r="W242" s="22">
        <v>3</v>
      </c>
      <c r="X242" s="22" t="s">
        <v>80</v>
      </c>
      <c r="Y242" s="26">
        <v>43929</v>
      </c>
      <c r="Z242" s="26">
        <v>43930</v>
      </c>
      <c r="AA242" s="26">
        <v>43931</v>
      </c>
      <c r="AB242" s="26">
        <v>43931</v>
      </c>
      <c r="AC242" s="26" t="s">
        <v>201</v>
      </c>
      <c r="AD242" s="114"/>
      <c r="AE242" s="114"/>
      <c r="AF242" s="52">
        <v>1</v>
      </c>
      <c r="AG242" s="52">
        <v>1</v>
      </c>
      <c r="AH242" s="52">
        <v>1</v>
      </c>
      <c r="AI242" s="22"/>
      <c r="AJ242" s="22"/>
      <c r="AK242" s="22"/>
    </row>
    <row r="243" spans="2:37" x14ac:dyDescent="0.25">
      <c r="B243" s="96">
        <v>181</v>
      </c>
      <c r="C243" s="23">
        <v>20200407</v>
      </c>
      <c r="D243" s="22" t="s">
        <v>3</v>
      </c>
      <c r="E243" s="22" t="s">
        <v>809</v>
      </c>
      <c r="F243" s="24" t="s">
        <v>67</v>
      </c>
      <c r="G243" s="22" t="s">
        <v>121</v>
      </c>
      <c r="H243" s="22" t="s">
        <v>784</v>
      </c>
      <c r="I243" s="22" t="s">
        <v>332</v>
      </c>
      <c r="J243" s="22" t="s">
        <v>67</v>
      </c>
      <c r="K243" s="22" t="s">
        <v>817</v>
      </c>
      <c r="L243" s="24" t="s">
        <v>888</v>
      </c>
      <c r="M243" s="24" t="s">
        <v>793</v>
      </c>
      <c r="N243" s="25" t="s">
        <v>803</v>
      </c>
      <c r="O243" s="23" t="s">
        <v>200</v>
      </c>
      <c r="P243" s="22" t="s">
        <v>72</v>
      </c>
      <c r="Q243" s="22"/>
      <c r="R243" s="22"/>
      <c r="S243" s="22">
        <v>200</v>
      </c>
      <c r="T243" s="22">
        <f>ROUND(IF(D243=Table!$C$3,V243*Table!$C$4/8,V243*Table!$D$4/8),3)</f>
        <v>180</v>
      </c>
      <c r="U243" s="22">
        <f>T243</f>
        <v>180</v>
      </c>
      <c r="V243" s="22">
        <v>3.2</v>
      </c>
      <c r="W243" s="22">
        <v>3</v>
      </c>
      <c r="X243" s="22" t="s">
        <v>80</v>
      </c>
      <c r="Y243" s="26">
        <v>43929</v>
      </c>
      <c r="Z243" s="26">
        <v>43930</v>
      </c>
      <c r="AA243" s="26">
        <v>43931</v>
      </c>
      <c r="AB243" s="26">
        <v>43931</v>
      </c>
      <c r="AC243" s="26" t="s">
        <v>201</v>
      </c>
      <c r="AD243" s="114"/>
      <c r="AE243" s="114"/>
      <c r="AF243" s="52">
        <v>1</v>
      </c>
      <c r="AG243" s="52">
        <v>1</v>
      </c>
      <c r="AH243" s="52">
        <v>1</v>
      </c>
      <c r="AI243" s="22"/>
      <c r="AJ243" s="22"/>
      <c r="AK243" s="22"/>
    </row>
    <row r="244" spans="2:37" x14ac:dyDescent="0.25">
      <c r="B244" s="96">
        <v>182</v>
      </c>
      <c r="C244" s="23">
        <v>20200407</v>
      </c>
      <c r="D244" s="22" t="s">
        <v>3</v>
      </c>
      <c r="E244" s="22" t="s">
        <v>809</v>
      </c>
      <c r="F244" s="24" t="s">
        <v>67</v>
      </c>
      <c r="G244" s="22" t="s">
        <v>122</v>
      </c>
      <c r="H244" s="22" t="s">
        <v>785</v>
      </c>
      <c r="I244" s="22" t="s">
        <v>332</v>
      </c>
      <c r="J244" s="22" t="s">
        <v>67</v>
      </c>
      <c r="K244" s="22" t="s">
        <v>817</v>
      </c>
      <c r="L244" s="24" t="s">
        <v>889</v>
      </c>
      <c r="M244" s="24" t="s">
        <v>793</v>
      </c>
      <c r="N244" s="25" t="s">
        <v>804</v>
      </c>
      <c r="O244" s="23" t="s">
        <v>200</v>
      </c>
      <c r="P244" s="22" t="s">
        <v>72</v>
      </c>
      <c r="Q244" s="22"/>
      <c r="R244" s="22"/>
      <c r="S244" s="22">
        <v>56</v>
      </c>
      <c r="T244" s="22">
        <f>ROUND(IF(D244=Table!$C$3,V244*Table!$C$4/8,V244*Table!$D$4/8),3)</f>
        <v>72</v>
      </c>
      <c r="U244" s="22">
        <f>T244</f>
        <v>72</v>
      </c>
      <c r="V244" s="22">
        <v>1.2800000000000002</v>
      </c>
      <c r="W244" s="22">
        <v>2</v>
      </c>
      <c r="X244" s="22" t="s">
        <v>80</v>
      </c>
      <c r="Y244" s="26">
        <v>43929</v>
      </c>
      <c r="Z244" s="26">
        <v>43930</v>
      </c>
      <c r="AA244" s="26">
        <v>43931</v>
      </c>
      <c r="AB244" s="26">
        <v>43931</v>
      </c>
      <c r="AC244" s="26" t="s">
        <v>201</v>
      </c>
      <c r="AD244" s="114"/>
      <c r="AE244" s="114"/>
      <c r="AF244" s="52">
        <v>1</v>
      </c>
      <c r="AG244" s="52">
        <v>1</v>
      </c>
      <c r="AH244" s="52">
        <v>1</v>
      </c>
      <c r="AI244" s="22"/>
      <c r="AJ244" s="22"/>
      <c r="AK244" s="22"/>
    </row>
    <row r="245" spans="2:37" x14ac:dyDescent="0.25">
      <c r="B245" s="96">
        <v>183</v>
      </c>
      <c r="C245" s="23">
        <v>20200407</v>
      </c>
      <c r="D245" s="22" t="s">
        <v>3</v>
      </c>
      <c r="E245" s="22" t="s">
        <v>809</v>
      </c>
      <c r="F245" s="24" t="s">
        <v>67</v>
      </c>
      <c r="G245" s="22" t="s">
        <v>123</v>
      </c>
      <c r="H245" s="22" t="s">
        <v>786</v>
      </c>
      <c r="I245" s="22" t="s">
        <v>332</v>
      </c>
      <c r="J245" s="22" t="s">
        <v>67</v>
      </c>
      <c r="K245" s="22" t="s">
        <v>817</v>
      </c>
      <c r="L245" s="24" t="s">
        <v>890</v>
      </c>
      <c r="M245" s="24" t="s">
        <v>793</v>
      </c>
      <c r="N245" s="25" t="s">
        <v>805</v>
      </c>
      <c r="O245" s="23" t="s">
        <v>651</v>
      </c>
      <c r="P245" s="22" t="s">
        <v>6</v>
      </c>
      <c r="Q245" s="22"/>
      <c r="R245" s="22"/>
      <c r="S245" s="22">
        <v>213</v>
      </c>
      <c r="T245" s="22">
        <f>ROUND(IF(D245=Table!$C$3,V245*Table!$C$4/8,V245*Table!$D$4/8),3)</f>
        <v>180</v>
      </c>
      <c r="U245" s="22">
        <f t="shared" ref="U245" si="22">T245</f>
        <v>180</v>
      </c>
      <c r="V245" s="22">
        <v>3.2</v>
      </c>
      <c r="W245" s="22">
        <v>3</v>
      </c>
      <c r="X245" s="22" t="s">
        <v>80</v>
      </c>
      <c r="Y245" s="26">
        <v>43929</v>
      </c>
      <c r="Z245" s="26">
        <v>43930</v>
      </c>
      <c r="AA245" s="26">
        <v>43931</v>
      </c>
      <c r="AB245" s="26">
        <v>43931</v>
      </c>
      <c r="AC245" s="26" t="s">
        <v>201</v>
      </c>
      <c r="AD245" s="114"/>
      <c r="AE245" s="114"/>
      <c r="AF245" s="52">
        <v>0.97</v>
      </c>
      <c r="AG245" s="52">
        <v>0.95</v>
      </c>
      <c r="AH245" s="52">
        <v>0.5</v>
      </c>
      <c r="AI245" s="22" t="s">
        <v>846</v>
      </c>
      <c r="AJ245" s="22"/>
      <c r="AK245" s="22"/>
    </row>
    <row r="246" spans="2:37" x14ac:dyDescent="0.25">
      <c r="B246" s="96">
        <v>184</v>
      </c>
      <c r="C246" s="23">
        <v>20200407</v>
      </c>
      <c r="D246" s="22" t="s">
        <v>3</v>
      </c>
      <c r="E246" s="22" t="s">
        <v>809</v>
      </c>
      <c r="F246" s="24" t="s">
        <v>67</v>
      </c>
      <c r="G246" s="22" t="s">
        <v>676</v>
      </c>
      <c r="H246" s="22" t="s">
        <v>787</v>
      </c>
      <c r="I246" s="22" t="s">
        <v>332</v>
      </c>
      <c r="J246" s="22" t="s">
        <v>67</v>
      </c>
      <c r="K246" s="22" t="s">
        <v>817</v>
      </c>
      <c r="L246" s="24" t="s">
        <v>891</v>
      </c>
      <c r="M246" s="24" t="s">
        <v>793</v>
      </c>
      <c r="N246" s="25" t="s">
        <v>806</v>
      </c>
      <c r="O246" s="23" t="s">
        <v>651</v>
      </c>
      <c r="P246" s="22" t="s">
        <v>6</v>
      </c>
      <c r="Q246" s="22"/>
      <c r="R246" s="22"/>
      <c r="S246" s="22">
        <v>138</v>
      </c>
      <c r="T246" s="22">
        <f>ROUND(IF(D246=Table!$C$3,V246*Table!$C$4/8,V246*Table!$D$4/8),3)</f>
        <v>144</v>
      </c>
      <c r="U246" s="22">
        <f>T246</f>
        <v>144</v>
      </c>
      <c r="V246" s="22">
        <v>2.56</v>
      </c>
      <c r="W246" s="22">
        <v>1</v>
      </c>
      <c r="X246" s="22" t="s">
        <v>80</v>
      </c>
      <c r="Y246" s="26">
        <v>43929</v>
      </c>
      <c r="Z246" s="26">
        <v>43930</v>
      </c>
      <c r="AA246" s="26">
        <v>43931</v>
      </c>
      <c r="AB246" s="26">
        <v>43931</v>
      </c>
      <c r="AC246" s="26" t="s">
        <v>201</v>
      </c>
      <c r="AD246" s="114"/>
      <c r="AE246" s="114"/>
      <c r="AF246" s="52">
        <v>1</v>
      </c>
      <c r="AG246" s="52">
        <v>1</v>
      </c>
      <c r="AH246" s="52">
        <v>0.5</v>
      </c>
      <c r="AI246" s="22"/>
      <c r="AJ246" s="22"/>
      <c r="AK246" s="22"/>
    </row>
    <row r="247" spans="2:37" x14ac:dyDescent="0.25">
      <c r="B247" s="96">
        <v>185</v>
      </c>
      <c r="C247" s="23">
        <v>20200407</v>
      </c>
      <c r="D247" s="22" t="s">
        <v>3</v>
      </c>
      <c r="E247" s="22" t="s">
        <v>809</v>
      </c>
      <c r="F247" s="24" t="s">
        <v>67</v>
      </c>
      <c r="G247" s="22" t="s">
        <v>124</v>
      </c>
      <c r="H247" s="22" t="s">
        <v>788</v>
      </c>
      <c r="I247" s="22" t="s">
        <v>332</v>
      </c>
      <c r="J247" s="22" t="s">
        <v>67</v>
      </c>
      <c r="K247" s="22" t="s">
        <v>817</v>
      </c>
      <c r="L247" s="24" t="s">
        <v>892</v>
      </c>
      <c r="M247" s="24" t="s">
        <v>793</v>
      </c>
      <c r="N247" s="25" t="s">
        <v>807</v>
      </c>
      <c r="O247" s="23" t="s">
        <v>651</v>
      </c>
      <c r="P247" s="22" t="s">
        <v>71</v>
      </c>
      <c r="Q247" s="22"/>
      <c r="R247" s="22"/>
      <c r="S247" s="22">
        <v>430</v>
      </c>
      <c r="T247" s="22">
        <f>ROUND(IF(D247=Table!$C$3,V247*Table!$C$4/8,V247*Table!$D$4/8),3)</f>
        <v>315</v>
      </c>
      <c r="U247" s="22">
        <f t="shared" ref="U247:U248" si="23">T247</f>
        <v>315</v>
      </c>
      <c r="V247" s="22">
        <v>5.6</v>
      </c>
      <c r="W247" s="22">
        <v>8</v>
      </c>
      <c r="X247" s="22" t="s">
        <v>80</v>
      </c>
      <c r="Y247" s="26">
        <v>43929</v>
      </c>
      <c r="Z247" s="26">
        <v>43930</v>
      </c>
      <c r="AA247" s="26">
        <v>43931</v>
      </c>
      <c r="AB247" s="26">
        <v>43931</v>
      </c>
      <c r="AC247" s="26" t="s">
        <v>201</v>
      </c>
      <c r="AD247" s="114"/>
      <c r="AE247" s="114"/>
      <c r="AF247" s="52"/>
      <c r="AG247" s="52"/>
      <c r="AH247" s="52"/>
      <c r="AI247" s="22"/>
      <c r="AJ247" s="22"/>
      <c r="AK247" s="22"/>
    </row>
    <row r="248" spans="2:37" x14ac:dyDescent="0.25">
      <c r="B248" s="96">
        <v>186</v>
      </c>
      <c r="C248" s="23">
        <v>20200407</v>
      </c>
      <c r="D248" s="22" t="s">
        <v>3</v>
      </c>
      <c r="E248" s="22" t="s">
        <v>809</v>
      </c>
      <c r="F248" s="24" t="s">
        <v>67</v>
      </c>
      <c r="G248" s="22" t="s">
        <v>126</v>
      </c>
      <c r="H248" s="22" t="s">
        <v>789</v>
      </c>
      <c r="I248" s="22" t="s">
        <v>332</v>
      </c>
      <c r="J248" s="22" t="s">
        <v>67</v>
      </c>
      <c r="K248" s="22" t="s">
        <v>817</v>
      </c>
      <c r="L248" s="24" t="s">
        <v>893</v>
      </c>
      <c r="M248" s="24" t="s">
        <v>793</v>
      </c>
      <c r="N248" s="25" t="s">
        <v>808</v>
      </c>
      <c r="O248" s="23" t="s">
        <v>651</v>
      </c>
      <c r="P248" s="22" t="s">
        <v>71</v>
      </c>
      <c r="Q248" s="22"/>
      <c r="R248" s="22"/>
      <c r="S248" s="22">
        <v>56</v>
      </c>
      <c r="T248" s="22">
        <f>ROUND(IF(D248=Table!$C$3,V248*Table!$C$4/8,V248*Table!$D$4/8),3)</f>
        <v>72</v>
      </c>
      <c r="U248" s="22">
        <f t="shared" si="23"/>
        <v>72</v>
      </c>
      <c r="V248" s="22">
        <v>1.28</v>
      </c>
      <c r="W248" s="22">
        <v>8</v>
      </c>
      <c r="X248" s="22" t="s">
        <v>80</v>
      </c>
      <c r="Y248" s="26">
        <v>43929</v>
      </c>
      <c r="Z248" s="26">
        <v>43930</v>
      </c>
      <c r="AA248" s="26">
        <v>43931</v>
      </c>
      <c r="AB248" s="26">
        <v>43931</v>
      </c>
      <c r="AC248" s="26" t="s">
        <v>201</v>
      </c>
      <c r="AD248" s="114"/>
      <c r="AE248" s="114"/>
      <c r="AF248" s="52"/>
      <c r="AG248" s="52"/>
      <c r="AH248" s="52"/>
      <c r="AI248" s="22"/>
      <c r="AJ248" s="22"/>
      <c r="AK248" s="22"/>
    </row>
    <row r="249" spans="2:37" x14ac:dyDescent="0.25">
      <c r="B249" s="104">
        <v>187</v>
      </c>
      <c r="C249" s="23">
        <v>20200409</v>
      </c>
      <c r="D249" s="22" t="s">
        <v>2</v>
      </c>
      <c r="E249" s="22" t="s">
        <v>934</v>
      </c>
      <c r="F249" s="24" t="s">
        <v>67</v>
      </c>
      <c r="G249" s="24" t="s">
        <v>67</v>
      </c>
      <c r="H249" s="22" t="s">
        <v>825</v>
      </c>
      <c r="I249" s="22" t="s">
        <v>331</v>
      </c>
      <c r="J249" s="22" t="s">
        <v>67</v>
      </c>
      <c r="K249" s="22" t="s">
        <v>67</v>
      </c>
      <c r="L249" s="24">
        <v>1.3</v>
      </c>
      <c r="M249" s="24" t="s">
        <v>833</v>
      </c>
      <c r="N249" s="25" t="s">
        <v>834</v>
      </c>
      <c r="O249" s="95" t="s">
        <v>67</v>
      </c>
      <c r="P249" s="22" t="s">
        <v>6</v>
      </c>
      <c r="Q249" s="22"/>
      <c r="R249" s="22"/>
      <c r="S249" s="22"/>
      <c r="T249" s="22">
        <f>ROUND(IF(D249=Table!$C$3,V249*Table!$C$4/8,V249*Table!$D$4/8),3)</f>
        <v>40.625</v>
      </c>
      <c r="U249" s="22">
        <f t="shared" ref="U249:U262" si="24">T249</f>
        <v>40.625</v>
      </c>
      <c r="V249" s="22">
        <v>2.5</v>
      </c>
      <c r="W249" s="22"/>
      <c r="X249" s="22" t="s">
        <v>79</v>
      </c>
      <c r="Y249" s="26">
        <v>43931</v>
      </c>
      <c r="Z249" s="26">
        <v>43931</v>
      </c>
      <c r="AA249" s="26">
        <v>43931</v>
      </c>
      <c r="AB249" s="26">
        <v>43931</v>
      </c>
      <c r="AC249" s="26" t="s">
        <v>201</v>
      </c>
      <c r="AD249" s="114"/>
      <c r="AE249" s="114"/>
      <c r="AF249" s="52">
        <v>0.93300000000000005</v>
      </c>
      <c r="AG249" s="52">
        <v>0.93799999999999994</v>
      </c>
      <c r="AH249" s="52">
        <v>1</v>
      </c>
      <c r="AI249" s="22" t="s">
        <v>848</v>
      </c>
      <c r="AJ249" s="22"/>
      <c r="AK249" s="22"/>
    </row>
    <row r="250" spans="2:37" x14ac:dyDescent="0.25">
      <c r="B250" s="104">
        <v>188</v>
      </c>
      <c r="C250" s="23">
        <v>20200409</v>
      </c>
      <c r="D250" s="22" t="s">
        <v>2</v>
      </c>
      <c r="E250" s="22" t="s">
        <v>934</v>
      </c>
      <c r="F250" s="24" t="s">
        <v>67</v>
      </c>
      <c r="G250" s="24" t="s">
        <v>67</v>
      </c>
      <c r="H250" s="22" t="s">
        <v>826</v>
      </c>
      <c r="I250" s="22" t="s">
        <v>331</v>
      </c>
      <c r="J250" s="22" t="s">
        <v>67</v>
      </c>
      <c r="K250" s="22" t="s">
        <v>67</v>
      </c>
      <c r="L250" s="24">
        <v>1.5</v>
      </c>
      <c r="M250" s="24" t="s">
        <v>833</v>
      </c>
      <c r="N250" s="25" t="s">
        <v>835</v>
      </c>
      <c r="O250" s="95" t="s">
        <v>67</v>
      </c>
      <c r="P250" s="22" t="s">
        <v>70</v>
      </c>
      <c r="Q250" s="22"/>
      <c r="R250" s="22"/>
      <c r="S250" s="22"/>
      <c r="T250" s="22">
        <f>ROUND(IF(D250=Table!$C$3,V250*Table!$C$4/8,V250*Table!$D$4/8),3)</f>
        <v>40.625</v>
      </c>
      <c r="U250" s="22">
        <f t="shared" si="24"/>
        <v>40.625</v>
      </c>
      <c r="V250" s="22">
        <v>2.5</v>
      </c>
      <c r="W250" s="22">
        <f>V250</f>
        <v>2.5</v>
      </c>
      <c r="X250" s="22" t="s">
        <v>79</v>
      </c>
      <c r="Y250" s="26">
        <v>43931</v>
      </c>
      <c r="Z250" s="26">
        <v>43931</v>
      </c>
      <c r="AA250" s="26">
        <v>43931</v>
      </c>
      <c r="AB250" s="26">
        <v>43931</v>
      </c>
      <c r="AC250" s="26" t="s">
        <v>201</v>
      </c>
      <c r="AD250" s="114"/>
      <c r="AE250" s="114"/>
      <c r="AF250" s="52">
        <v>1</v>
      </c>
      <c r="AG250" s="52">
        <v>1</v>
      </c>
      <c r="AH250" s="52" t="s">
        <v>216</v>
      </c>
      <c r="AI250" s="22"/>
      <c r="AJ250" s="22"/>
      <c r="AK250" s="22"/>
    </row>
    <row r="251" spans="2:37" x14ac:dyDescent="0.25">
      <c r="B251" s="104">
        <v>189</v>
      </c>
      <c r="C251" s="23">
        <v>20200409</v>
      </c>
      <c r="D251" s="22" t="s">
        <v>2</v>
      </c>
      <c r="E251" s="22" t="s">
        <v>934</v>
      </c>
      <c r="F251" s="24" t="s">
        <v>67</v>
      </c>
      <c r="G251" s="24" t="s">
        <v>67</v>
      </c>
      <c r="H251" s="22" t="s">
        <v>827</v>
      </c>
      <c r="I251" s="22" t="s">
        <v>331</v>
      </c>
      <c r="J251" s="22" t="s">
        <v>67</v>
      </c>
      <c r="K251" s="22" t="s">
        <v>67</v>
      </c>
      <c r="L251" s="24">
        <v>1.4</v>
      </c>
      <c r="M251" s="24" t="s">
        <v>833</v>
      </c>
      <c r="N251" s="25" t="s">
        <v>836</v>
      </c>
      <c r="O251" s="95" t="s">
        <v>67</v>
      </c>
      <c r="P251" s="22" t="s">
        <v>71</v>
      </c>
      <c r="Q251" s="22"/>
      <c r="R251" s="22"/>
      <c r="S251" s="22"/>
      <c r="T251" s="22">
        <f>ROUND(IF(D251=Table!$C$3,V251*Table!$C$4/8,V251*Table!$D$4/8),3)</f>
        <v>24.375</v>
      </c>
      <c r="U251" s="22">
        <f t="shared" si="24"/>
        <v>24.375</v>
      </c>
      <c r="V251" s="22">
        <v>1.5</v>
      </c>
      <c r="W251" s="22">
        <v>1.5</v>
      </c>
      <c r="X251" s="22" t="s">
        <v>79</v>
      </c>
      <c r="Y251" s="26">
        <v>43931</v>
      </c>
      <c r="Z251" s="26">
        <v>43931</v>
      </c>
      <c r="AA251" s="26">
        <v>43931</v>
      </c>
      <c r="AB251" s="26">
        <v>43931</v>
      </c>
      <c r="AC251" s="26" t="s">
        <v>201</v>
      </c>
      <c r="AD251" s="114"/>
      <c r="AE251" s="114"/>
      <c r="AF251" s="52"/>
      <c r="AG251" s="52"/>
      <c r="AH251" s="52"/>
      <c r="AI251" s="22"/>
      <c r="AJ251" s="22"/>
      <c r="AK251" s="22"/>
    </row>
    <row r="252" spans="2:37" x14ac:dyDescent="0.25">
      <c r="B252" s="104">
        <v>190</v>
      </c>
      <c r="C252" s="23">
        <v>20200409</v>
      </c>
      <c r="D252" s="22" t="s">
        <v>2</v>
      </c>
      <c r="E252" s="22" t="s">
        <v>934</v>
      </c>
      <c r="F252" s="24" t="s">
        <v>67</v>
      </c>
      <c r="G252" s="24" t="s">
        <v>67</v>
      </c>
      <c r="H252" s="22" t="s">
        <v>828</v>
      </c>
      <c r="I252" s="22" t="s">
        <v>331</v>
      </c>
      <c r="J252" s="22" t="s">
        <v>67</v>
      </c>
      <c r="K252" s="22" t="s">
        <v>67</v>
      </c>
      <c r="L252" s="24">
        <v>1.3</v>
      </c>
      <c r="M252" s="24" t="s">
        <v>833</v>
      </c>
      <c r="N252" s="25" t="s">
        <v>837</v>
      </c>
      <c r="O252" s="95" t="s">
        <v>67</v>
      </c>
      <c r="P252" s="22" t="s">
        <v>71</v>
      </c>
      <c r="Q252" s="22"/>
      <c r="R252" s="22"/>
      <c r="S252" s="22"/>
      <c r="T252" s="22">
        <f>ROUND(IF(D252=Table!$C$3,V252*Table!$C$4/8,V252*Table!$D$4/8),3)</f>
        <v>24.375</v>
      </c>
      <c r="U252" s="22">
        <f t="shared" si="24"/>
        <v>24.375</v>
      </c>
      <c r="V252" s="22">
        <v>1.5</v>
      </c>
      <c r="W252" s="22">
        <v>1.5</v>
      </c>
      <c r="X252" s="22" t="s">
        <v>79</v>
      </c>
      <c r="Y252" s="26">
        <v>43931</v>
      </c>
      <c r="Z252" s="26">
        <v>43931</v>
      </c>
      <c r="AA252" s="26">
        <v>43931</v>
      </c>
      <c r="AB252" s="26">
        <v>43931</v>
      </c>
      <c r="AC252" s="26" t="s">
        <v>201</v>
      </c>
      <c r="AD252" s="114"/>
      <c r="AE252" s="114"/>
      <c r="AF252" s="52"/>
      <c r="AG252" s="52"/>
      <c r="AH252" s="52"/>
      <c r="AI252" s="22"/>
      <c r="AJ252" s="22"/>
      <c r="AK252" s="22"/>
    </row>
    <row r="253" spans="2:37" x14ac:dyDescent="0.25">
      <c r="B253" s="104">
        <v>191</v>
      </c>
      <c r="C253" s="23">
        <v>20200409</v>
      </c>
      <c r="D253" s="22" t="s">
        <v>2</v>
      </c>
      <c r="E253" s="22" t="s">
        <v>934</v>
      </c>
      <c r="F253" s="24" t="s">
        <v>67</v>
      </c>
      <c r="G253" s="24" t="s">
        <v>67</v>
      </c>
      <c r="H253" s="22" t="s">
        <v>829</v>
      </c>
      <c r="I253" s="22" t="s">
        <v>331</v>
      </c>
      <c r="J253" s="22" t="s">
        <v>67</v>
      </c>
      <c r="K253" s="22" t="s">
        <v>67</v>
      </c>
      <c r="L253" s="24">
        <v>1.2</v>
      </c>
      <c r="M253" s="24" t="s">
        <v>833</v>
      </c>
      <c r="N253" s="25" t="s">
        <v>838</v>
      </c>
      <c r="O253" s="95" t="s">
        <v>67</v>
      </c>
      <c r="P253" s="22" t="s">
        <v>72</v>
      </c>
      <c r="Q253" s="22"/>
      <c r="R253" s="22"/>
      <c r="S253" s="22"/>
      <c r="T253" s="22">
        <f>ROUND(IF(D253=Table!$C$3,V253*Table!$C$4/8,V253*Table!$D$4/8),3)</f>
        <v>24.375</v>
      </c>
      <c r="U253" s="22">
        <f t="shared" si="24"/>
        <v>24.375</v>
      </c>
      <c r="V253" s="22">
        <v>1.5</v>
      </c>
      <c r="W253" s="22">
        <v>2</v>
      </c>
      <c r="X253" s="22" t="s">
        <v>79</v>
      </c>
      <c r="Y253" s="26">
        <v>43931</v>
      </c>
      <c r="Z253" s="26">
        <v>43931</v>
      </c>
      <c r="AA253" s="26">
        <v>43931</v>
      </c>
      <c r="AB253" s="26">
        <v>43931</v>
      </c>
      <c r="AC253" s="26" t="s">
        <v>201</v>
      </c>
      <c r="AD253" s="114"/>
      <c r="AE253" s="114"/>
      <c r="AF253" s="52">
        <v>1</v>
      </c>
      <c r="AG253" s="52">
        <v>1</v>
      </c>
      <c r="AH253" s="52" t="s">
        <v>216</v>
      </c>
      <c r="AI253" s="22"/>
      <c r="AJ253" s="22"/>
      <c r="AK253" s="22"/>
    </row>
    <row r="254" spans="2:37" x14ac:dyDescent="0.25">
      <c r="B254" s="104">
        <v>192</v>
      </c>
      <c r="C254" s="23">
        <v>20200409</v>
      </c>
      <c r="D254" s="22" t="s">
        <v>2</v>
      </c>
      <c r="E254" s="22" t="s">
        <v>934</v>
      </c>
      <c r="F254" s="24" t="s">
        <v>67</v>
      </c>
      <c r="G254" s="24" t="s">
        <v>67</v>
      </c>
      <c r="H254" s="22" t="s">
        <v>830</v>
      </c>
      <c r="I254" s="22" t="s">
        <v>331</v>
      </c>
      <c r="J254" s="22" t="s">
        <v>67</v>
      </c>
      <c r="K254" s="22" t="s">
        <v>67</v>
      </c>
      <c r="L254" s="24">
        <v>1.4</v>
      </c>
      <c r="M254" s="24" t="s">
        <v>833</v>
      </c>
      <c r="N254" s="25" t="s">
        <v>839</v>
      </c>
      <c r="O254" s="95" t="s">
        <v>67</v>
      </c>
      <c r="P254" s="22" t="s">
        <v>72</v>
      </c>
      <c r="Q254" s="22"/>
      <c r="R254" s="22"/>
      <c r="S254" s="22"/>
      <c r="T254" s="22">
        <f>ROUND(IF(D254=Table!$C$3,V254*Table!$C$4/8,V254*Table!$D$4/8),3)</f>
        <v>24.375</v>
      </c>
      <c r="U254" s="22">
        <f t="shared" si="24"/>
        <v>24.375</v>
      </c>
      <c r="V254" s="22">
        <v>1.5</v>
      </c>
      <c r="W254" s="22">
        <v>2</v>
      </c>
      <c r="X254" s="22" t="s">
        <v>79</v>
      </c>
      <c r="Y254" s="26">
        <v>43931</v>
      </c>
      <c r="Z254" s="26">
        <v>43931</v>
      </c>
      <c r="AA254" s="26">
        <v>43931</v>
      </c>
      <c r="AB254" s="26">
        <v>43931</v>
      </c>
      <c r="AC254" s="26" t="s">
        <v>201</v>
      </c>
      <c r="AD254" s="114"/>
      <c r="AE254" s="114"/>
      <c r="AF254" s="52">
        <v>1</v>
      </c>
      <c r="AG254" s="52">
        <v>1</v>
      </c>
      <c r="AH254" s="52" t="s">
        <v>216</v>
      </c>
      <c r="AI254" s="22"/>
      <c r="AJ254" s="22"/>
      <c r="AK254" s="22"/>
    </row>
    <row r="255" spans="2:37" x14ac:dyDescent="0.25">
      <c r="B255" s="104">
        <v>193</v>
      </c>
      <c r="C255" s="23">
        <v>20200409</v>
      </c>
      <c r="D255" s="22" t="s">
        <v>2</v>
      </c>
      <c r="E255" s="22" t="s">
        <v>934</v>
      </c>
      <c r="F255" s="24" t="s">
        <v>67</v>
      </c>
      <c r="G255" s="24" t="s">
        <v>67</v>
      </c>
      <c r="H255" s="22" t="s">
        <v>831</v>
      </c>
      <c r="I255" s="22" t="s">
        <v>331</v>
      </c>
      <c r="J255" s="22" t="s">
        <v>67</v>
      </c>
      <c r="K255" s="22" t="s">
        <v>67</v>
      </c>
      <c r="L255" s="24">
        <v>1.1000000000000001</v>
      </c>
      <c r="M255" s="24" t="s">
        <v>833</v>
      </c>
      <c r="N255" s="25" t="s">
        <v>840</v>
      </c>
      <c r="O255" s="95" t="s">
        <v>67</v>
      </c>
      <c r="P255" s="22" t="s">
        <v>6</v>
      </c>
      <c r="Q255" s="22"/>
      <c r="R255" s="22"/>
      <c r="S255" s="22"/>
      <c r="T255" s="22">
        <f>ROUND(IF(D255=Table!$C$3,V255*Table!$C$4/8,V255*Table!$D$4/8),3)</f>
        <v>24.375</v>
      </c>
      <c r="U255" s="22">
        <f t="shared" si="24"/>
        <v>24.375</v>
      </c>
      <c r="V255" s="22">
        <v>1.5</v>
      </c>
      <c r="W255" s="22">
        <v>1</v>
      </c>
      <c r="X255" s="22" t="s">
        <v>79</v>
      </c>
      <c r="Y255" s="26">
        <v>43931</v>
      </c>
      <c r="Z255" s="26">
        <v>43931</v>
      </c>
      <c r="AA255" s="26">
        <v>43931</v>
      </c>
      <c r="AB255" s="26">
        <v>43931</v>
      </c>
      <c r="AC255" s="26" t="s">
        <v>201</v>
      </c>
      <c r="AD255" s="114"/>
      <c r="AE255" s="114"/>
      <c r="AF255" s="52">
        <v>1</v>
      </c>
      <c r="AG255" s="52">
        <v>1</v>
      </c>
      <c r="AH255" s="52" t="s">
        <v>216</v>
      </c>
      <c r="AI255" s="22"/>
      <c r="AJ255" s="22"/>
      <c r="AK255" s="22"/>
    </row>
    <row r="256" spans="2:37" x14ac:dyDescent="0.25">
      <c r="B256" s="104">
        <v>194</v>
      </c>
      <c r="C256" s="23">
        <v>20200409</v>
      </c>
      <c r="D256" s="22" t="s">
        <v>2</v>
      </c>
      <c r="E256" s="22" t="s">
        <v>934</v>
      </c>
      <c r="F256" s="24" t="s">
        <v>67</v>
      </c>
      <c r="G256" s="24" t="s">
        <v>67</v>
      </c>
      <c r="H256" s="22" t="s">
        <v>832</v>
      </c>
      <c r="I256" s="22" t="s">
        <v>331</v>
      </c>
      <c r="J256" s="22" t="s">
        <v>67</v>
      </c>
      <c r="K256" s="22" t="s">
        <v>67</v>
      </c>
      <c r="L256" s="24">
        <v>1.7</v>
      </c>
      <c r="M256" s="24" t="s">
        <v>833</v>
      </c>
      <c r="N256" s="25" t="s">
        <v>841</v>
      </c>
      <c r="O256" s="95" t="s">
        <v>67</v>
      </c>
      <c r="P256" s="22" t="s">
        <v>70</v>
      </c>
      <c r="Q256" s="22"/>
      <c r="R256" s="22"/>
      <c r="S256" s="22"/>
      <c r="T256" s="22">
        <f>ROUND(IF(D256=Table!$C$3,V256*Table!$C$4/8,V256*Table!$D$4/8),3)</f>
        <v>24.375</v>
      </c>
      <c r="U256" s="22">
        <f t="shared" si="24"/>
        <v>24.375</v>
      </c>
      <c r="V256" s="22">
        <v>1.5</v>
      </c>
      <c r="W256" s="22">
        <f>V256</f>
        <v>1.5</v>
      </c>
      <c r="X256" s="22" t="s">
        <v>79</v>
      </c>
      <c r="Y256" s="26">
        <v>43931</v>
      </c>
      <c r="Z256" s="26">
        <v>43931</v>
      </c>
      <c r="AA256" s="26">
        <v>43931</v>
      </c>
      <c r="AB256" s="26">
        <v>43931</v>
      </c>
      <c r="AC256" s="26" t="s">
        <v>201</v>
      </c>
      <c r="AD256" s="114"/>
      <c r="AE256" s="114"/>
      <c r="AF256" s="52">
        <v>1</v>
      </c>
      <c r="AG256" s="52">
        <v>1</v>
      </c>
      <c r="AH256" s="52" t="s">
        <v>216</v>
      </c>
      <c r="AI256" s="22"/>
      <c r="AJ256" s="22"/>
      <c r="AK256" s="22"/>
    </row>
    <row r="257" spans="2:37" x14ac:dyDescent="0.25">
      <c r="B257" s="105">
        <v>195</v>
      </c>
      <c r="C257" s="23">
        <v>20200409</v>
      </c>
      <c r="D257" s="22" t="s">
        <v>2</v>
      </c>
      <c r="E257" s="22" t="s">
        <v>842</v>
      </c>
      <c r="F257" s="24" t="s">
        <v>67</v>
      </c>
      <c r="G257" s="22" t="s">
        <v>673</v>
      </c>
      <c r="H257" s="22" t="s">
        <v>844</v>
      </c>
      <c r="I257" s="22" t="s">
        <v>331</v>
      </c>
      <c r="J257" s="22" t="s">
        <v>67</v>
      </c>
      <c r="K257" s="22" t="s">
        <v>67</v>
      </c>
      <c r="L257" s="24" t="s">
        <v>845</v>
      </c>
      <c r="M257" s="24" t="s">
        <v>843</v>
      </c>
      <c r="N257" s="25" t="s">
        <v>847</v>
      </c>
      <c r="O257" s="23" t="s">
        <v>199</v>
      </c>
      <c r="P257" s="22" t="s">
        <v>70</v>
      </c>
      <c r="Q257" s="22"/>
      <c r="R257" s="22"/>
      <c r="S257" s="22"/>
      <c r="T257" s="22">
        <f>ROUND(IF(D257=Table!$C$3,V257*Table!$C$4/8,V257*Table!$D$4/8),3)</f>
        <v>52</v>
      </c>
      <c r="U257" s="22">
        <f t="shared" si="24"/>
        <v>52</v>
      </c>
      <c r="V257" s="22">
        <v>3.2</v>
      </c>
      <c r="W257" s="22">
        <f>V257</f>
        <v>3.2</v>
      </c>
      <c r="X257" s="22" t="s">
        <v>79</v>
      </c>
      <c r="Y257" s="26">
        <v>43931</v>
      </c>
      <c r="Z257" s="26">
        <v>43931</v>
      </c>
      <c r="AA257" s="26">
        <v>43931</v>
      </c>
      <c r="AB257" s="26">
        <v>43931</v>
      </c>
      <c r="AC257" s="26" t="s">
        <v>201</v>
      </c>
      <c r="AD257" s="114"/>
      <c r="AE257" s="114"/>
      <c r="AF257" s="52">
        <v>1</v>
      </c>
      <c r="AG257" s="52">
        <v>1</v>
      </c>
      <c r="AH257" s="52">
        <v>1</v>
      </c>
      <c r="AI257" s="22"/>
      <c r="AJ257" s="22"/>
      <c r="AK257" s="22"/>
    </row>
    <row r="258" spans="2:37" x14ac:dyDescent="0.25">
      <c r="B258" s="115">
        <v>196</v>
      </c>
      <c r="C258" s="23">
        <v>20200409</v>
      </c>
      <c r="D258" s="22" t="s">
        <v>2</v>
      </c>
      <c r="E258" s="22" t="s">
        <v>857</v>
      </c>
      <c r="F258" s="24" t="s">
        <v>67</v>
      </c>
      <c r="G258" s="22" t="s">
        <v>730</v>
      </c>
      <c r="H258" s="22" t="s">
        <v>859</v>
      </c>
      <c r="I258" s="22" t="s">
        <v>331</v>
      </c>
      <c r="J258" s="22" t="s">
        <v>67</v>
      </c>
      <c r="K258" s="22" t="s">
        <v>67</v>
      </c>
      <c r="L258" s="24">
        <v>3.1</v>
      </c>
      <c r="M258" s="24" t="s">
        <v>858</v>
      </c>
      <c r="N258" s="25" t="s">
        <v>855</v>
      </c>
      <c r="O258" s="23" t="s">
        <v>320</v>
      </c>
      <c r="P258" s="22" t="s">
        <v>71</v>
      </c>
      <c r="Q258" s="22"/>
      <c r="R258" s="22"/>
      <c r="S258" s="22"/>
      <c r="T258" s="22">
        <f>ROUND(IF(D258=Table!$C$3,V258*Table!$C$4/8,V258*Table!$D$4/8),3)</f>
        <v>78</v>
      </c>
      <c r="U258" s="22">
        <f t="shared" si="24"/>
        <v>78</v>
      </c>
      <c r="V258" s="22">
        <v>4.8</v>
      </c>
      <c r="W258" s="22">
        <v>4</v>
      </c>
      <c r="X258" s="22" t="s">
        <v>79</v>
      </c>
      <c r="Y258" s="26">
        <v>43934</v>
      </c>
      <c r="Z258" s="26">
        <v>43934</v>
      </c>
      <c r="AA258" s="26">
        <v>43934</v>
      </c>
      <c r="AB258" s="26">
        <v>43934</v>
      </c>
      <c r="AC258" s="26" t="s">
        <v>201</v>
      </c>
      <c r="AD258" s="26"/>
      <c r="AE258" s="26"/>
      <c r="AF258" s="52">
        <v>1</v>
      </c>
      <c r="AG258" s="52">
        <v>1</v>
      </c>
      <c r="AH258" s="52">
        <v>1</v>
      </c>
      <c r="AI258" s="22"/>
      <c r="AJ258" s="22"/>
      <c r="AK258" s="22"/>
    </row>
    <row r="259" spans="2:37" x14ac:dyDescent="0.25">
      <c r="B259" s="115">
        <v>197</v>
      </c>
      <c r="C259" s="23">
        <v>20200409</v>
      </c>
      <c r="D259" s="22" t="s">
        <v>2</v>
      </c>
      <c r="E259" s="22" t="s">
        <v>857</v>
      </c>
      <c r="F259" s="24" t="s">
        <v>67</v>
      </c>
      <c r="G259" s="22" t="s">
        <v>731</v>
      </c>
      <c r="H259" s="22" t="s">
        <v>860</v>
      </c>
      <c r="I259" s="22" t="s">
        <v>854</v>
      </c>
      <c r="J259" s="22" t="s">
        <v>67</v>
      </c>
      <c r="K259" s="22" t="s">
        <v>67</v>
      </c>
      <c r="L259" s="24">
        <v>1.4</v>
      </c>
      <c r="M259" s="24" t="s">
        <v>858</v>
      </c>
      <c r="N259" s="25" t="s">
        <v>856</v>
      </c>
      <c r="O259" s="23" t="s">
        <v>321</v>
      </c>
      <c r="P259" s="22" t="s">
        <v>6</v>
      </c>
      <c r="Q259" s="22"/>
      <c r="R259" s="22"/>
      <c r="S259" s="22"/>
      <c r="T259" s="22">
        <f>ROUND(IF(D259=Table!$C$3,V259*Table!$C$4/8,V259*Table!$D$4/8),3)</f>
        <v>91</v>
      </c>
      <c r="U259" s="22">
        <f t="shared" si="24"/>
        <v>91</v>
      </c>
      <c r="V259" s="22">
        <v>5.6</v>
      </c>
      <c r="W259" s="22">
        <v>4</v>
      </c>
      <c r="X259" s="22" t="s">
        <v>79</v>
      </c>
      <c r="Y259" s="26">
        <v>43934</v>
      </c>
      <c r="Z259" s="26">
        <v>43934</v>
      </c>
      <c r="AA259" s="26">
        <v>43934</v>
      </c>
      <c r="AB259" s="26">
        <v>43934</v>
      </c>
      <c r="AC259" s="26" t="s">
        <v>201</v>
      </c>
      <c r="AD259" s="26"/>
      <c r="AE259" s="26"/>
      <c r="AF259" s="52">
        <v>0.92300000000000004</v>
      </c>
      <c r="AG259" s="52">
        <v>0.92300000000000004</v>
      </c>
      <c r="AH259" s="52">
        <v>1</v>
      </c>
      <c r="AI259" s="22" t="s">
        <v>933</v>
      </c>
      <c r="AJ259" s="22"/>
      <c r="AK259" s="22"/>
    </row>
    <row r="260" spans="2:37" x14ac:dyDescent="0.25">
      <c r="B260" s="116">
        <v>198</v>
      </c>
      <c r="C260" s="23">
        <v>20200413</v>
      </c>
      <c r="D260" s="22" t="s">
        <v>3</v>
      </c>
      <c r="E260" s="22" t="s">
        <v>929</v>
      </c>
      <c r="F260" s="24" t="s">
        <v>926</v>
      </c>
      <c r="G260" s="22" t="s">
        <v>904</v>
      </c>
      <c r="H260" s="22" t="s">
        <v>894</v>
      </c>
      <c r="I260" s="22" t="s">
        <v>331</v>
      </c>
      <c r="J260" s="22" t="s">
        <v>67</v>
      </c>
      <c r="K260" s="22" t="s">
        <v>930</v>
      </c>
      <c r="L260" s="22" t="s">
        <v>67</v>
      </c>
      <c r="M260" s="24" t="s">
        <v>914</v>
      </c>
      <c r="N260" s="25" t="s">
        <v>915</v>
      </c>
      <c r="O260" s="23" t="s">
        <v>199</v>
      </c>
      <c r="P260" s="22" t="s">
        <v>931</v>
      </c>
      <c r="Q260" s="22"/>
      <c r="R260" s="22"/>
      <c r="S260" s="22">
        <v>211</v>
      </c>
      <c r="T260" s="22">
        <f>ROUND(IF(D260=Table!$C$3,V260*Table!$C$4/8,V260*Table!$D$4/8),3)</f>
        <v>292.5</v>
      </c>
      <c r="U260" s="22">
        <f t="shared" si="24"/>
        <v>292.5</v>
      </c>
      <c r="V260" s="22">
        <v>5.2</v>
      </c>
      <c r="W260" s="22">
        <v>5</v>
      </c>
      <c r="X260" s="22" t="s">
        <v>79</v>
      </c>
      <c r="Y260" s="26">
        <v>43934</v>
      </c>
      <c r="Z260" s="26">
        <v>43935</v>
      </c>
      <c r="AA260" s="26">
        <v>43934</v>
      </c>
      <c r="AB260" s="26">
        <v>43934</v>
      </c>
      <c r="AC260" s="26" t="s">
        <v>201</v>
      </c>
      <c r="AD260" s="26"/>
      <c r="AE260" s="26"/>
      <c r="AF260" s="52">
        <v>1</v>
      </c>
      <c r="AG260" s="52">
        <v>1</v>
      </c>
      <c r="AH260" s="52">
        <v>1</v>
      </c>
      <c r="AI260" s="22"/>
      <c r="AJ260" s="22"/>
      <c r="AK260" s="22"/>
    </row>
    <row r="261" spans="2:37" x14ac:dyDescent="0.25">
      <c r="B261" s="116">
        <v>199</v>
      </c>
      <c r="C261" s="23">
        <v>20200413</v>
      </c>
      <c r="D261" s="22" t="s">
        <v>3</v>
      </c>
      <c r="E261" s="22" t="s">
        <v>929</v>
      </c>
      <c r="F261" s="24" t="s">
        <v>926</v>
      </c>
      <c r="G261" s="22" t="s">
        <v>905</v>
      </c>
      <c r="H261" s="22" t="s">
        <v>895</v>
      </c>
      <c r="I261" s="22" t="s">
        <v>331</v>
      </c>
      <c r="J261" s="22" t="s">
        <v>67</v>
      </c>
      <c r="K261" s="22" t="s">
        <v>930</v>
      </c>
      <c r="L261" s="22" t="s">
        <v>67</v>
      </c>
      <c r="M261" s="24" t="s">
        <v>914</v>
      </c>
      <c r="N261" s="25" t="s">
        <v>916</v>
      </c>
      <c r="O261" s="23" t="s">
        <v>651</v>
      </c>
      <c r="P261" s="22" t="s">
        <v>71</v>
      </c>
      <c r="Q261" s="22"/>
      <c r="R261" s="22"/>
      <c r="S261" s="22">
        <v>125</v>
      </c>
      <c r="T261" s="22">
        <f>ROUND(IF(D261=Table!$C$3,V261*Table!$C$4/8,V261*Table!$D$4/8),3)</f>
        <v>180</v>
      </c>
      <c r="U261" s="22">
        <f t="shared" si="24"/>
        <v>180</v>
      </c>
      <c r="V261" s="22">
        <v>3.2</v>
      </c>
      <c r="W261" s="22">
        <v>3</v>
      </c>
      <c r="X261" s="22" t="s">
        <v>19</v>
      </c>
      <c r="Y261" s="26">
        <v>43934</v>
      </c>
      <c r="Z261" s="26">
        <v>43935</v>
      </c>
      <c r="AA261" s="26">
        <v>43934</v>
      </c>
      <c r="AB261" s="26">
        <v>43934</v>
      </c>
      <c r="AC261" s="26" t="s">
        <v>201</v>
      </c>
      <c r="AD261" s="26"/>
      <c r="AE261" s="26"/>
      <c r="AF261" s="52">
        <v>1</v>
      </c>
      <c r="AG261" s="52">
        <v>1</v>
      </c>
      <c r="AH261" s="52">
        <v>1</v>
      </c>
      <c r="AI261" s="22"/>
      <c r="AJ261" s="22"/>
      <c r="AK261" s="22"/>
    </row>
    <row r="262" spans="2:37" x14ac:dyDescent="0.25">
      <c r="B262" s="116">
        <v>200</v>
      </c>
      <c r="C262" s="23">
        <v>20200413</v>
      </c>
      <c r="D262" s="22" t="s">
        <v>3</v>
      </c>
      <c r="E262" s="22" t="s">
        <v>929</v>
      </c>
      <c r="F262" s="24" t="s">
        <v>926</v>
      </c>
      <c r="G262" s="22" t="s">
        <v>906</v>
      </c>
      <c r="H262" s="22" t="s">
        <v>896</v>
      </c>
      <c r="I262" s="22" t="s">
        <v>331</v>
      </c>
      <c r="J262" s="22" t="s">
        <v>67</v>
      </c>
      <c r="K262" s="22" t="s">
        <v>930</v>
      </c>
      <c r="L262" s="22" t="s">
        <v>67</v>
      </c>
      <c r="M262" s="24" t="s">
        <v>914</v>
      </c>
      <c r="N262" s="25" t="s">
        <v>917</v>
      </c>
      <c r="O262" s="23" t="s">
        <v>198</v>
      </c>
      <c r="P262" s="22" t="s">
        <v>932</v>
      </c>
      <c r="Q262" s="22"/>
      <c r="R262" s="22"/>
      <c r="S262" s="22">
        <v>167</v>
      </c>
      <c r="T262" s="22">
        <f>ROUND(IF(D262=Table!$C$3,V262*Table!$C$4/8,V262*Table!$D$4/8),3)</f>
        <v>180</v>
      </c>
      <c r="U262" s="22">
        <f t="shared" si="24"/>
        <v>180</v>
      </c>
      <c r="V262" s="22">
        <v>3.2</v>
      </c>
      <c r="W262" s="22">
        <v>3.2</v>
      </c>
      <c r="X262" s="22" t="s">
        <v>79</v>
      </c>
      <c r="Y262" s="26">
        <v>43934</v>
      </c>
      <c r="Z262" s="26">
        <v>43935</v>
      </c>
      <c r="AA262" s="26">
        <v>43934</v>
      </c>
      <c r="AB262" s="26">
        <v>43934</v>
      </c>
      <c r="AC262" s="26" t="s">
        <v>201</v>
      </c>
      <c r="AD262" s="26"/>
      <c r="AE262" s="26"/>
      <c r="AF262" s="52">
        <v>1</v>
      </c>
      <c r="AG262" s="52">
        <v>1</v>
      </c>
      <c r="AH262" s="52">
        <v>1</v>
      </c>
      <c r="AI262" s="22"/>
      <c r="AJ262" s="22"/>
      <c r="AK262" s="22"/>
    </row>
    <row r="263" spans="2:37" x14ac:dyDescent="0.25">
      <c r="B263" s="116">
        <v>201</v>
      </c>
      <c r="C263" s="23">
        <v>20200413</v>
      </c>
      <c r="D263" s="22" t="s">
        <v>3</v>
      </c>
      <c r="E263" s="22" t="s">
        <v>929</v>
      </c>
      <c r="F263" s="24" t="s">
        <v>926</v>
      </c>
      <c r="G263" s="22" t="s">
        <v>907</v>
      </c>
      <c r="H263" s="22" t="s">
        <v>897</v>
      </c>
      <c r="I263" s="22" t="s">
        <v>331</v>
      </c>
      <c r="J263" s="22" t="s">
        <v>67</v>
      </c>
      <c r="K263" s="22" t="s">
        <v>930</v>
      </c>
      <c r="L263" s="22" t="s">
        <v>67</v>
      </c>
      <c r="M263" s="24" t="s">
        <v>914</v>
      </c>
      <c r="N263" s="25" t="s">
        <v>918</v>
      </c>
      <c r="O263" s="23" t="s">
        <v>198</v>
      </c>
      <c r="P263" s="22" t="s">
        <v>70</v>
      </c>
      <c r="Q263" s="22"/>
      <c r="R263" s="22"/>
      <c r="S263" s="22">
        <v>446</v>
      </c>
      <c r="T263" s="22">
        <f>ROUND(IF(D263=Table!$C$3,V263*Table!$C$4/8,V263*Table!$D$4/8),3)</f>
        <v>540</v>
      </c>
      <c r="U263" s="22">
        <f>T263</f>
        <v>540</v>
      </c>
      <c r="V263" s="22">
        <v>9.6</v>
      </c>
      <c r="W263" s="22">
        <v>8</v>
      </c>
      <c r="X263" s="22" t="s">
        <v>79</v>
      </c>
      <c r="Y263" s="26">
        <v>43934</v>
      </c>
      <c r="Z263" s="26">
        <v>43935</v>
      </c>
      <c r="AA263" s="26">
        <v>43934</v>
      </c>
      <c r="AB263" s="26">
        <v>43934</v>
      </c>
      <c r="AC263" s="26" t="s">
        <v>201</v>
      </c>
      <c r="AD263" s="26"/>
      <c r="AE263" s="26"/>
      <c r="AF263" s="52">
        <v>1</v>
      </c>
      <c r="AG263" s="52">
        <v>1</v>
      </c>
      <c r="AH263" s="52">
        <v>1</v>
      </c>
      <c r="AI263" s="22"/>
      <c r="AJ263" s="22"/>
      <c r="AK263" s="22"/>
    </row>
    <row r="264" spans="2:37" x14ac:dyDescent="0.25">
      <c r="B264" s="116">
        <v>202</v>
      </c>
      <c r="C264" s="23">
        <v>20200413</v>
      </c>
      <c r="D264" s="22" t="s">
        <v>3</v>
      </c>
      <c r="E264" s="22" t="s">
        <v>929</v>
      </c>
      <c r="F264" s="24" t="s">
        <v>926</v>
      </c>
      <c r="G264" s="22" t="s">
        <v>908</v>
      </c>
      <c r="H264" s="22" t="s">
        <v>898</v>
      </c>
      <c r="I264" s="22" t="s">
        <v>331</v>
      </c>
      <c r="J264" s="22" t="s">
        <v>67</v>
      </c>
      <c r="K264" s="22" t="s">
        <v>930</v>
      </c>
      <c r="L264" s="22" t="s">
        <v>67</v>
      </c>
      <c r="M264" s="24" t="s">
        <v>914</v>
      </c>
      <c r="N264" s="25" t="s">
        <v>919</v>
      </c>
      <c r="O264" s="23" t="s">
        <v>200</v>
      </c>
      <c r="P264" s="22" t="s">
        <v>72</v>
      </c>
      <c r="Q264" s="22"/>
      <c r="R264" s="22"/>
      <c r="S264" s="22">
        <v>87</v>
      </c>
      <c r="T264" s="22">
        <f>ROUND(IF(D264=Table!$C$3,V264*Table!$C$4/8,V264*Table!$D$4/8),3)</f>
        <v>135</v>
      </c>
      <c r="U264" s="22">
        <f>T264</f>
        <v>135</v>
      </c>
      <c r="V264" s="22">
        <v>2.4</v>
      </c>
      <c r="W264" s="22">
        <v>4</v>
      </c>
      <c r="X264" s="22" t="s">
        <v>79</v>
      </c>
      <c r="Y264" s="26">
        <v>43934</v>
      </c>
      <c r="Z264" s="26">
        <v>43935</v>
      </c>
      <c r="AA264" s="26">
        <v>43936</v>
      </c>
      <c r="AB264" s="26">
        <v>43936</v>
      </c>
      <c r="AC264" s="26" t="s">
        <v>201</v>
      </c>
      <c r="AD264" s="26"/>
      <c r="AE264" s="26"/>
      <c r="AF264" s="52">
        <v>1</v>
      </c>
      <c r="AG264" s="52">
        <v>1</v>
      </c>
      <c r="AH264" s="52" t="s">
        <v>216</v>
      </c>
      <c r="AI264" s="22"/>
      <c r="AJ264" s="22"/>
      <c r="AK264" s="22"/>
    </row>
    <row r="265" spans="2:37" x14ac:dyDescent="0.25">
      <c r="B265" s="116">
        <v>203</v>
      </c>
      <c r="C265" s="23">
        <v>20200413</v>
      </c>
      <c r="D265" s="22" t="s">
        <v>3</v>
      </c>
      <c r="E265" s="22" t="s">
        <v>929</v>
      </c>
      <c r="F265" s="24" t="s">
        <v>926</v>
      </c>
      <c r="G265" s="22" t="s">
        <v>909</v>
      </c>
      <c r="H265" s="22" t="s">
        <v>899</v>
      </c>
      <c r="I265" s="22" t="s">
        <v>331</v>
      </c>
      <c r="J265" s="22" t="s">
        <v>67</v>
      </c>
      <c r="K265" s="22" t="s">
        <v>930</v>
      </c>
      <c r="L265" s="22" t="s">
        <v>67</v>
      </c>
      <c r="M265" s="24" t="s">
        <v>914</v>
      </c>
      <c r="N265" s="25" t="s">
        <v>920</v>
      </c>
      <c r="O265" s="23" t="s">
        <v>200</v>
      </c>
      <c r="P265" s="22" t="s">
        <v>72</v>
      </c>
      <c r="Q265" s="22"/>
      <c r="R265" s="22"/>
      <c r="S265" s="22">
        <v>57</v>
      </c>
      <c r="T265" s="22">
        <f>ROUND(IF(D265=Table!$C$3,V265*Table!$C$4/8,V265*Table!$D$4/8),3)</f>
        <v>90</v>
      </c>
      <c r="U265" s="22">
        <f>T265</f>
        <v>90</v>
      </c>
      <c r="V265" s="22">
        <v>1.6</v>
      </c>
      <c r="W265" s="22">
        <v>4</v>
      </c>
      <c r="X265" s="22" t="s">
        <v>79</v>
      </c>
      <c r="Y265" s="26">
        <v>43934</v>
      </c>
      <c r="Z265" s="26">
        <v>43935</v>
      </c>
      <c r="AA265" s="26">
        <v>43936</v>
      </c>
      <c r="AB265" s="26">
        <v>43936</v>
      </c>
      <c r="AC265" s="26" t="s">
        <v>201</v>
      </c>
      <c r="AD265" s="26"/>
      <c r="AE265" s="26"/>
      <c r="AF265" s="52">
        <v>1</v>
      </c>
      <c r="AG265" s="52">
        <v>1</v>
      </c>
      <c r="AH265" s="52" t="s">
        <v>216</v>
      </c>
      <c r="AI265" s="22"/>
      <c r="AJ265" s="22"/>
      <c r="AK265" s="22"/>
    </row>
    <row r="266" spans="2:37" x14ac:dyDescent="0.25">
      <c r="B266" s="116">
        <v>204</v>
      </c>
      <c r="C266" s="23">
        <v>20200413</v>
      </c>
      <c r="D266" s="22" t="s">
        <v>3</v>
      </c>
      <c r="E266" s="22" t="s">
        <v>929</v>
      </c>
      <c r="F266" s="24" t="s">
        <v>927</v>
      </c>
      <c r="G266" s="22" t="s">
        <v>910</v>
      </c>
      <c r="H266" s="22" t="s">
        <v>900</v>
      </c>
      <c r="I266" s="22" t="s">
        <v>331</v>
      </c>
      <c r="J266" s="22" t="s">
        <v>67</v>
      </c>
      <c r="K266" s="22" t="s">
        <v>930</v>
      </c>
      <c r="L266" s="22" t="s">
        <v>67</v>
      </c>
      <c r="M266" s="24" t="s">
        <v>914</v>
      </c>
      <c r="N266" s="25" t="s">
        <v>921</v>
      </c>
      <c r="O266" s="23" t="s">
        <v>200</v>
      </c>
      <c r="P266" s="22" t="s">
        <v>932</v>
      </c>
      <c r="Q266" s="22"/>
      <c r="R266" s="22"/>
      <c r="S266" s="22">
        <v>8</v>
      </c>
      <c r="T266" s="22">
        <f>ROUND(IF(D266=Table!$C$3,V266*Table!$C$4/8,V266*Table!$D$4/8),3)</f>
        <v>67.5</v>
      </c>
      <c r="U266" s="22">
        <f t="shared" ref="U266:U268" si="25">T266</f>
        <v>67.5</v>
      </c>
      <c r="V266" s="22">
        <v>1.2</v>
      </c>
      <c r="W266" s="22">
        <v>1.2</v>
      </c>
      <c r="X266" s="22" t="s">
        <v>79</v>
      </c>
      <c r="Y266" s="26">
        <v>43934</v>
      </c>
      <c r="Z266" s="26">
        <v>43935</v>
      </c>
      <c r="AA266" s="26">
        <v>43934</v>
      </c>
      <c r="AB266" s="26">
        <v>43934</v>
      </c>
      <c r="AC266" s="26" t="s">
        <v>201</v>
      </c>
      <c r="AD266" s="26"/>
      <c r="AE266" s="26"/>
      <c r="AF266" s="52">
        <v>1</v>
      </c>
      <c r="AG266" s="52">
        <v>1</v>
      </c>
      <c r="AH266" s="52">
        <v>1</v>
      </c>
      <c r="AI266" s="22"/>
      <c r="AJ266" s="22"/>
      <c r="AK266" s="22"/>
    </row>
    <row r="267" spans="2:37" x14ac:dyDescent="0.25">
      <c r="B267" s="116">
        <v>205</v>
      </c>
      <c r="C267" s="23">
        <v>20200413</v>
      </c>
      <c r="D267" s="22" t="s">
        <v>3</v>
      </c>
      <c r="E267" s="22" t="s">
        <v>929</v>
      </c>
      <c r="F267" s="24" t="s">
        <v>926</v>
      </c>
      <c r="G267" s="22" t="s">
        <v>911</v>
      </c>
      <c r="H267" s="22" t="s">
        <v>901</v>
      </c>
      <c r="I267" s="22" t="s">
        <v>331</v>
      </c>
      <c r="J267" s="22" t="s">
        <v>67</v>
      </c>
      <c r="K267" s="22" t="s">
        <v>930</v>
      </c>
      <c r="L267" s="22" t="s">
        <v>67</v>
      </c>
      <c r="M267" s="24" t="s">
        <v>914</v>
      </c>
      <c r="N267" s="25" t="s">
        <v>922</v>
      </c>
      <c r="O267" s="23" t="s">
        <v>200</v>
      </c>
      <c r="P267" s="22" t="s">
        <v>72</v>
      </c>
      <c r="Q267" s="22"/>
      <c r="R267" s="22"/>
      <c r="S267" s="22">
        <v>30</v>
      </c>
      <c r="T267" s="22">
        <f>ROUND(IF(D267=Table!$C$3,V267*Table!$C$4/8,V267*Table!$D$4/8),3)</f>
        <v>67.5</v>
      </c>
      <c r="U267" s="22">
        <f t="shared" si="25"/>
        <v>67.5</v>
      </c>
      <c r="V267" s="22">
        <v>1.2</v>
      </c>
      <c r="W267" s="22">
        <v>4</v>
      </c>
      <c r="X267" s="22" t="s">
        <v>79</v>
      </c>
      <c r="Y267" s="26">
        <v>43934</v>
      </c>
      <c r="Z267" s="26">
        <v>43935</v>
      </c>
      <c r="AA267" s="26">
        <v>43936</v>
      </c>
      <c r="AB267" s="26">
        <v>43936</v>
      </c>
      <c r="AC267" s="26" t="s">
        <v>201</v>
      </c>
      <c r="AD267" s="26"/>
      <c r="AE267" s="26"/>
      <c r="AF267" s="52">
        <v>1</v>
      </c>
      <c r="AG267" s="52">
        <v>1</v>
      </c>
      <c r="AH267" s="52" t="s">
        <v>216</v>
      </c>
      <c r="AI267" s="22"/>
      <c r="AJ267" s="22"/>
      <c r="AK267" s="22"/>
    </row>
    <row r="268" spans="2:37" x14ac:dyDescent="0.25">
      <c r="B268" s="116">
        <v>206</v>
      </c>
      <c r="C268" s="23">
        <v>20200413</v>
      </c>
      <c r="D268" s="22" t="s">
        <v>3</v>
      </c>
      <c r="E268" s="22" t="s">
        <v>929</v>
      </c>
      <c r="F268" s="24" t="s">
        <v>928</v>
      </c>
      <c r="G268" s="22" t="s">
        <v>912</v>
      </c>
      <c r="H268" s="22" t="s">
        <v>902</v>
      </c>
      <c r="I268" s="22" t="s">
        <v>331</v>
      </c>
      <c r="J268" s="22" t="s">
        <v>67</v>
      </c>
      <c r="K268" s="22" t="s">
        <v>930</v>
      </c>
      <c r="L268" s="22" t="s">
        <v>67</v>
      </c>
      <c r="M268" s="24" t="s">
        <v>914</v>
      </c>
      <c r="N268" s="25" t="s">
        <v>923</v>
      </c>
      <c r="O268" s="23" t="s">
        <v>200</v>
      </c>
      <c r="P268" s="22" t="s">
        <v>72</v>
      </c>
      <c r="Q268" s="22"/>
      <c r="R268" s="22"/>
      <c r="S268" s="22">
        <v>110</v>
      </c>
      <c r="T268" s="22">
        <f>ROUND(IF(D268=Table!$C$3,V268*Table!$C$4/8,V268*Table!$D$4/8),3)</f>
        <v>180</v>
      </c>
      <c r="U268" s="22">
        <f t="shared" si="25"/>
        <v>180</v>
      </c>
      <c r="V268" s="22">
        <v>3.2</v>
      </c>
      <c r="W268" s="22">
        <v>4</v>
      </c>
      <c r="X268" s="22" t="s">
        <v>79</v>
      </c>
      <c r="Y268" s="26">
        <v>43934</v>
      </c>
      <c r="Z268" s="26">
        <v>43935</v>
      </c>
      <c r="AA268" s="26">
        <v>43936</v>
      </c>
      <c r="AB268" s="26">
        <v>43936</v>
      </c>
      <c r="AC268" s="26" t="s">
        <v>201</v>
      </c>
      <c r="AD268" s="26"/>
      <c r="AE268" s="26"/>
      <c r="AF268" s="52">
        <v>1</v>
      </c>
      <c r="AG268" s="52">
        <v>1</v>
      </c>
      <c r="AH268" s="52" t="s">
        <v>216</v>
      </c>
      <c r="AI268" s="22"/>
      <c r="AJ268" s="22"/>
      <c r="AK268" s="22"/>
    </row>
    <row r="269" spans="2:37" x14ac:dyDescent="0.25">
      <c r="B269" s="116">
        <v>207</v>
      </c>
      <c r="C269" s="23">
        <v>20200413</v>
      </c>
      <c r="D269" s="22" t="s">
        <v>3</v>
      </c>
      <c r="E269" s="22" t="s">
        <v>929</v>
      </c>
      <c r="F269" s="24" t="s">
        <v>928</v>
      </c>
      <c r="G269" s="22" t="s">
        <v>913</v>
      </c>
      <c r="H269" s="22" t="s">
        <v>903</v>
      </c>
      <c r="I269" s="22" t="s">
        <v>331</v>
      </c>
      <c r="J269" s="22" t="s">
        <v>67</v>
      </c>
      <c r="K269" s="22" t="s">
        <v>930</v>
      </c>
      <c r="L269" s="22" t="s">
        <v>67</v>
      </c>
      <c r="M269" s="24" t="s">
        <v>914</v>
      </c>
      <c r="N269" s="25" t="s">
        <v>924</v>
      </c>
      <c r="O269" s="23" t="s">
        <v>651</v>
      </c>
      <c r="P269" s="22" t="s">
        <v>71</v>
      </c>
      <c r="Q269" s="22"/>
      <c r="R269" s="22"/>
      <c r="S269" s="22">
        <v>112</v>
      </c>
      <c r="T269" s="22">
        <f>ROUND(IF(D269=Table!$C$3,V269*Table!$C$4/8,V269*Table!$D$4/8),3)</f>
        <v>90</v>
      </c>
      <c r="U269" s="22">
        <f t="shared" ref="U269:U270" si="26">T269</f>
        <v>90</v>
      </c>
      <c r="V269" s="22">
        <v>1.6</v>
      </c>
      <c r="W269" s="22">
        <v>2</v>
      </c>
      <c r="X269" s="22" t="s">
        <v>19</v>
      </c>
      <c r="Y269" s="26">
        <v>43934</v>
      </c>
      <c r="Z269" s="26">
        <v>43935</v>
      </c>
      <c r="AA269" s="26">
        <v>43934</v>
      </c>
      <c r="AB269" s="26">
        <v>43934</v>
      </c>
      <c r="AC269" s="26" t="s">
        <v>201</v>
      </c>
      <c r="AD269" s="26"/>
      <c r="AE269" s="26"/>
      <c r="AF269" s="52">
        <v>1</v>
      </c>
      <c r="AG269" s="52">
        <v>1</v>
      </c>
      <c r="AH269" s="52">
        <v>1</v>
      </c>
      <c r="AI269" s="22"/>
      <c r="AJ269" s="22"/>
      <c r="AK269" s="22"/>
    </row>
    <row r="270" spans="2:37" x14ac:dyDescent="0.25">
      <c r="B270" s="116">
        <v>208</v>
      </c>
      <c r="C270" s="23">
        <v>20200413</v>
      </c>
      <c r="D270" s="22" t="s">
        <v>3</v>
      </c>
      <c r="E270" s="22" t="s">
        <v>929</v>
      </c>
      <c r="F270" s="24" t="s">
        <v>928</v>
      </c>
      <c r="G270" s="22" t="s">
        <v>289</v>
      </c>
      <c r="H270" s="22" t="s">
        <v>901</v>
      </c>
      <c r="I270" s="22" t="s">
        <v>331</v>
      </c>
      <c r="J270" s="22" t="s">
        <v>67</v>
      </c>
      <c r="K270" s="22" t="s">
        <v>930</v>
      </c>
      <c r="L270" s="22" t="s">
        <v>67</v>
      </c>
      <c r="M270" s="24" t="s">
        <v>914</v>
      </c>
      <c r="N270" s="25" t="s">
        <v>925</v>
      </c>
      <c r="O270" s="23" t="s">
        <v>651</v>
      </c>
      <c r="P270" s="22" t="s">
        <v>71</v>
      </c>
      <c r="Q270" s="22"/>
      <c r="R270" s="22"/>
      <c r="S270" s="22">
        <v>30</v>
      </c>
      <c r="T270" s="22">
        <f>ROUND(IF(D270=Table!$C$3,V270*Table!$C$4/8,V270*Table!$D$4/8),3)</f>
        <v>67.5</v>
      </c>
      <c r="U270" s="22">
        <f t="shared" si="26"/>
        <v>67.5</v>
      </c>
      <c r="V270" s="22">
        <v>1.2</v>
      </c>
      <c r="W270" s="22">
        <v>1</v>
      </c>
      <c r="X270" s="22" t="s">
        <v>19</v>
      </c>
      <c r="Y270" s="26">
        <v>43934</v>
      </c>
      <c r="Z270" s="26">
        <v>43935</v>
      </c>
      <c r="AA270" s="26">
        <v>43934</v>
      </c>
      <c r="AB270" s="26">
        <v>43934</v>
      </c>
      <c r="AC270" s="26" t="s">
        <v>201</v>
      </c>
      <c r="AD270" s="26"/>
      <c r="AE270" s="26"/>
      <c r="AF270" s="52">
        <v>1</v>
      </c>
      <c r="AG270" s="52">
        <v>1</v>
      </c>
      <c r="AH270" s="52">
        <v>1</v>
      </c>
      <c r="AI270" s="22"/>
      <c r="AJ270" s="22"/>
      <c r="AK270" s="22"/>
    </row>
    <row r="271" spans="2:37" x14ac:dyDescent="0.25">
      <c r="B271" s="28">
        <v>209</v>
      </c>
      <c r="C271" s="23"/>
      <c r="D271" s="22"/>
      <c r="E271" s="22"/>
      <c r="F271" s="24"/>
      <c r="G271" s="22"/>
      <c r="H271" s="22"/>
      <c r="I271" s="22"/>
      <c r="J271" s="22"/>
      <c r="K271" s="22"/>
      <c r="L271" s="24"/>
      <c r="M271" s="24"/>
      <c r="N271" s="25"/>
      <c r="O271" s="23"/>
      <c r="P271" s="22"/>
      <c r="Q271" s="22"/>
      <c r="R271" s="22"/>
      <c r="S271" s="22"/>
      <c r="T271" s="22"/>
      <c r="U271" s="22"/>
      <c r="V271" s="22"/>
      <c r="W271" s="22"/>
      <c r="X271" s="22"/>
      <c r="Y271" s="26"/>
      <c r="Z271" s="26"/>
      <c r="AA271" s="26"/>
      <c r="AB271" s="26"/>
      <c r="AC271" s="26"/>
      <c r="AD271" s="26"/>
      <c r="AE271" s="26"/>
      <c r="AF271" s="52"/>
      <c r="AG271" s="52"/>
      <c r="AH271" s="52"/>
      <c r="AI271" s="22"/>
      <c r="AJ271" s="22"/>
      <c r="AK271" s="22"/>
    </row>
    <row r="272" spans="2:37" x14ac:dyDescent="0.25">
      <c r="B272" s="28">
        <v>210</v>
      </c>
      <c r="C272" s="23"/>
      <c r="D272" s="22"/>
      <c r="E272" s="22"/>
      <c r="F272" s="24"/>
      <c r="G272" s="22"/>
      <c r="H272" s="22"/>
      <c r="I272" s="22"/>
      <c r="J272" s="22"/>
      <c r="K272" s="22"/>
      <c r="L272" s="24"/>
      <c r="M272" s="24"/>
      <c r="N272" s="25"/>
      <c r="O272" s="23"/>
      <c r="P272" s="22"/>
      <c r="Q272" s="22"/>
      <c r="R272" s="22"/>
      <c r="S272" s="22"/>
      <c r="T272" s="22"/>
      <c r="U272" s="22"/>
      <c r="V272" s="22"/>
      <c r="W272" s="22"/>
      <c r="X272" s="22"/>
      <c r="Y272" s="26"/>
      <c r="Z272" s="26"/>
      <c r="AA272" s="26"/>
      <c r="AB272" s="26"/>
      <c r="AC272" s="26"/>
      <c r="AD272" s="26"/>
      <c r="AE272" s="26"/>
      <c r="AF272" s="52"/>
      <c r="AG272" s="52"/>
      <c r="AH272" s="52"/>
      <c r="AI272" s="22"/>
      <c r="AJ272" s="22"/>
      <c r="AK272" s="22"/>
    </row>
    <row r="273" spans="2:37" x14ac:dyDescent="0.25">
      <c r="B273" s="28">
        <v>211</v>
      </c>
      <c r="C273" s="23"/>
      <c r="D273" s="22"/>
      <c r="E273" s="22"/>
      <c r="F273" s="24"/>
      <c r="G273" s="22"/>
      <c r="H273" s="22"/>
      <c r="I273" s="22"/>
      <c r="J273" s="22"/>
      <c r="K273" s="22"/>
      <c r="L273" s="24"/>
      <c r="M273" s="24"/>
      <c r="N273" s="25"/>
      <c r="O273" s="23"/>
      <c r="P273" s="22"/>
      <c r="Q273" s="22"/>
      <c r="R273" s="22"/>
      <c r="S273" s="22"/>
      <c r="T273" s="22"/>
      <c r="U273" s="22"/>
      <c r="V273" s="22"/>
      <c r="W273" s="22"/>
      <c r="X273" s="22"/>
      <c r="Y273" s="26"/>
      <c r="Z273" s="26"/>
      <c r="AA273" s="26"/>
      <c r="AB273" s="26"/>
      <c r="AC273" s="26"/>
      <c r="AD273" s="114"/>
      <c r="AE273" s="114"/>
      <c r="AF273" s="52"/>
      <c r="AG273" s="52"/>
      <c r="AH273" s="52"/>
      <c r="AI273" s="22"/>
      <c r="AJ273" s="22"/>
      <c r="AK273" s="22"/>
    </row>
    <row r="274" spans="2:37" x14ac:dyDescent="0.25">
      <c r="B274" s="28">
        <v>212</v>
      </c>
      <c r="C274" s="23"/>
      <c r="D274" s="22"/>
      <c r="E274" s="22"/>
      <c r="F274" s="24"/>
      <c r="G274" s="22"/>
      <c r="H274" s="22"/>
      <c r="I274" s="22"/>
      <c r="J274" s="22"/>
      <c r="K274" s="22"/>
      <c r="L274" s="24"/>
      <c r="M274" s="24"/>
      <c r="N274" s="25"/>
      <c r="O274" s="23"/>
      <c r="P274" s="22"/>
      <c r="Q274" s="22"/>
      <c r="R274" s="22"/>
      <c r="S274" s="22"/>
      <c r="T274" s="22"/>
      <c r="U274" s="22"/>
      <c r="V274" s="22"/>
      <c r="W274" s="22"/>
      <c r="X274" s="22"/>
      <c r="Y274" s="26"/>
      <c r="Z274" s="26"/>
      <c r="AA274" s="26"/>
      <c r="AB274" s="26"/>
      <c r="AC274" s="26"/>
      <c r="AD274" s="114"/>
      <c r="AE274" s="114"/>
      <c r="AF274" s="52"/>
      <c r="AG274" s="52"/>
      <c r="AH274" s="52"/>
      <c r="AI274" s="22"/>
      <c r="AJ274" s="22"/>
      <c r="AK274" s="22"/>
    </row>
    <row r="275" spans="2:37" x14ac:dyDescent="0.25">
      <c r="B275" s="28">
        <v>213</v>
      </c>
      <c r="C275" s="23"/>
      <c r="D275" s="22"/>
      <c r="E275" s="22"/>
      <c r="F275" s="24"/>
      <c r="G275" s="22"/>
      <c r="H275" s="22"/>
      <c r="I275" s="22"/>
      <c r="J275" s="22"/>
      <c r="K275" s="22"/>
      <c r="L275" s="24"/>
      <c r="M275" s="24"/>
      <c r="N275" s="25"/>
      <c r="O275" s="23"/>
      <c r="P275" s="22"/>
      <c r="Q275" s="22"/>
      <c r="R275" s="22"/>
      <c r="S275" s="22"/>
      <c r="T275" s="22"/>
      <c r="U275" s="22"/>
      <c r="V275" s="22"/>
      <c r="W275" s="22"/>
      <c r="X275" s="22"/>
      <c r="Y275" s="26"/>
      <c r="Z275" s="26"/>
      <c r="AA275" s="26"/>
      <c r="AB275" s="26"/>
      <c r="AC275" s="26"/>
      <c r="AD275" s="114"/>
      <c r="AE275" s="114"/>
      <c r="AF275" s="52"/>
      <c r="AG275" s="52"/>
      <c r="AH275" s="52"/>
      <c r="AI275" s="22"/>
      <c r="AJ275" s="22"/>
      <c r="AK275" s="22"/>
    </row>
    <row r="276" spans="2:37" x14ac:dyDescent="0.25">
      <c r="B276" s="28">
        <v>214</v>
      </c>
      <c r="C276" s="23"/>
      <c r="D276" s="22"/>
      <c r="E276" s="22"/>
      <c r="F276" s="24"/>
      <c r="G276" s="22"/>
      <c r="H276" s="22"/>
      <c r="I276" s="22"/>
      <c r="J276" s="22"/>
      <c r="K276" s="22"/>
      <c r="L276" s="24"/>
      <c r="M276" s="24"/>
      <c r="N276" s="25"/>
      <c r="O276" s="23"/>
      <c r="P276" s="22"/>
      <c r="Q276" s="22"/>
      <c r="R276" s="22"/>
      <c r="S276" s="22"/>
      <c r="T276" s="22"/>
      <c r="U276" s="22"/>
      <c r="V276" s="22"/>
      <c r="W276" s="22"/>
      <c r="X276" s="22"/>
      <c r="Y276" s="26"/>
      <c r="Z276" s="26"/>
      <c r="AA276" s="26"/>
      <c r="AB276" s="26"/>
      <c r="AC276" s="26"/>
      <c r="AD276" s="114"/>
      <c r="AE276" s="114"/>
      <c r="AF276" s="52"/>
      <c r="AG276" s="52"/>
      <c r="AH276" s="52"/>
      <c r="AI276" s="22"/>
      <c r="AJ276" s="22"/>
      <c r="AK276" s="22"/>
    </row>
    <row r="277" spans="2:37" x14ac:dyDescent="0.25">
      <c r="B277" s="28">
        <v>215</v>
      </c>
      <c r="C277" s="23"/>
      <c r="D277" s="22"/>
      <c r="E277" s="22"/>
      <c r="F277" s="24"/>
      <c r="G277" s="22"/>
      <c r="H277" s="22"/>
      <c r="I277" s="22"/>
      <c r="J277" s="22"/>
      <c r="K277" s="22"/>
      <c r="L277" s="24"/>
      <c r="M277" s="24"/>
      <c r="N277" s="25"/>
      <c r="O277" s="23"/>
      <c r="P277" s="22"/>
      <c r="Q277" s="22"/>
      <c r="R277" s="22"/>
      <c r="S277" s="22"/>
      <c r="T277" s="97"/>
      <c r="U277" s="22"/>
      <c r="V277" s="22"/>
      <c r="W277" s="22"/>
      <c r="X277" s="22"/>
      <c r="Y277" s="26"/>
      <c r="Z277" s="26"/>
      <c r="AA277" s="26"/>
      <c r="AB277" s="26"/>
      <c r="AC277" s="26"/>
      <c r="AD277" s="114"/>
      <c r="AE277" s="114"/>
      <c r="AF277" s="52"/>
      <c r="AG277" s="52"/>
      <c r="AH277" s="52"/>
      <c r="AI277" s="22"/>
      <c r="AJ277" s="22"/>
      <c r="AK277" s="22"/>
    </row>
    <row r="278" spans="2:37" x14ac:dyDescent="0.25">
      <c r="B278" s="28">
        <v>216</v>
      </c>
      <c r="C278" s="23"/>
      <c r="D278" s="22"/>
      <c r="E278" s="22"/>
      <c r="F278" s="24"/>
      <c r="G278" s="22"/>
      <c r="H278" s="22"/>
      <c r="I278" s="22"/>
      <c r="J278" s="22"/>
      <c r="K278" s="22"/>
      <c r="L278" s="24"/>
      <c r="M278" s="24"/>
      <c r="N278" s="25"/>
      <c r="O278" s="23"/>
      <c r="P278" s="22"/>
      <c r="Q278" s="22"/>
      <c r="R278" s="22"/>
      <c r="S278" s="22"/>
      <c r="T278" s="97"/>
      <c r="U278" s="22"/>
      <c r="V278" s="22"/>
      <c r="W278" s="22"/>
      <c r="X278" s="22"/>
      <c r="Y278" s="26"/>
      <c r="Z278" s="26"/>
      <c r="AA278" s="26"/>
      <c r="AB278" s="26"/>
      <c r="AC278" s="26"/>
      <c r="AD278" s="114"/>
      <c r="AE278" s="114"/>
      <c r="AF278" s="52"/>
      <c r="AG278" s="52"/>
      <c r="AH278" s="52"/>
      <c r="AI278" s="22"/>
      <c r="AJ278" s="22"/>
      <c r="AK278" s="22"/>
    </row>
    <row r="279" spans="2:37" x14ac:dyDescent="0.25">
      <c r="B279" s="28">
        <v>217</v>
      </c>
      <c r="C279" s="23"/>
      <c r="D279" s="22"/>
      <c r="E279" s="22"/>
      <c r="F279" s="24"/>
      <c r="G279" s="22"/>
      <c r="H279" s="22"/>
      <c r="I279" s="22"/>
      <c r="J279" s="22"/>
      <c r="K279" s="22"/>
      <c r="L279" s="24"/>
      <c r="M279" s="24"/>
      <c r="N279" s="25"/>
      <c r="O279" s="23"/>
      <c r="P279" s="22"/>
      <c r="Q279" s="22"/>
      <c r="R279" s="22"/>
      <c r="S279" s="22"/>
      <c r="T279" s="97"/>
      <c r="U279" s="22"/>
      <c r="V279" s="22"/>
      <c r="W279" s="22"/>
      <c r="X279" s="22"/>
      <c r="Y279" s="26"/>
      <c r="Z279" s="26"/>
      <c r="AA279" s="26"/>
      <c r="AB279" s="26"/>
      <c r="AC279" s="26"/>
      <c r="AD279" s="114"/>
      <c r="AE279" s="114"/>
      <c r="AF279" s="52"/>
      <c r="AG279" s="52"/>
      <c r="AH279" s="52"/>
      <c r="AI279" s="22"/>
      <c r="AJ279" s="22"/>
      <c r="AK279" s="22"/>
    </row>
    <row r="280" spans="2:37" x14ac:dyDescent="0.25">
      <c r="B280" s="28">
        <v>218</v>
      </c>
      <c r="C280" s="23"/>
      <c r="D280" s="22"/>
      <c r="E280" s="22"/>
      <c r="F280" s="24"/>
      <c r="G280" s="22"/>
      <c r="H280" s="22"/>
      <c r="I280" s="22"/>
      <c r="J280" s="22"/>
      <c r="K280" s="22"/>
      <c r="L280" s="24"/>
      <c r="M280" s="24"/>
      <c r="N280" s="25"/>
      <c r="O280" s="23"/>
      <c r="P280" s="22"/>
      <c r="Q280" s="22"/>
      <c r="R280" s="22"/>
      <c r="S280" s="22"/>
      <c r="T280" s="97"/>
      <c r="U280" s="22"/>
      <c r="V280" s="22"/>
      <c r="W280" s="22"/>
      <c r="X280" s="22"/>
      <c r="Y280" s="26"/>
      <c r="Z280" s="26"/>
      <c r="AA280" s="26"/>
      <c r="AB280" s="26"/>
      <c r="AC280" s="26"/>
      <c r="AD280" s="114"/>
      <c r="AE280" s="114"/>
      <c r="AF280" s="52"/>
      <c r="AG280" s="52"/>
      <c r="AH280" s="52"/>
      <c r="AI280" s="22"/>
      <c r="AJ280" s="22"/>
      <c r="AK280" s="22"/>
    </row>
    <row r="281" spans="2:37" x14ac:dyDescent="0.25">
      <c r="B281" s="28">
        <v>219</v>
      </c>
      <c r="C281" s="23"/>
      <c r="D281" s="22"/>
      <c r="E281" s="22"/>
      <c r="F281" s="24"/>
      <c r="G281" s="22"/>
      <c r="H281" s="22"/>
      <c r="I281" s="22"/>
      <c r="J281" s="22"/>
      <c r="K281" s="22"/>
      <c r="L281" s="24"/>
      <c r="M281" s="24"/>
      <c r="N281" s="25"/>
      <c r="O281" s="23"/>
      <c r="P281" s="22"/>
      <c r="Q281" s="22"/>
      <c r="R281" s="22"/>
      <c r="S281" s="22"/>
      <c r="T281" s="97"/>
      <c r="U281" s="22"/>
      <c r="V281" s="22"/>
      <c r="W281" s="22"/>
      <c r="X281" s="22"/>
      <c r="Y281" s="26"/>
      <c r="Z281" s="26"/>
      <c r="AA281" s="26"/>
      <c r="AB281" s="26"/>
      <c r="AC281" s="26"/>
      <c r="AD281" s="114"/>
      <c r="AE281" s="114"/>
      <c r="AF281" s="52"/>
      <c r="AG281" s="52"/>
      <c r="AH281" s="52"/>
      <c r="AI281" s="22"/>
      <c r="AJ281" s="22"/>
      <c r="AK281" s="22"/>
    </row>
    <row r="282" spans="2:37" x14ac:dyDescent="0.25">
      <c r="B282" s="28">
        <v>220</v>
      </c>
      <c r="C282" s="23"/>
      <c r="D282" s="22"/>
      <c r="E282" s="22"/>
      <c r="F282" s="24"/>
      <c r="G282" s="22"/>
      <c r="H282" s="22"/>
      <c r="I282" s="22"/>
      <c r="J282" s="22"/>
      <c r="K282" s="22"/>
      <c r="L282" s="24"/>
      <c r="M282" s="24"/>
      <c r="N282" s="25"/>
      <c r="O282" s="23"/>
      <c r="P282" s="22"/>
      <c r="Q282" s="22"/>
      <c r="R282" s="22"/>
      <c r="S282" s="22"/>
      <c r="T282" s="97"/>
      <c r="U282" s="22"/>
      <c r="V282" s="22"/>
      <c r="W282" s="22"/>
      <c r="X282" s="22"/>
      <c r="Y282" s="26"/>
      <c r="Z282" s="26"/>
      <c r="AA282" s="26"/>
      <c r="AB282" s="26"/>
      <c r="AC282" s="26"/>
      <c r="AD282" s="114"/>
      <c r="AE282" s="114"/>
      <c r="AF282" s="52"/>
      <c r="AG282" s="52"/>
      <c r="AH282" s="52"/>
      <c r="AI282" s="22"/>
      <c r="AJ282" s="22"/>
      <c r="AK282" s="22"/>
    </row>
    <row r="283" spans="2:37" x14ac:dyDescent="0.25">
      <c r="B283" s="28">
        <v>221</v>
      </c>
      <c r="C283" s="23"/>
      <c r="D283" s="22"/>
      <c r="E283" s="22"/>
      <c r="F283" s="24"/>
      <c r="G283" s="22"/>
      <c r="H283" s="22"/>
      <c r="I283" s="22"/>
      <c r="J283" s="22"/>
      <c r="K283" s="22"/>
      <c r="L283" s="24"/>
      <c r="M283" s="24"/>
      <c r="N283" s="25"/>
      <c r="O283" s="23"/>
      <c r="P283" s="22"/>
      <c r="Q283" s="22"/>
      <c r="R283" s="22"/>
      <c r="S283" s="22"/>
      <c r="T283" s="22"/>
      <c r="U283" s="22"/>
      <c r="V283" s="22"/>
      <c r="W283" s="22"/>
      <c r="X283" s="22"/>
      <c r="Y283" s="26"/>
      <c r="Z283" s="26"/>
      <c r="AA283" s="26"/>
      <c r="AB283" s="26"/>
      <c r="AC283" s="26"/>
      <c r="AD283" s="26"/>
      <c r="AE283" s="26"/>
      <c r="AF283" s="52"/>
      <c r="AG283" s="52"/>
      <c r="AH283" s="52"/>
      <c r="AI283" s="22"/>
      <c r="AJ283" s="22"/>
      <c r="AK283" s="22"/>
    </row>
    <row r="284" spans="2:37" x14ac:dyDescent="0.25">
      <c r="B284" s="28">
        <v>222</v>
      </c>
      <c r="C284" s="23"/>
      <c r="D284" s="22"/>
      <c r="E284" s="22"/>
      <c r="F284" s="24"/>
      <c r="G284" s="22"/>
      <c r="H284" s="22"/>
      <c r="I284" s="22"/>
      <c r="J284" s="22"/>
      <c r="K284" s="22"/>
      <c r="L284" s="24"/>
      <c r="M284" s="24"/>
      <c r="N284" s="25"/>
      <c r="O284" s="23"/>
      <c r="P284" s="22"/>
      <c r="Q284" s="22"/>
      <c r="R284" s="22"/>
      <c r="S284" s="22"/>
      <c r="T284" s="22"/>
      <c r="U284" s="22"/>
      <c r="V284" s="22"/>
      <c r="W284" s="22"/>
      <c r="X284" s="22"/>
      <c r="Y284" s="26"/>
      <c r="Z284" s="26"/>
      <c r="AA284" s="26"/>
      <c r="AB284" s="26"/>
      <c r="AC284" s="26"/>
      <c r="AD284" s="26"/>
      <c r="AE284" s="26"/>
      <c r="AF284" s="52"/>
      <c r="AG284" s="52"/>
      <c r="AH284" s="52"/>
      <c r="AI284" s="22"/>
      <c r="AJ284" s="22"/>
      <c r="AK284" s="22"/>
    </row>
    <row r="285" spans="2:37" x14ac:dyDescent="0.25">
      <c r="B285" s="28">
        <v>223</v>
      </c>
      <c r="C285" s="23"/>
      <c r="D285" s="22"/>
      <c r="E285" s="22"/>
      <c r="F285" s="24"/>
      <c r="G285" s="22"/>
      <c r="H285" s="22"/>
      <c r="I285" s="22"/>
      <c r="J285" s="22"/>
      <c r="K285" s="22"/>
      <c r="L285" s="24"/>
      <c r="M285" s="24"/>
      <c r="N285" s="25"/>
      <c r="O285" s="23"/>
      <c r="P285" s="22"/>
      <c r="Q285" s="22"/>
      <c r="R285" s="22"/>
      <c r="S285" s="22"/>
      <c r="T285" s="22"/>
      <c r="U285" s="22"/>
      <c r="V285" s="22"/>
      <c r="W285" s="22"/>
      <c r="X285" s="22"/>
      <c r="Y285" s="26"/>
      <c r="Z285" s="26"/>
      <c r="AA285" s="26"/>
      <c r="AB285" s="26"/>
      <c r="AC285" s="26"/>
      <c r="AD285" s="26"/>
      <c r="AE285" s="26"/>
      <c r="AF285" s="52"/>
      <c r="AG285" s="52"/>
      <c r="AH285" s="52"/>
      <c r="AI285" s="22"/>
      <c r="AJ285" s="22"/>
      <c r="AK285" s="22"/>
    </row>
    <row r="286" spans="2:37" x14ac:dyDescent="0.25">
      <c r="B286" s="28">
        <v>224</v>
      </c>
      <c r="C286" s="23"/>
      <c r="D286" s="22"/>
      <c r="E286" s="22"/>
      <c r="F286" s="24"/>
      <c r="G286" s="22"/>
      <c r="H286" s="22"/>
      <c r="I286" s="22"/>
      <c r="J286" s="22"/>
      <c r="K286" s="22"/>
      <c r="L286" s="24"/>
      <c r="M286" s="24"/>
      <c r="N286" s="25"/>
      <c r="O286" s="23"/>
      <c r="P286" s="22"/>
      <c r="Q286" s="22"/>
      <c r="R286" s="22"/>
      <c r="S286" s="22"/>
      <c r="T286" s="22"/>
      <c r="U286" s="22"/>
      <c r="V286" s="22"/>
      <c r="W286" s="22"/>
      <c r="X286" s="22"/>
      <c r="Y286" s="26"/>
      <c r="Z286" s="26"/>
      <c r="AA286" s="26"/>
      <c r="AB286" s="26"/>
      <c r="AC286" s="26"/>
      <c r="AD286" s="26"/>
      <c r="AE286" s="26"/>
      <c r="AF286" s="52"/>
      <c r="AG286" s="52"/>
      <c r="AH286" s="52"/>
      <c r="AI286" s="22"/>
      <c r="AJ286" s="22"/>
      <c r="AK286" s="22"/>
    </row>
    <row r="287" spans="2:37" x14ac:dyDescent="0.25">
      <c r="B287" s="28">
        <v>225</v>
      </c>
      <c r="C287" s="23"/>
      <c r="D287" s="22"/>
      <c r="E287" s="22"/>
      <c r="F287" s="24"/>
      <c r="G287" s="22"/>
      <c r="H287" s="22"/>
      <c r="I287" s="22"/>
      <c r="J287" s="22"/>
      <c r="K287" s="22"/>
      <c r="L287" s="24"/>
      <c r="M287" s="24"/>
      <c r="N287" s="25"/>
      <c r="O287" s="23"/>
      <c r="P287" s="22"/>
      <c r="Q287" s="22"/>
      <c r="R287" s="22"/>
      <c r="S287" s="22"/>
      <c r="T287" s="22"/>
      <c r="U287" s="22"/>
      <c r="V287" s="22"/>
      <c r="W287" s="22"/>
      <c r="X287" s="22"/>
      <c r="Y287" s="26"/>
      <c r="Z287" s="26"/>
      <c r="AA287" s="26"/>
      <c r="AB287" s="26"/>
      <c r="AC287" s="26"/>
      <c r="AD287" s="26"/>
      <c r="AE287" s="26"/>
      <c r="AF287" s="52"/>
      <c r="AG287" s="52"/>
      <c r="AH287" s="52"/>
      <c r="AI287" s="22"/>
      <c r="AJ287" s="22"/>
      <c r="AK287" s="22"/>
    </row>
    <row r="288" spans="2:37" x14ac:dyDescent="0.25">
      <c r="B288" s="28">
        <v>226</v>
      </c>
      <c r="C288" s="23"/>
      <c r="D288" s="22"/>
      <c r="E288" s="22"/>
      <c r="F288" s="24"/>
      <c r="G288" s="22"/>
      <c r="H288" s="22"/>
      <c r="I288" s="22"/>
      <c r="J288" s="22"/>
      <c r="K288" s="22"/>
      <c r="L288" s="24"/>
      <c r="M288" s="24"/>
      <c r="N288" s="25"/>
      <c r="O288" s="23"/>
      <c r="P288" s="22"/>
      <c r="Q288" s="22"/>
      <c r="R288" s="22"/>
      <c r="S288" s="22"/>
      <c r="T288" s="22"/>
      <c r="U288" s="22"/>
      <c r="V288" s="22"/>
      <c r="W288" s="22"/>
      <c r="X288" s="22"/>
      <c r="Y288" s="26"/>
      <c r="Z288" s="26"/>
      <c r="AA288" s="26"/>
      <c r="AB288" s="26"/>
      <c r="AC288" s="26"/>
      <c r="AD288" s="26"/>
      <c r="AE288" s="26"/>
      <c r="AF288" s="52"/>
      <c r="AG288" s="52"/>
      <c r="AH288" s="52"/>
      <c r="AI288" s="22"/>
      <c r="AJ288" s="22"/>
      <c r="AK288" s="22"/>
    </row>
    <row r="289" spans="2:37" x14ac:dyDescent="0.25">
      <c r="B289" s="28">
        <v>227</v>
      </c>
      <c r="C289" s="23"/>
      <c r="D289" s="22"/>
      <c r="E289" s="22"/>
      <c r="F289" s="24"/>
      <c r="G289" s="22"/>
      <c r="H289" s="22"/>
      <c r="I289" s="22"/>
      <c r="J289" s="22"/>
      <c r="K289" s="22"/>
      <c r="L289" s="24"/>
      <c r="M289" s="24"/>
      <c r="N289" s="25"/>
      <c r="O289" s="23"/>
      <c r="P289" s="22"/>
      <c r="Q289" s="22"/>
      <c r="R289" s="22"/>
      <c r="S289" s="22"/>
      <c r="T289" s="22"/>
      <c r="U289" s="22"/>
      <c r="V289" s="22"/>
      <c r="W289" s="22"/>
      <c r="X289" s="22"/>
      <c r="Y289" s="26"/>
      <c r="Z289" s="26"/>
      <c r="AA289" s="26"/>
      <c r="AB289" s="26"/>
      <c r="AC289" s="26"/>
      <c r="AD289" s="26"/>
      <c r="AE289" s="26"/>
      <c r="AF289" s="52"/>
      <c r="AG289" s="52"/>
      <c r="AH289" s="52"/>
      <c r="AI289" s="22"/>
      <c r="AJ289" s="22"/>
      <c r="AK289" s="22"/>
    </row>
    <row r="290" spans="2:37" x14ac:dyDescent="0.25">
      <c r="B290" s="28">
        <v>228</v>
      </c>
      <c r="C290" s="23"/>
      <c r="D290" s="22"/>
      <c r="E290" s="22"/>
      <c r="F290" s="24"/>
      <c r="G290" s="22"/>
      <c r="H290" s="22"/>
      <c r="I290" s="22"/>
      <c r="J290" s="22"/>
      <c r="K290" s="22"/>
      <c r="L290" s="24"/>
      <c r="M290" s="24"/>
      <c r="N290" s="25"/>
      <c r="O290" s="23"/>
      <c r="P290" s="22"/>
      <c r="Q290" s="22"/>
      <c r="R290" s="22"/>
      <c r="S290" s="22"/>
      <c r="T290" s="22"/>
      <c r="U290" s="22"/>
      <c r="V290" s="22"/>
      <c r="W290" s="22"/>
      <c r="X290" s="22"/>
      <c r="Y290" s="26"/>
      <c r="Z290" s="26"/>
      <c r="AA290" s="26"/>
      <c r="AB290" s="26"/>
      <c r="AC290" s="26"/>
      <c r="AD290" s="26"/>
      <c r="AE290" s="26"/>
      <c r="AF290" s="52"/>
      <c r="AG290" s="52"/>
      <c r="AH290" s="52"/>
      <c r="AI290" s="22"/>
      <c r="AJ290" s="22"/>
      <c r="AK290" s="22"/>
    </row>
    <row r="291" spans="2:37" x14ac:dyDescent="0.25">
      <c r="B291" s="28">
        <v>229</v>
      </c>
      <c r="C291" s="23"/>
      <c r="D291" s="22"/>
      <c r="E291" s="22"/>
      <c r="F291" s="24"/>
      <c r="G291" s="22"/>
      <c r="H291" s="22"/>
      <c r="I291" s="22"/>
      <c r="J291" s="22"/>
      <c r="K291" s="22"/>
      <c r="L291" s="24"/>
      <c r="M291" s="24"/>
      <c r="N291" s="25"/>
      <c r="O291" s="23"/>
      <c r="P291" s="22"/>
      <c r="Q291" s="22"/>
      <c r="R291" s="22"/>
      <c r="S291" s="22"/>
      <c r="T291" s="22"/>
      <c r="U291" s="22"/>
      <c r="V291" s="22"/>
      <c r="W291" s="22"/>
      <c r="X291" s="22"/>
      <c r="Y291" s="26"/>
      <c r="Z291" s="26"/>
      <c r="AA291" s="26"/>
      <c r="AB291" s="26"/>
      <c r="AC291" s="26"/>
      <c r="AD291" s="26"/>
      <c r="AE291" s="26"/>
      <c r="AF291" s="52"/>
      <c r="AG291" s="52"/>
      <c r="AH291" s="52"/>
      <c r="AI291" s="22"/>
      <c r="AJ291" s="22"/>
      <c r="AK291" s="22"/>
    </row>
    <row r="292" spans="2:37" x14ac:dyDescent="0.25">
      <c r="B292" s="28">
        <v>230</v>
      </c>
      <c r="C292" s="23"/>
      <c r="D292" s="22"/>
      <c r="E292" s="22"/>
      <c r="F292" s="24"/>
      <c r="G292" s="22"/>
      <c r="H292" s="22"/>
      <c r="I292" s="22"/>
      <c r="J292" s="22"/>
      <c r="K292" s="22"/>
      <c r="L292" s="24"/>
      <c r="M292" s="24"/>
      <c r="N292" s="25"/>
      <c r="O292" s="23"/>
      <c r="P292" s="22"/>
      <c r="Q292" s="22"/>
      <c r="R292" s="22"/>
      <c r="S292" s="22"/>
      <c r="T292" s="22"/>
      <c r="U292" s="22"/>
      <c r="V292" s="22"/>
      <c r="W292" s="22"/>
      <c r="X292" s="22"/>
      <c r="Y292" s="26"/>
      <c r="Z292" s="26"/>
      <c r="AA292" s="26"/>
      <c r="AB292" s="26"/>
      <c r="AC292" s="26"/>
      <c r="AD292" s="26"/>
      <c r="AE292" s="26"/>
      <c r="AF292" s="52"/>
      <c r="AG292" s="52"/>
      <c r="AH292" s="52"/>
      <c r="AI292" s="22"/>
      <c r="AJ292" s="22"/>
      <c r="AK292" s="22"/>
    </row>
    <row r="293" spans="2:37" x14ac:dyDescent="0.25">
      <c r="B293" s="28">
        <v>231</v>
      </c>
      <c r="C293" s="23"/>
      <c r="D293" s="22"/>
      <c r="E293" s="22"/>
      <c r="F293" s="24"/>
      <c r="G293" s="22"/>
      <c r="H293" s="22"/>
      <c r="I293" s="22"/>
      <c r="J293" s="22"/>
      <c r="K293" s="22"/>
      <c r="L293" s="24"/>
      <c r="M293" s="24"/>
      <c r="N293" s="25"/>
      <c r="O293" s="23"/>
      <c r="P293" s="22"/>
      <c r="Q293" s="22"/>
      <c r="R293" s="22"/>
      <c r="S293" s="22"/>
      <c r="T293" s="22"/>
      <c r="U293" s="22"/>
      <c r="V293" s="22"/>
      <c r="W293" s="22"/>
      <c r="X293" s="22"/>
      <c r="Y293" s="26"/>
      <c r="Z293" s="26"/>
      <c r="AA293" s="26"/>
      <c r="AB293" s="26"/>
      <c r="AC293" s="26"/>
      <c r="AD293" s="26"/>
      <c r="AE293" s="26"/>
      <c r="AF293" s="52"/>
      <c r="AG293" s="52"/>
      <c r="AH293" s="52"/>
      <c r="AI293" s="22"/>
      <c r="AJ293" s="22"/>
      <c r="AK293" s="22"/>
    </row>
    <row r="294" spans="2:37" x14ac:dyDescent="0.25">
      <c r="B294" s="28">
        <v>232</v>
      </c>
      <c r="C294" s="23"/>
      <c r="D294" s="22"/>
      <c r="E294" s="22"/>
      <c r="F294" s="24"/>
      <c r="G294" s="22"/>
      <c r="H294" s="22"/>
      <c r="I294" s="22"/>
      <c r="J294" s="22"/>
      <c r="K294" s="22"/>
      <c r="L294" s="24"/>
      <c r="M294" s="24"/>
      <c r="N294" s="25"/>
      <c r="O294" s="23"/>
      <c r="P294" s="22"/>
      <c r="Q294" s="22"/>
      <c r="R294" s="22"/>
      <c r="S294" s="22"/>
      <c r="T294" s="3"/>
      <c r="U294" s="22"/>
      <c r="V294" s="22"/>
      <c r="W294" s="22"/>
      <c r="X294" s="22"/>
      <c r="Y294" s="26"/>
      <c r="Z294" s="26"/>
      <c r="AA294" s="26"/>
      <c r="AB294" s="26"/>
      <c r="AC294" s="26"/>
      <c r="AD294" s="26"/>
      <c r="AE294" s="26"/>
      <c r="AF294" s="52"/>
      <c r="AG294" s="52"/>
      <c r="AH294" s="52"/>
      <c r="AI294" s="22"/>
      <c r="AJ294" s="22"/>
      <c r="AK294" s="22"/>
    </row>
    <row r="295" spans="2:37" x14ac:dyDescent="0.25">
      <c r="B295" s="28">
        <v>233</v>
      </c>
      <c r="C295" s="23"/>
      <c r="D295" s="22"/>
      <c r="E295" s="22"/>
      <c r="F295" s="24"/>
      <c r="G295" s="22"/>
      <c r="H295" s="22"/>
      <c r="I295" s="22"/>
      <c r="J295" s="22"/>
      <c r="K295" s="22"/>
      <c r="L295" s="24"/>
      <c r="M295" s="24"/>
      <c r="N295" s="25"/>
      <c r="O295" s="23"/>
      <c r="P295" s="22"/>
      <c r="Q295" s="22"/>
      <c r="R295" s="22"/>
      <c r="S295" s="22"/>
      <c r="T295" s="3"/>
      <c r="U295" s="22"/>
      <c r="V295" s="22"/>
      <c r="W295" s="22"/>
      <c r="X295" s="22"/>
      <c r="Y295" s="26"/>
      <c r="Z295" s="26"/>
      <c r="AA295" s="26"/>
      <c r="AB295" s="26"/>
      <c r="AC295" s="26"/>
      <c r="AD295" s="26"/>
      <c r="AE295" s="26"/>
      <c r="AF295" s="52"/>
      <c r="AG295" s="52"/>
      <c r="AH295" s="52"/>
      <c r="AI295" s="22"/>
      <c r="AJ295" s="22"/>
      <c r="AK295" s="22"/>
    </row>
    <row r="296" spans="2:37" x14ac:dyDescent="0.25">
      <c r="B296" s="28">
        <v>234</v>
      </c>
      <c r="C296" s="23"/>
      <c r="D296" s="22"/>
      <c r="E296" s="22"/>
      <c r="F296" s="24"/>
      <c r="G296" s="22"/>
      <c r="H296" s="22"/>
      <c r="I296" s="22"/>
      <c r="J296" s="22"/>
      <c r="K296" s="22"/>
      <c r="L296" s="24"/>
      <c r="M296" s="24"/>
      <c r="N296" s="25"/>
      <c r="O296" s="23"/>
      <c r="P296" s="22"/>
      <c r="Q296" s="22"/>
      <c r="R296" s="22"/>
      <c r="S296" s="22"/>
      <c r="T296" s="3"/>
      <c r="U296" s="22"/>
      <c r="V296" s="22"/>
      <c r="W296" s="22"/>
      <c r="X296" s="22"/>
      <c r="Y296" s="26"/>
      <c r="Z296" s="26"/>
      <c r="AA296" s="26"/>
      <c r="AB296" s="26"/>
      <c r="AC296" s="26"/>
      <c r="AD296" s="26"/>
      <c r="AE296" s="26"/>
      <c r="AF296" s="52"/>
      <c r="AG296" s="52"/>
      <c r="AH296" s="52"/>
      <c r="AI296" s="22"/>
      <c r="AJ296" s="22"/>
      <c r="AK296" s="22"/>
    </row>
    <row r="297" spans="2:37" x14ac:dyDescent="0.25">
      <c r="B297" s="28">
        <v>235</v>
      </c>
      <c r="C297" s="23"/>
      <c r="D297" s="22"/>
      <c r="E297" s="22"/>
      <c r="F297" s="24"/>
      <c r="G297" s="22"/>
      <c r="H297" s="22"/>
      <c r="I297" s="22"/>
      <c r="J297" s="22"/>
      <c r="K297" s="22"/>
      <c r="L297" s="24"/>
      <c r="M297" s="24"/>
      <c r="N297" s="25"/>
      <c r="O297" s="23"/>
      <c r="P297" s="22"/>
      <c r="Q297" s="22"/>
      <c r="R297" s="22"/>
      <c r="S297" s="22"/>
      <c r="T297" s="3"/>
      <c r="U297" s="22"/>
      <c r="V297" s="22"/>
      <c r="W297" s="22"/>
      <c r="X297" s="22"/>
      <c r="Y297" s="26"/>
      <c r="Z297" s="26"/>
      <c r="AA297" s="26"/>
      <c r="AB297" s="26"/>
      <c r="AC297" s="26"/>
      <c r="AD297" s="26"/>
      <c r="AE297" s="26"/>
      <c r="AF297" s="52"/>
      <c r="AG297" s="52"/>
      <c r="AH297" s="52"/>
      <c r="AI297" s="22"/>
      <c r="AJ297" s="22"/>
      <c r="AK297" s="22"/>
    </row>
    <row r="298" spans="2:37" x14ac:dyDescent="0.25">
      <c r="B298" s="28">
        <v>236</v>
      </c>
      <c r="C298" s="23"/>
      <c r="D298" s="22"/>
      <c r="E298" s="22"/>
      <c r="F298" s="24"/>
      <c r="G298" s="22"/>
      <c r="H298" s="22"/>
      <c r="I298" s="22"/>
      <c r="J298" s="22"/>
      <c r="K298" s="22"/>
      <c r="L298" s="24"/>
      <c r="M298" s="24"/>
      <c r="N298" s="25"/>
      <c r="O298" s="23"/>
      <c r="P298" s="22"/>
      <c r="Q298" s="22"/>
      <c r="R298" s="22"/>
      <c r="S298" s="22"/>
      <c r="T298" s="3"/>
      <c r="U298" s="22"/>
      <c r="V298" s="22"/>
      <c r="W298" s="22"/>
      <c r="X298" s="22"/>
      <c r="Y298" s="26"/>
      <c r="Z298" s="26"/>
      <c r="AA298" s="26"/>
      <c r="AB298" s="26"/>
      <c r="AC298" s="26"/>
      <c r="AD298" s="26"/>
      <c r="AE298" s="26"/>
      <c r="AF298" s="52"/>
      <c r="AG298" s="52"/>
      <c r="AH298" s="52"/>
      <c r="AI298" s="22"/>
      <c r="AJ298" s="22"/>
      <c r="AK298" s="22"/>
    </row>
    <row r="299" spans="2:37" x14ac:dyDescent="0.25">
      <c r="B299" s="28">
        <v>237</v>
      </c>
      <c r="C299" s="23"/>
      <c r="D299" s="22"/>
      <c r="E299" s="22"/>
      <c r="F299" s="24"/>
      <c r="G299" s="22"/>
      <c r="H299" s="22"/>
      <c r="I299" s="22"/>
      <c r="J299" s="22"/>
      <c r="K299" s="22"/>
      <c r="L299" s="24"/>
      <c r="M299" s="24"/>
      <c r="N299" s="25"/>
      <c r="O299" s="23"/>
      <c r="P299" s="22"/>
      <c r="Q299" s="22"/>
      <c r="R299" s="22"/>
      <c r="S299" s="22"/>
      <c r="T299" s="3"/>
      <c r="U299" s="22"/>
      <c r="V299" s="22"/>
      <c r="W299" s="22"/>
      <c r="X299" s="22"/>
      <c r="Y299" s="26"/>
      <c r="Z299" s="26"/>
      <c r="AA299" s="26"/>
      <c r="AB299" s="26"/>
      <c r="AC299" s="26"/>
      <c r="AD299" s="26"/>
      <c r="AE299" s="26"/>
      <c r="AF299" s="52"/>
      <c r="AG299" s="52"/>
      <c r="AH299" s="52"/>
      <c r="AI299" s="22"/>
      <c r="AJ299" s="22"/>
      <c r="AK299" s="22"/>
    </row>
    <row r="300" spans="2:37" x14ac:dyDescent="0.25">
      <c r="B300" s="28">
        <v>238</v>
      </c>
      <c r="C300" s="23"/>
      <c r="D300" s="22"/>
      <c r="E300" s="22"/>
      <c r="F300" s="24"/>
      <c r="G300" s="22"/>
      <c r="H300" s="22"/>
      <c r="I300" s="22"/>
      <c r="J300" s="22"/>
      <c r="K300" s="22"/>
      <c r="L300" s="24"/>
      <c r="M300" s="24"/>
      <c r="N300" s="25"/>
      <c r="O300" s="23"/>
      <c r="P300" s="22"/>
      <c r="Q300" s="22"/>
      <c r="R300" s="22"/>
      <c r="S300" s="22"/>
      <c r="T300" s="3"/>
      <c r="U300" s="22"/>
      <c r="V300" s="22"/>
      <c r="W300" s="22"/>
      <c r="X300" s="22"/>
      <c r="Y300" s="26"/>
      <c r="Z300" s="26"/>
      <c r="AA300" s="26"/>
      <c r="AB300" s="26"/>
      <c r="AC300" s="26"/>
      <c r="AD300" s="26"/>
      <c r="AE300" s="26"/>
      <c r="AF300" s="52"/>
      <c r="AG300" s="52"/>
      <c r="AH300" s="52"/>
      <c r="AI300" s="22"/>
      <c r="AJ300" s="22"/>
      <c r="AK300" s="22"/>
    </row>
    <row r="301" spans="2:37" x14ac:dyDescent="0.25">
      <c r="B301" s="28">
        <v>239</v>
      </c>
      <c r="C301" s="23"/>
      <c r="D301" s="22"/>
      <c r="E301" s="22"/>
      <c r="F301" s="24"/>
      <c r="G301" s="22"/>
      <c r="H301" s="22"/>
      <c r="I301" s="22"/>
      <c r="J301" s="22"/>
      <c r="K301" s="22"/>
      <c r="L301" s="24"/>
      <c r="M301" s="24"/>
      <c r="N301" s="25"/>
      <c r="O301" s="23"/>
      <c r="P301" s="22"/>
      <c r="Q301" s="22"/>
      <c r="R301" s="22"/>
      <c r="S301" s="22"/>
      <c r="T301" s="3"/>
      <c r="U301" s="22"/>
      <c r="V301" s="22"/>
      <c r="W301" s="22"/>
      <c r="X301" s="22"/>
      <c r="Y301" s="26"/>
      <c r="Z301" s="26"/>
      <c r="AA301" s="26"/>
      <c r="AB301" s="26"/>
      <c r="AC301" s="26"/>
      <c r="AD301" s="26"/>
      <c r="AE301" s="26"/>
      <c r="AF301" s="52"/>
      <c r="AG301" s="52"/>
      <c r="AH301" s="52"/>
      <c r="AI301" s="22"/>
      <c r="AJ301" s="22"/>
      <c r="AK301" s="22"/>
    </row>
    <row r="302" spans="2:37" x14ac:dyDescent="0.25">
      <c r="B302" s="28">
        <v>240</v>
      </c>
      <c r="C302" s="23"/>
      <c r="D302" s="22"/>
      <c r="E302" s="22"/>
      <c r="F302" s="24"/>
      <c r="G302" s="22"/>
      <c r="H302" s="22"/>
      <c r="I302" s="22"/>
      <c r="J302" s="22"/>
      <c r="K302" s="22"/>
      <c r="L302" s="24"/>
      <c r="M302" s="24"/>
      <c r="N302" s="25"/>
      <c r="O302" s="23"/>
      <c r="P302" s="22"/>
      <c r="Q302" s="22"/>
      <c r="R302" s="22"/>
      <c r="S302" s="22"/>
      <c r="T302" s="3"/>
      <c r="U302" s="22"/>
      <c r="V302" s="22"/>
      <c r="W302" s="22"/>
      <c r="X302" s="22"/>
      <c r="Y302" s="26"/>
      <c r="Z302" s="26"/>
      <c r="AA302" s="26"/>
      <c r="AB302" s="26"/>
      <c r="AC302" s="26"/>
      <c r="AD302" s="26"/>
      <c r="AE302" s="26"/>
      <c r="AF302" s="52"/>
      <c r="AG302" s="52"/>
      <c r="AH302" s="52"/>
      <c r="AI302" s="22"/>
      <c r="AJ302" s="22"/>
      <c r="AK302" s="22"/>
    </row>
    <row r="303" spans="2:37" x14ac:dyDescent="0.25">
      <c r="B303" s="28">
        <v>241</v>
      </c>
      <c r="C303" s="23"/>
      <c r="D303" s="22"/>
      <c r="E303" s="22"/>
      <c r="F303" s="24"/>
      <c r="G303" s="22"/>
      <c r="H303" s="22"/>
      <c r="I303" s="22"/>
      <c r="J303" s="22"/>
      <c r="K303" s="22"/>
      <c r="L303" s="24"/>
      <c r="M303" s="24"/>
      <c r="N303" s="25"/>
      <c r="O303" s="23"/>
      <c r="P303" s="22"/>
      <c r="Q303" s="22"/>
      <c r="R303" s="22"/>
      <c r="S303" s="22"/>
      <c r="T303" s="3"/>
      <c r="U303" s="22"/>
      <c r="V303" s="22"/>
      <c r="W303" s="22"/>
      <c r="X303" s="22"/>
      <c r="Y303" s="26"/>
      <c r="Z303" s="26"/>
      <c r="AA303" s="26"/>
      <c r="AB303" s="26"/>
      <c r="AC303" s="26"/>
      <c r="AD303" s="26"/>
      <c r="AE303" s="26"/>
      <c r="AF303" s="52"/>
      <c r="AG303" s="52"/>
      <c r="AH303" s="52"/>
      <c r="AI303" s="22"/>
      <c r="AJ303" s="22"/>
      <c r="AK303" s="22"/>
    </row>
    <row r="304" spans="2:37" x14ac:dyDescent="0.25">
      <c r="B304" s="28">
        <v>242</v>
      </c>
      <c r="C304" s="23"/>
      <c r="D304" s="22"/>
      <c r="E304" s="22"/>
      <c r="F304" s="24"/>
      <c r="G304" s="22"/>
      <c r="H304" s="22"/>
      <c r="I304" s="22"/>
      <c r="J304" s="22"/>
      <c r="K304" s="22"/>
      <c r="L304" s="24"/>
      <c r="M304" s="24"/>
      <c r="N304" s="25"/>
      <c r="O304" s="23"/>
      <c r="P304" s="22"/>
      <c r="Q304" s="22"/>
      <c r="R304" s="22"/>
      <c r="S304" s="22"/>
      <c r="T304" s="3"/>
      <c r="U304" s="22"/>
      <c r="V304" s="22"/>
      <c r="W304" s="22"/>
      <c r="X304" s="22"/>
      <c r="Y304" s="26"/>
      <c r="Z304" s="26"/>
      <c r="AA304" s="26"/>
      <c r="AB304" s="26"/>
      <c r="AC304" s="26"/>
      <c r="AD304" s="26"/>
      <c r="AE304" s="26"/>
      <c r="AF304" s="52"/>
      <c r="AG304" s="52"/>
      <c r="AH304" s="52"/>
      <c r="AI304" s="22"/>
      <c r="AJ304" s="22"/>
      <c r="AK304" s="22"/>
    </row>
    <row r="305" spans="2:37" x14ac:dyDescent="0.25">
      <c r="B305" s="28">
        <v>243</v>
      </c>
      <c r="C305" s="23"/>
      <c r="D305" s="22"/>
      <c r="E305" s="22"/>
      <c r="F305" s="24"/>
      <c r="G305" s="22"/>
      <c r="H305" s="22"/>
      <c r="I305" s="22"/>
      <c r="J305" s="22"/>
      <c r="K305" s="22"/>
      <c r="L305" s="24"/>
      <c r="M305" s="24"/>
      <c r="N305" s="25"/>
      <c r="O305" s="23"/>
      <c r="P305" s="22"/>
      <c r="Q305" s="22"/>
      <c r="R305" s="22"/>
      <c r="S305" s="22"/>
      <c r="T305" s="3"/>
      <c r="U305" s="22"/>
      <c r="V305" s="22"/>
      <c r="W305" s="22"/>
      <c r="X305" s="22"/>
      <c r="Y305" s="26"/>
      <c r="Z305" s="26"/>
      <c r="AA305" s="26"/>
      <c r="AB305" s="26"/>
      <c r="AC305" s="26"/>
      <c r="AD305" s="26"/>
      <c r="AE305" s="26"/>
      <c r="AF305" s="52"/>
      <c r="AG305" s="52"/>
      <c r="AH305" s="52"/>
      <c r="AI305" s="22"/>
      <c r="AJ305" s="22"/>
      <c r="AK305" s="22"/>
    </row>
    <row r="306" spans="2:37" x14ac:dyDescent="0.25">
      <c r="B306" s="28">
        <v>244</v>
      </c>
      <c r="C306" s="23"/>
      <c r="D306" s="22"/>
      <c r="E306" s="22"/>
      <c r="F306" s="24"/>
      <c r="G306" s="22"/>
      <c r="H306" s="22"/>
      <c r="I306" s="22"/>
      <c r="J306" s="22"/>
      <c r="K306" s="22"/>
      <c r="L306" s="24"/>
      <c r="M306" s="24"/>
      <c r="N306" s="25"/>
      <c r="O306" s="23"/>
      <c r="P306" s="22"/>
      <c r="Q306" s="22"/>
      <c r="R306" s="22"/>
      <c r="S306" s="22"/>
      <c r="T306" s="3"/>
      <c r="U306" s="22"/>
      <c r="V306" s="22"/>
      <c r="W306" s="22"/>
      <c r="X306" s="22"/>
      <c r="Y306" s="26"/>
      <c r="Z306" s="26"/>
      <c r="AA306" s="26"/>
      <c r="AB306" s="26"/>
      <c r="AC306" s="26"/>
      <c r="AD306" s="26"/>
      <c r="AE306" s="26"/>
      <c r="AF306" s="52"/>
      <c r="AG306" s="52"/>
      <c r="AH306" s="52"/>
      <c r="AI306" s="22"/>
      <c r="AJ306" s="22"/>
      <c r="AK306" s="22"/>
    </row>
    <row r="307" spans="2:37" x14ac:dyDescent="0.25">
      <c r="B307" s="28">
        <v>245</v>
      </c>
      <c r="C307" s="23"/>
      <c r="D307" s="22"/>
      <c r="E307" s="22"/>
      <c r="F307" s="24"/>
      <c r="G307" s="22"/>
      <c r="H307" s="22"/>
      <c r="I307" s="22"/>
      <c r="J307" s="22"/>
      <c r="K307" s="22"/>
      <c r="L307" s="24"/>
      <c r="M307" s="24"/>
      <c r="N307" s="25"/>
      <c r="O307" s="23"/>
      <c r="P307" s="22"/>
      <c r="Q307" s="22"/>
      <c r="R307" s="22"/>
      <c r="S307" s="22"/>
      <c r="T307" s="3"/>
      <c r="U307" s="22"/>
      <c r="V307" s="22"/>
      <c r="W307" s="22"/>
      <c r="X307" s="22"/>
      <c r="Y307" s="26"/>
      <c r="Z307" s="26"/>
      <c r="AA307" s="26"/>
      <c r="AB307" s="26"/>
      <c r="AC307" s="26"/>
      <c r="AD307" s="26"/>
      <c r="AE307" s="26"/>
      <c r="AF307" s="52"/>
      <c r="AG307" s="52"/>
      <c r="AH307" s="52"/>
      <c r="AI307" s="22"/>
      <c r="AJ307" s="22"/>
      <c r="AK307" s="22"/>
    </row>
    <row r="308" spans="2:37" x14ac:dyDescent="0.25">
      <c r="B308" s="28">
        <v>246</v>
      </c>
      <c r="C308" s="23"/>
      <c r="D308" s="22"/>
      <c r="E308" s="22"/>
      <c r="F308" s="24"/>
      <c r="G308" s="22"/>
      <c r="H308" s="22"/>
      <c r="I308" s="22"/>
      <c r="J308" s="22"/>
      <c r="K308" s="22"/>
      <c r="L308" s="24"/>
      <c r="M308" s="24"/>
      <c r="N308" s="25"/>
      <c r="O308" s="23"/>
      <c r="P308" s="22"/>
      <c r="Q308" s="22"/>
      <c r="R308" s="22"/>
      <c r="S308" s="22"/>
      <c r="T308" s="3"/>
      <c r="U308" s="22"/>
      <c r="V308" s="22"/>
      <c r="W308" s="22"/>
      <c r="X308" s="22"/>
      <c r="Y308" s="26"/>
      <c r="Z308" s="26"/>
      <c r="AA308" s="26"/>
      <c r="AB308" s="26"/>
      <c r="AC308" s="26"/>
      <c r="AD308" s="26"/>
      <c r="AE308" s="26"/>
      <c r="AF308" s="52"/>
      <c r="AG308" s="52"/>
      <c r="AH308" s="52"/>
      <c r="AI308" s="22"/>
      <c r="AJ308" s="22"/>
      <c r="AK308" s="22"/>
    </row>
    <row r="309" spans="2:37" x14ac:dyDescent="0.25">
      <c r="B309" s="28">
        <v>247</v>
      </c>
      <c r="C309" s="23"/>
      <c r="D309" s="22"/>
      <c r="E309" s="22"/>
      <c r="F309" s="24"/>
      <c r="G309" s="22"/>
      <c r="H309" s="22"/>
      <c r="I309" s="22"/>
      <c r="J309" s="22"/>
      <c r="K309" s="22"/>
      <c r="L309" s="24"/>
      <c r="M309" s="24"/>
      <c r="N309" s="25"/>
      <c r="O309" s="23"/>
      <c r="P309" s="22"/>
      <c r="Q309" s="22"/>
      <c r="R309" s="22"/>
      <c r="S309" s="22"/>
      <c r="T309" s="3"/>
      <c r="U309" s="22"/>
      <c r="V309" s="22"/>
      <c r="W309" s="22"/>
      <c r="X309" s="22"/>
      <c r="Y309" s="26"/>
      <c r="Z309" s="26"/>
      <c r="AA309" s="26"/>
      <c r="AB309" s="26"/>
      <c r="AC309" s="26"/>
      <c r="AD309" s="26"/>
      <c r="AE309" s="26"/>
      <c r="AF309" s="52"/>
      <c r="AG309" s="52"/>
      <c r="AH309" s="52"/>
      <c r="AI309" s="22"/>
      <c r="AJ309" s="22"/>
      <c r="AK309" s="22"/>
    </row>
    <row r="310" spans="2:37" x14ac:dyDescent="0.25">
      <c r="B310" s="28">
        <v>248</v>
      </c>
      <c r="C310" s="23"/>
      <c r="D310" s="22"/>
      <c r="E310" s="22"/>
      <c r="F310" s="24"/>
      <c r="G310" s="22"/>
      <c r="H310" s="22"/>
      <c r="I310" s="22"/>
      <c r="J310" s="22"/>
      <c r="K310" s="22"/>
      <c r="L310" s="24"/>
      <c r="M310" s="24"/>
      <c r="N310" s="25"/>
      <c r="O310" s="23"/>
      <c r="P310" s="22"/>
      <c r="Q310" s="22"/>
      <c r="R310" s="22"/>
      <c r="S310" s="22"/>
      <c r="T310" s="3"/>
      <c r="U310" s="22"/>
      <c r="V310" s="22"/>
      <c r="W310" s="22"/>
      <c r="X310" s="22"/>
      <c r="Y310" s="26"/>
      <c r="Z310" s="26"/>
      <c r="AA310" s="26"/>
      <c r="AB310" s="26"/>
      <c r="AC310" s="26"/>
      <c r="AD310" s="26"/>
      <c r="AE310" s="26"/>
      <c r="AF310" s="52"/>
      <c r="AG310" s="52"/>
      <c r="AH310" s="52"/>
      <c r="AI310" s="22"/>
      <c r="AJ310" s="22"/>
      <c r="AK310" s="22"/>
    </row>
    <row r="311" spans="2:37" x14ac:dyDescent="0.25">
      <c r="B311" s="28">
        <v>249</v>
      </c>
      <c r="C311" s="23"/>
      <c r="D311" s="22"/>
      <c r="E311" s="22"/>
      <c r="F311" s="24"/>
      <c r="G311" s="22"/>
      <c r="H311" s="22"/>
      <c r="I311" s="22"/>
      <c r="J311" s="22"/>
      <c r="K311" s="22"/>
      <c r="L311" s="24"/>
      <c r="M311" s="24"/>
      <c r="N311" s="25"/>
      <c r="O311" s="23"/>
      <c r="P311" s="22"/>
      <c r="Q311" s="22"/>
      <c r="R311" s="22"/>
      <c r="S311" s="22"/>
      <c r="T311" s="3"/>
      <c r="U311" s="22"/>
      <c r="V311" s="22"/>
      <c r="W311" s="22"/>
      <c r="X311" s="22"/>
      <c r="Y311" s="26"/>
      <c r="Z311" s="26"/>
      <c r="AA311" s="26"/>
      <c r="AB311" s="26"/>
      <c r="AC311" s="26"/>
      <c r="AD311" s="26"/>
      <c r="AE311" s="26"/>
      <c r="AF311" s="52"/>
      <c r="AG311" s="52"/>
      <c r="AH311" s="52"/>
      <c r="AI311" s="22"/>
      <c r="AJ311" s="22"/>
      <c r="AK311" s="22"/>
    </row>
    <row r="312" spans="2:37" x14ac:dyDescent="0.25">
      <c r="B312" s="28">
        <v>250</v>
      </c>
      <c r="C312" s="23"/>
      <c r="D312" s="22"/>
      <c r="E312" s="22"/>
      <c r="F312" s="24"/>
      <c r="G312" s="22"/>
      <c r="H312" s="22"/>
      <c r="I312" s="22"/>
      <c r="J312" s="22"/>
      <c r="K312" s="22"/>
      <c r="L312" s="24"/>
      <c r="M312" s="24"/>
      <c r="N312" s="25"/>
      <c r="O312" s="23"/>
      <c r="P312" s="22"/>
      <c r="Q312" s="22"/>
      <c r="R312" s="22"/>
      <c r="S312" s="22"/>
      <c r="T312" s="3"/>
      <c r="U312" s="22"/>
      <c r="V312" s="22"/>
      <c r="W312" s="22"/>
      <c r="X312" s="22"/>
      <c r="Y312" s="26"/>
      <c r="Z312" s="26"/>
      <c r="AA312" s="26"/>
      <c r="AB312" s="26"/>
      <c r="AC312" s="26"/>
      <c r="AD312" s="26"/>
      <c r="AE312" s="26"/>
      <c r="AF312" s="52"/>
      <c r="AG312" s="52"/>
      <c r="AH312" s="52"/>
      <c r="AI312" s="22"/>
      <c r="AJ312" s="22"/>
      <c r="AK312" s="22"/>
    </row>
    <row r="313" spans="2:37" x14ac:dyDescent="0.25">
      <c r="B313" s="28">
        <v>251</v>
      </c>
      <c r="C313" s="23"/>
      <c r="D313" s="22"/>
      <c r="E313" s="22"/>
      <c r="F313" s="24"/>
      <c r="G313" s="22"/>
      <c r="H313" s="22"/>
      <c r="I313" s="22"/>
      <c r="J313" s="22"/>
      <c r="K313" s="22"/>
      <c r="L313" s="24"/>
      <c r="M313" s="24"/>
      <c r="N313" s="25"/>
      <c r="O313" s="23"/>
      <c r="P313" s="22"/>
      <c r="Q313" s="22"/>
      <c r="R313" s="22"/>
      <c r="S313" s="22"/>
      <c r="T313" s="3"/>
      <c r="U313" s="22"/>
      <c r="V313" s="22"/>
      <c r="W313" s="22"/>
      <c r="X313" s="22"/>
      <c r="Y313" s="26"/>
      <c r="Z313" s="26"/>
      <c r="AA313" s="26"/>
      <c r="AB313" s="26"/>
      <c r="AC313" s="26"/>
      <c r="AD313" s="26"/>
      <c r="AE313" s="26"/>
      <c r="AF313" s="52"/>
      <c r="AG313" s="52"/>
      <c r="AH313" s="52"/>
      <c r="AI313" s="22"/>
      <c r="AJ313" s="22"/>
      <c r="AK313" s="22"/>
    </row>
    <row r="314" spans="2:37" x14ac:dyDescent="0.25">
      <c r="B314" s="28"/>
      <c r="C314" s="23"/>
      <c r="D314" s="22"/>
      <c r="E314" s="22"/>
      <c r="F314" s="24"/>
      <c r="G314" s="22"/>
      <c r="H314" s="22"/>
      <c r="I314" s="22"/>
      <c r="J314" s="22"/>
      <c r="K314" s="22"/>
      <c r="L314" s="24"/>
      <c r="M314" s="24"/>
      <c r="N314" s="25"/>
      <c r="O314" s="23"/>
      <c r="P314" s="22"/>
      <c r="Q314" s="22"/>
      <c r="R314" s="22"/>
      <c r="S314" s="22"/>
      <c r="T314" s="3"/>
      <c r="U314" s="22"/>
      <c r="V314" s="22"/>
      <c r="W314" s="22"/>
      <c r="X314" s="22"/>
      <c r="Y314" s="26"/>
      <c r="Z314" s="26"/>
      <c r="AA314" s="26"/>
      <c r="AB314" s="26"/>
      <c r="AC314" s="26"/>
      <c r="AD314" s="26"/>
      <c r="AE314" s="26"/>
      <c r="AF314" s="52"/>
      <c r="AG314" s="52"/>
      <c r="AH314" s="52"/>
      <c r="AI314" s="22"/>
      <c r="AJ314" s="22"/>
      <c r="AK314" s="22"/>
    </row>
    <row r="315" spans="2:37" x14ac:dyDescent="0.25">
      <c r="B315" s="28"/>
      <c r="C315" s="23"/>
      <c r="D315" s="22"/>
      <c r="E315" s="22"/>
      <c r="F315" s="24"/>
      <c r="G315" s="22"/>
      <c r="H315" s="22"/>
      <c r="I315" s="22"/>
      <c r="J315" s="22"/>
      <c r="K315" s="22"/>
      <c r="L315" s="24"/>
      <c r="M315" s="24"/>
      <c r="N315" s="25"/>
      <c r="O315" s="23"/>
      <c r="P315" s="22"/>
      <c r="Q315" s="22"/>
      <c r="R315" s="22"/>
      <c r="S315" s="22"/>
      <c r="T315" s="3"/>
      <c r="U315" s="22"/>
      <c r="V315" s="22"/>
      <c r="W315" s="22"/>
      <c r="X315" s="22"/>
      <c r="Y315" s="26"/>
      <c r="Z315" s="26"/>
      <c r="AA315" s="26"/>
      <c r="AB315" s="26"/>
      <c r="AC315" s="26"/>
      <c r="AD315" s="26"/>
      <c r="AE315" s="26"/>
      <c r="AF315" s="52"/>
      <c r="AG315" s="52"/>
      <c r="AH315" s="52"/>
      <c r="AI315" s="22"/>
      <c r="AJ315" s="22"/>
      <c r="AK315" s="22"/>
    </row>
    <row r="316" spans="2:37" x14ac:dyDescent="0.25">
      <c r="B316" s="28"/>
      <c r="C316" s="23"/>
      <c r="D316" s="22"/>
      <c r="E316" s="22"/>
      <c r="F316" s="24"/>
      <c r="G316" s="22"/>
      <c r="H316" s="22"/>
      <c r="I316" s="22"/>
      <c r="J316" s="22"/>
      <c r="K316" s="22"/>
      <c r="L316" s="24"/>
      <c r="M316" s="24"/>
      <c r="N316" s="25"/>
      <c r="O316" s="23"/>
      <c r="P316" s="22"/>
      <c r="Q316" s="22"/>
      <c r="R316" s="22"/>
      <c r="S316" s="22"/>
      <c r="T316" s="3"/>
      <c r="U316" s="22"/>
      <c r="V316" s="22"/>
      <c r="W316" s="22"/>
      <c r="X316" s="22"/>
      <c r="Y316" s="26"/>
      <c r="Z316" s="26"/>
      <c r="AA316" s="26"/>
      <c r="AB316" s="26"/>
      <c r="AC316" s="26"/>
      <c r="AD316" s="26"/>
      <c r="AE316" s="26"/>
      <c r="AF316" s="52"/>
      <c r="AG316" s="52"/>
      <c r="AH316" s="52"/>
      <c r="AI316" s="22"/>
      <c r="AJ316" s="22"/>
      <c r="AK316" s="22"/>
    </row>
    <row r="317" spans="2:37" x14ac:dyDescent="0.25">
      <c r="B317" s="28"/>
      <c r="C317" s="23"/>
      <c r="D317" s="22"/>
      <c r="E317" s="22"/>
      <c r="F317" s="24"/>
      <c r="G317" s="22"/>
      <c r="H317" s="22"/>
      <c r="I317" s="22"/>
      <c r="J317" s="22"/>
      <c r="K317" s="22"/>
      <c r="L317" s="24"/>
      <c r="M317" s="24"/>
      <c r="N317" s="25"/>
      <c r="O317" s="23"/>
      <c r="P317" s="22"/>
      <c r="Q317" s="22"/>
      <c r="R317" s="22"/>
      <c r="S317" s="22"/>
      <c r="T317" s="3"/>
      <c r="U317" s="22"/>
      <c r="V317" s="22"/>
      <c r="W317" s="22"/>
      <c r="X317" s="22"/>
      <c r="Y317" s="26"/>
      <c r="Z317" s="26"/>
      <c r="AA317" s="26"/>
      <c r="AB317" s="26"/>
      <c r="AC317" s="26"/>
      <c r="AD317" s="26"/>
      <c r="AE317" s="26"/>
      <c r="AF317" s="52"/>
      <c r="AG317" s="52"/>
      <c r="AH317" s="52"/>
      <c r="AI317" s="22"/>
      <c r="AJ317" s="22"/>
      <c r="AK317" s="22"/>
    </row>
    <row r="318" spans="2:37" x14ac:dyDescent="0.25">
      <c r="B318" s="28"/>
      <c r="C318" s="23"/>
      <c r="D318" s="22"/>
      <c r="E318" s="22"/>
      <c r="F318" s="24"/>
      <c r="G318" s="22"/>
      <c r="H318" s="22"/>
      <c r="I318" s="22"/>
      <c r="J318" s="22"/>
      <c r="K318" s="22"/>
      <c r="L318" s="24"/>
      <c r="M318" s="24"/>
      <c r="N318" s="25"/>
      <c r="O318" s="23"/>
      <c r="P318" s="22"/>
      <c r="Q318" s="22"/>
      <c r="R318" s="22"/>
      <c r="S318" s="22"/>
      <c r="T318" s="3"/>
      <c r="U318" s="22"/>
      <c r="V318" s="22"/>
      <c r="W318" s="22"/>
      <c r="X318" s="22"/>
      <c r="Y318" s="26"/>
      <c r="Z318" s="26"/>
      <c r="AA318" s="26"/>
      <c r="AB318" s="26"/>
      <c r="AC318" s="26"/>
      <c r="AD318" s="26"/>
      <c r="AE318" s="26"/>
      <c r="AF318" s="52"/>
      <c r="AG318" s="52"/>
      <c r="AH318" s="52"/>
      <c r="AI318" s="22"/>
      <c r="AJ318" s="22"/>
      <c r="AK318" s="22"/>
    </row>
    <row r="319" spans="2:37" x14ac:dyDescent="0.25">
      <c r="B319" s="28"/>
      <c r="C319" s="23"/>
      <c r="D319" s="22"/>
      <c r="E319" s="22"/>
      <c r="F319" s="24"/>
      <c r="G319" s="22"/>
      <c r="H319" s="22"/>
      <c r="I319" s="22"/>
      <c r="J319" s="22"/>
      <c r="K319" s="22"/>
      <c r="L319" s="24"/>
      <c r="M319" s="24"/>
      <c r="N319" s="25"/>
      <c r="O319" s="23"/>
      <c r="P319" s="22"/>
      <c r="Q319" s="22"/>
      <c r="R319" s="22"/>
      <c r="S319" s="22"/>
      <c r="T319" s="3"/>
      <c r="U319" s="22"/>
      <c r="V319" s="22"/>
      <c r="W319" s="22"/>
      <c r="X319" s="22"/>
      <c r="Y319" s="26"/>
      <c r="Z319" s="26"/>
      <c r="AA319" s="26"/>
      <c r="AB319" s="26"/>
      <c r="AC319" s="26"/>
      <c r="AD319" s="26"/>
      <c r="AE319" s="26"/>
      <c r="AF319" s="52"/>
      <c r="AG319" s="52"/>
      <c r="AH319" s="52"/>
      <c r="AI319" s="22"/>
      <c r="AJ319" s="22"/>
      <c r="AK319" s="22"/>
    </row>
    <row r="320" spans="2:37" x14ac:dyDescent="0.25">
      <c r="B320" s="28"/>
      <c r="C320" s="23"/>
      <c r="D320" s="22"/>
      <c r="E320" s="22"/>
      <c r="F320" s="24"/>
      <c r="G320" s="22"/>
      <c r="H320" s="22"/>
      <c r="I320" s="22"/>
      <c r="J320" s="22"/>
      <c r="K320" s="22"/>
      <c r="L320" s="24"/>
      <c r="M320" s="24"/>
      <c r="N320" s="25"/>
      <c r="O320" s="23"/>
      <c r="P320" s="22"/>
      <c r="Q320" s="22"/>
      <c r="R320" s="22"/>
      <c r="S320" s="22"/>
      <c r="T320" s="3"/>
      <c r="U320" s="22"/>
      <c r="V320" s="22"/>
      <c r="W320" s="22"/>
      <c r="X320" s="22"/>
      <c r="Y320" s="26"/>
      <c r="Z320" s="26"/>
      <c r="AA320" s="26"/>
      <c r="AB320" s="26"/>
      <c r="AC320" s="26"/>
      <c r="AD320" s="26"/>
      <c r="AE320" s="26"/>
      <c r="AF320" s="52"/>
      <c r="AG320" s="52"/>
      <c r="AH320" s="52"/>
      <c r="AI320" s="22"/>
      <c r="AJ320" s="22"/>
      <c r="AK320" s="22"/>
    </row>
    <row r="321" spans="2:37" x14ac:dyDescent="0.25">
      <c r="B321" s="28"/>
      <c r="C321" s="23"/>
      <c r="D321" s="22"/>
      <c r="E321" s="22"/>
      <c r="F321" s="24"/>
      <c r="G321" s="22"/>
      <c r="H321" s="22"/>
      <c r="I321" s="22"/>
      <c r="J321" s="22"/>
      <c r="K321" s="22"/>
      <c r="L321" s="24"/>
      <c r="M321" s="24"/>
      <c r="N321" s="25"/>
      <c r="O321" s="23"/>
      <c r="P321" s="22"/>
      <c r="Q321" s="22"/>
      <c r="R321" s="22"/>
      <c r="S321" s="22"/>
      <c r="T321" s="3"/>
      <c r="U321" s="22"/>
      <c r="V321" s="22"/>
      <c r="W321" s="22"/>
      <c r="X321" s="22"/>
      <c r="Y321" s="26"/>
      <c r="Z321" s="26"/>
      <c r="AA321" s="26"/>
      <c r="AB321" s="26"/>
      <c r="AC321" s="26"/>
      <c r="AD321" s="26"/>
      <c r="AE321" s="26"/>
      <c r="AF321" s="52"/>
      <c r="AG321" s="52"/>
      <c r="AH321" s="52"/>
      <c r="AI321" s="22"/>
      <c r="AJ321" s="22"/>
      <c r="AK321" s="22"/>
    </row>
    <row r="322" spans="2:37" x14ac:dyDescent="0.25">
      <c r="B322" s="28"/>
      <c r="C322" s="23"/>
      <c r="D322" s="22"/>
      <c r="E322" s="22"/>
      <c r="F322" s="24"/>
      <c r="G322" s="22"/>
      <c r="H322" s="22"/>
      <c r="I322" s="22"/>
      <c r="J322" s="22"/>
      <c r="K322" s="22"/>
      <c r="L322" s="24"/>
      <c r="M322" s="24"/>
      <c r="N322" s="25"/>
      <c r="O322" s="23"/>
      <c r="P322" s="22"/>
      <c r="Q322" s="22"/>
      <c r="R322" s="22"/>
      <c r="S322" s="22"/>
      <c r="T322" s="3"/>
      <c r="U322" s="22"/>
      <c r="V322" s="22"/>
      <c r="W322" s="22"/>
      <c r="X322" s="22"/>
      <c r="Y322" s="26"/>
      <c r="Z322" s="26"/>
      <c r="AA322" s="26"/>
      <c r="AB322" s="26"/>
      <c r="AC322" s="26"/>
      <c r="AD322" s="26"/>
      <c r="AE322" s="26"/>
      <c r="AF322" s="52"/>
      <c r="AG322" s="52"/>
      <c r="AH322" s="52"/>
      <c r="AI322" s="22"/>
      <c r="AJ322" s="22"/>
      <c r="AK322" s="22"/>
    </row>
    <row r="323" spans="2:37" s="117" customFormat="1" x14ac:dyDescent="0.25">
      <c r="B323" s="118"/>
      <c r="C323" s="119"/>
      <c r="D323" s="120"/>
      <c r="E323" s="120"/>
      <c r="F323" s="121"/>
      <c r="G323" s="120"/>
      <c r="H323" s="120"/>
      <c r="I323" s="120"/>
      <c r="J323" s="120"/>
      <c r="K323" s="120"/>
      <c r="L323" s="121"/>
      <c r="M323" s="121"/>
      <c r="N323" s="122"/>
      <c r="O323" s="119"/>
      <c r="P323" s="120"/>
      <c r="Q323" s="120"/>
      <c r="R323" s="120"/>
      <c r="S323" s="120"/>
      <c r="T323" s="123"/>
      <c r="U323" s="120"/>
      <c r="V323" s="120"/>
      <c r="W323" s="120"/>
      <c r="X323" s="120"/>
      <c r="Y323" s="124"/>
      <c r="Z323" s="124"/>
      <c r="AA323" s="124"/>
      <c r="AB323" s="124"/>
      <c r="AC323" s="124"/>
      <c r="AD323" s="124"/>
      <c r="AE323" s="124"/>
      <c r="AF323" s="125"/>
      <c r="AG323" s="125"/>
      <c r="AH323" s="125"/>
      <c r="AI323" s="120"/>
      <c r="AJ323" s="120"/>
      <c r="AK323" s="120"/>
    </row>
    <row r="324" spans="2:37" x14ac:dyDescent="0.25">
      <c r="B324" s="28"/>
      <c r="C324" s="23"/>
      <c r="D324" s="22"/>
      <c r="E324" s="22"/>
      <c r="F324" s="24"/>
      <c r="G324" s="22"/>
      <c r="H324" s="22"/>
      <c r="I324" s="22"/>
      <c r="J324" s="22"/>
      <c r="K324" s="22"/>
      <c r="L324" s="24"/>
      <c r="M324" s="24"/>
      <c r="N324" s="25"/>
      <c r="O324" s="23"/>
      <c r="P324" s="22"/>
      <c r="Q324" s="22"/>
      <c r="R324" s="22"/>
      <c r="S324" s="22"/>
      <c r="T324" s="3"/>
      <c r="U324" s="22"/>
      <c r="V324" s="22"/>
      <c r="W324" s="22"/>
      <c r="X324" s="22"/>
      <c r="Y324" s="26"/>
      <c r="Z324" s="26"/>
      <c r="AA324" s="26"/>
      <c r="AB324" s="26"/>
      <c r="AC324" s="26"/>
      <c r="AD324" s="26"/>
      <c r="AE324" s="26"/>
      <c r="AF324" s="52"/>
      <c r="AG324" s="52"/>
      <c r="AH324" s="52"/>
      <c r="AI324" s="22"/>
      <c r="AJ324" s="22"/>
      <c r="AK324" s="22"/>
    </row>
    <row r="325" spans="2:37" x14ac:dyDescent="0.25">
      <c r="B325" s="28"/>
      <c r="C325" s="23"/>
      <c r="D325" s="22"/>
      <c r="E325" s="22"/>
      <c r="F325" s="24"/>
      <c r="G325" s="22"/>
      <c r="H325" s="22"/>
      <c r="I325" s="22"/>
      <c r="J325" s="22"/>
      <c r="K325" s="22"/>
      <c r="L325" s="24"/>
      <c r="M325" s="24"/>
      <c r="N325" s="25"/>
      <c r="O325" s="23"/>
      <c r="P325" s="22"/>
      <c r="Q325" s="22"/>
      <c r="R325" s="22"/>
      <c r="S325" s="22"/>
      <c r="T325" s="3"/>
      <c r="U325" s="22"/>
      <c r="V325" s="22"/>
      <c r="W325" s="22"/>
      <c r="X325" s="22"/>
      <c r="Y325" s="26"/>
      <c r="Z325" s="26"/>
      <c r="AA325" s="26"/>
      <c r="AB325" s="26"/>
      <c r="AC325" s="26"/>
      <c r="AD325" s="26"/>
      <c r="AE325" s="26"/>
      <c r="AF325" s="52"/>
      <c r="AG325" s="52"/>
      <c r="AH325" s="52"/>
      <c r="AI325" s="22"/>
      <c r="AJ325" s="22"/>
      <c r="AK325" s="22"/>
    </row>
    <row r="326" spans="2:37" x14ac:dyDescent="0.25">
      <c r="B326" s="22"/>
      <c r="C326" s="22"/>
      <c r="D326" s="22"/>
      <c r="E326" s="22"/>
      <c r="F326" s="24"/>
      <c r="G326" s="22"/>
      <c r="H326" s="22"/>
      <c r="I326" s="22"/>
      <c r="J326" s="22"/>
      <c r="K326" s="22"/>
      <c r="L326" s="22"/>
      <c r="M326" s="22"/>
      <c r="N326" s="25"/>
      <c r="O326" s="23"/>
      <c r="P326" s="22"/>
      <c r="Q326" s="22"/>
      <c r="R326" s="22"/>
      <c r="S326" s="22"/>
      <c r="T326" s="22"/>
      <c r="U326" s="22"/>
      <c r="V326" s="22"/>
      <c r="W326" s="22"/>
      <c r="X326" s="22"/>
      <c r="Y326" s="27"/>
      <c r="Z326" s="27"/>
      <c r="AA326" s="27"/>
      <c r="AB326" s="27"/>
      <c r="AC326" s="27"/>
      <c r="AD326" s="27"/>
      <c r="AE326" s="27"/>
      <c r="AF326" s="52"/>
      <c r="AG326" s="52"/>
      <c r="AH326" s="52"/>
      <c r="AI326" s="22"/>
      <c r="AJ326" s="22"/>
      <c r="AK326" s="22"/>
    </row>
    <row r="327" spans="2:37" x14ac:dyDescent="0.25">
      <c r="B327" s="22"/>
      <c r="C327" s="22"/>
      <c r="D327" s="22"/>
      <c r="E327" s="22"/>
      <c r="F327" s="24"/>
      <c r="G327" s="22"/>
      <c r="H327" s="22"/>
      <c r="I327" s="22"/>
      <c r="J327" s="22"/>
      <c r="K327" s="22"/>
      <c r="L327" s="22"/>
      <c r="M327" s="22"/>
      <c r="N327" s="25"/>
      <c r="O327" s="23"/>
      <c r="P327" s="22"/>
      <c r="Q327" s="22"/>
      <c r="R327" s="22"/>
      <c r="S327" s="22"/>
      <c r="T327" s="22"/>
      <c r="U327" s="22"/>
      <c r="V327" s="22"/>
      <c r="W327" s="22"/>
      <c r="X327" s="22"/>
      <c r="Y327" s="27"/>
      <c r="Z327" s="27"/>
      <c r="AA327" s="27"/>
      <c r="AB327" s="27"/>
      <c r="AC327" s="27"/>
      <c r="AD327" s="27"/>
      <c r="AE327" s="27"/>
      <c r="AF327" s="52"/>
      <c r="AG327" s="52"/>
      <c r="AH327" s="52"/>
      <c r="AI327" s="22"/>
      <c r="AJ327" s="22"/>
      <c r="AK327" s="22"/>
    </row>
    <row r="328" spans="2:37" x14ac:dyDescent="0.25">
      <c r="B328" s="5"/>
      <c r="C328" s="5"/>
      <c r="D328" s="5"/>
      <c r="E328" s="5"/>
      <c r="F328" s="5"/>
      <c r="G328" s="5"/>
      <c r="H328" s="5"/>
      <c r="I328" s="5"/>
      <c r="J328" s="5"/>
      <c r="K328" s="5"/>
      <c r="L328" s="5"/>
      <c r="M328" s="5"/>
      <c r="N328" s="5"/>
      <c r="O328" s="5"/>
      <c r="P328" s="5"/>
      <c r="Q328" s="5"/>
    </row>
  </sheetData>
  <customSheetViews>
    <customSheetView guid="{250915DF-0B97-45D7-B29D-7EED4C89C1C1}" scale="70" topLeftCell="G50">
      <selection activeCell="V50" sqref="V1:V1048576"/>
      <pageMargins left="0.7" right="0.7" top="0.75" bottom="0.75" header="0.3" footer="0.3"/>
      <pageSetup orientation="portrait" horizontalDpi="300" verticalDpi="0" r:id="rId1"/>
    </customSheetView>
    <customSheetView guid="{D33AC7AF-C8AB-4CE9-94C7-9237011A5FC3}" scale="70" topLeftCell="G50">
      <selection activeCell="M263" sqref="M263"/>
      <pageMargins left="0.7" right="0.7" top="0.75" bottom="0.75" header="0.3" footer="0.3"/>
      <pageSetup orientation="portrait" horizontalDpi="300" verticalDpi="0" r:id="rId2"/>
    </customSheetView>
    <customSheetView guid="{336B6883-2145-4B58-921E-CEC7185A847E}" scale="85" filter="1" showAutoFilter="1" topLeftCell="A43">
      <selection activeCell="W338" sqref="W338"/>
      <pageMargins left="0.7" right="0.7" top="0.75" bottom="0.75" header="0.3" footer="0.3"/>
      <pageSetup orientation="portrait" horizontalDpi="300" verticalDpi="0" r:id="rId3"/>
      <autoFilter ref="P62:P328">
        <filterColumn colId="0">
          <filters>
            <filter val="dac.luu-cong"/>
          </filters>
        </filterColumn>
      </autoFilter>
    </customSheetView>
    <customSheetView guid="{A2C66332-A809-458E-971B-FDB6D62C74C3}" scale="70" topLeftCell="G50">
      <selection activeCell="V50" sqref="V1:V1048576"/>
      <pageMargins left="0.7" right="0.7" top="0.75" bottom="0.75" header="0.3" footer="0.3"/>
      <pageSetup orientation="portrait" horizontalDpi="300" verticalDpi="0" r:id="rId4"/>
    </customSheetView>
    <customSheetView guid="{7ECC2B8E-6A82-42F5-8AB0-4A51C54EA5EC}" scale="70">
      <selection activeCell="H48" sqref="H48"/>
      <pageMargins left="0.7" right="0.7" top="0.75" bottom="0.75" header="0.3" footer="0.3"/>
      <pageSetup orientation="portrait" horizontalDpi="300" verticalDpi="0" r:id="rId5"/>
    </customSheetView>
    <customSheetView guid="{72A6EB0A-84D5-4B8A-AC51-54CCD061630B}" scale="80" topLeftCell="P53">
      <selection activeCell="B62" sqref="B62:AK62"/>
      <pageMargins left="0.7" right="0.7" top="0.75" bottom="0.75" header="0.3" footer="0.3"/>
      <pageSetup orientation="portrait" horizontalDpi="300" verticalDpi="0" r:id="rId6"/>
    </customSheetView>
    <customSheetView guid="{3B3E6719-EACB-4D2C-89C1-05FFAB6020FD}" scale="70" topLeftCell="F239">
      <selection activeCell="M263" sqref="M263"/>
      <pageMargins left="0.7" right="0.7" top="0.75" bottom="0.75" header="0.3" footer="0.3"/>
      <pageSetup orientation="portrait" horizontalDpi="300" verticalDpi="0" r:id="rId7"/>
    </customSheetView>
  </customSheetViews>
  <conditionalFormatting sqref="H4:H13 H19:H29">
    <cfRule type="cellIs" dxfId="193" priority="75" operator="equal">
      <formula>1</formula>
    </cfRule>
    <cfRule type="cellIs" dxfId="192" priority="76" operator="lessThan">
      <formula>1</formula>
    </cfRule>
  </conditionalFormatting>
  <conditionalFormatting sqref="AC63:AE265 AC283:AE327 AC267:AE272">
    <cfRule type="cellIs" dxfId="191" priority="73" operator="equal">
      <formula>"OK"</formula>
    </cfRule>
    <cfRule type="cellIs" dxfId="190" priority="74" operator="equal">
      <formula>"NG"</formula>
    </cfRule>
  </conditionalFormatting>
  <conditionalFormatting sqref="L63:M103 L104 L105:M325">
    <cfRule type="cellIs" dxfId="189" priority="72" operator="equal">
      <formula>"PUT_VERSION"</formula>
    </cfRule>
  </conditionalFormatting>
  <conditionalFormatting sqref="M104:M131">
    <cfRule type="cellIs" dxfId="188" priority="61" operator="equal">
      <formula>"PUT_VERSION"</formula>
    </cfRule>
  </conditionalFormatting>
  <conditionalFormatting sqref="D14">
    <cfRule type="expression" dxfId="187" priority="60">
      <formula>$D$14=SUM($D$4:$D$13)</formula>
    </cfRule>
  </conditionalFormatting>
  <conditionalFormatting sqref="E14">
    <cfRule type="expression" dxfId="186" priority="59">
      <formula>$E$14=SUM($E$4:$E$13)</formula>
    </cfRule>
  </conditionalFormatting>
  <conditionalFormatting sqref="F14">
    <cfRule type="expression" dxfId="185" priority="58">
      <formula>$F$14=SUM($F$4:$F$13)</formula>
    </cfRule>
  </conditionalFormatting>
  <conditionalFormatting sqref="D29">
    <cfRule type="expression" dxfId="184" priority="57">
      <formula>$D$29=SUM($D$19:$D$28)</formula>
    </cfRule>
  </conditionalFormatting>
  <conditionalFormatting sqref="E29">
    <cfRule type="expression" dxfId="183" priority="56">
      <formula>$E$29=SUM($E$19:$E$28)</formula>
    </cfRule>
  </conditionalFormatting>
  <conditionalFormatting sqref="H34">
    <cfRule type="cellIs" dxfId="182" priority="41" operator="equal">
      <formula>1</formula>
    </cfRule>
    <cfRule type="cellIs" dxfId="181" priority="42" operator="lessThan">
      <formula>1</formula>
    </cfRule>
  </conditionalFormatting>
  <conditionalFormatting sqref="H35:H43">
    <cfRule type="cellIs" dxfId="180" priority="39" operator="equal">
      <formula>1</formula>
    </cfRule>
    <cfRule type="cellIs" dxfId="179" priority="40" operator="lessThan">
      <formula>1</formula>
    </cfRule>
  </conditionalFormatting>
  <conditionalFormatting sqref="H44">
    <cfRule type="cellIs" dxfId="178" priority="33" operator="equal">
      <formula>1</formula>
    </cfRule>
    <cfRule type="cellIs" dxfId="177" priority="34" operator="lessThan">
      <formula>1</formula>
    </cfRule>
  </conditionalFormatting>
  <conditionalFormatting sqref="F29">
    <cfRule type="expression" dxfId="176" priority="93">
      <formula>$F$29=SUM($F$19:$F$28)</formula>
    </cfRule>
  </conditionalFormatting>
  <conditionalFormatting sqref="AC266:AE266">
    <cfRule type="cellIs" dxfId="175" priority="1" operator="equal">
      <formula>"OK"</formula>
    </cfRule>
    <cfRule type="cellIs" dxfId="174" priority="2" operator="equal">
      <formula>"NG"</formula>
    </cfRule>
  </conditionalFormatting>
  <conditionalFormatting sqref="AC277:AC282 AD273:AE282">
    <cfRule type="cellIs" dxfId="173" priority="5" operator="equal">
      <formula>"OK"</formula>
    </cfRule>
    <cfRule type="cellIs" dxfId="172" priority="6" operator="equal">
      <formula>"NG"</formula>
    </cfRule>
  </conditionalFormatting>
  <conditionalFormatting sqref="AC273:AC276">
    <cfRule type="cellIs" dxfId="171" priority="3" operator="equal">
      <formula>"OK"</formula>
    </cfRule>
    <cfRule type="cellIs" dxfId="170" priority="4" operator="equal">
      <formula>"NG"</formula>
    </cfRule>
  </conditionalFormatting>
  <dataValidations count="2">
    <dataValidation type="list" allowBlank="1" showInputMessage="1" showErrorMessage="1" sqref="AD283:AE327 AC63:AC327 AD258:AE272">
      <formula1>"OK,NG"</formula1>
    </dataValidation>
    <dataValidation type="list" allowBlank="1" showInputMessage="1" showErrorMessage="1" sqref="R63:R100 R102:R327">
      <formula1>"Yes,No"</formula1>
    </dataValidation>
  </dataValidations>
  <pageMargins left="0.7" right="0.7" top="0.75" bottom="0.75" header="0.3" footer="0.3"/>
  <pageSetup orientation="portrait" horizontalDpi="300" verticalDpi="0" r:id="rId8"/>
  <extLst>
    <ext xmlns:x14="http://schemas.microsoft.com/office/spreadsheetml/2009/9/main" uri="{78C0D931-6437-407d-A8EE-F0AAD7539E65}">
      <x14:conditionalFormattings>
        <x14:conditionalFormatting xmlns:xm="http://schemas.microsoft.com/office/excel/2006/main">
          <x14:cfRule type="cellIs" priority="77" operator="greaterThanOrEqual" id="{880EA441-2590-4E05-81FB-030A6B262BA2}">
            <xm:f>Table!$C$4</xm:f>
            <x14:dxf>
              <font>
                <color rgb="FF006100"/>
              </font>
              <fill>
                <patternFill>
                  <bgColor rgb="FFC6EFCE"/>
                </patternFill>
              </fill>
            </x14:dxf>
          </x14:cfRule>
          <x14:cfRule type="cellIs" priority="78" operator="lessThan" id="{008E8A9C-0A54-48C8-BAA6-2040624D4B14}">
            <xm:f>Table!$C$4</xm:f>
            <x14:dxf>
              <font>
                <color rgb="FF9C0006"/>
              </font>
              <fill>
                <patternFill>
                  <bgColor rgb="FFFFC7CE"/>
                </patternFill>
              </fill>
            </x14:dxf>
          </x14:cfRule>
          <xm:sqref>G19:G29</xm:sqref>
        </x14:conditionalFormatting>
        <x14:conditionalFormatting xmlns:xm="http://schemas.microsoft.com/office/excel/2006/main">
          <x14:cfRule type="cellIs" priority="79" operator="greaterThanOrEqual" id="{055B1730-1858-463E-9B0B-33FF6EF9C729}">
            <xm:f>Table!$D$4</xm:f>
            <x14:dxf>
              <font>
                <color rgb="FF006100"/>
              </font>
              <fill>
                <patternFill>
                  <bgColor rgb="FFC6EFCE"/>
                </patternFill>
              </fill>
            </x14:dxf>
          </x14:cfRule>
          <x14:cfRule type="cellIs" priority="80" operator="lessThan" id="{9D0890AA-8BE8-4E6A-8479-B03F791D816F}">
            <xm:f>Table!$D$4</xm:f>
            <x14:dxf>
              <font>
                <color rgb="FF9C0006"/>
              </font>
              <fill>
                <patternFill>
                  <bgColor rgb="FFFFC7CE"/>
                </patternFill>
              </fill>
            </x14:dxf>
          </x14:cfRule>
          <xm:sqref>G4:G13</xm:sqref>
        </x14:conditionalFormatting>
        <x14:conditionalFormatting xmlns:xm="http://schemas.microsoft.com/office/excel/2006/main">
          <x14:cfRule type="cellIs" priority="53" operator="greaterThanOrEqual" id="{8D99BF4A-D908-47F1-8E24-1697DAA263CD}">
            <xm:f>Table!$D$4</xm:f>
            <x14:dxf>
              <font>
                <color rgb="FF006100"/>
              </font>
              <fill>
                <patternFill>
                  <bgColor rgb="FFC6EFCE"/>
                </patternFill>
              </fill>
            </x14:dxf>
          </x14:cfRule>
          <x14:cfRule type="cellIs" priority="54" operator="lessThan" id="{64E1D647-CB0B-4B5E-B51F-CD909D56D8BD}">
            <xm:f>Table!$D$4</xm:f>
            <x14:dxf>
              <font>
                <color rgb="FF9C0006"/>
              </font>
              <fill>
                <patternFill>
                  <bgColor rgb="FFFFC7CE"/>
                </patternFill>
              </fill>
            </x14:dxf>
          </x14:cfRule>
          <xm:sqref>G14</xm:sqref>
        </x14:conditionalFormatting>
        <x14:conditionalFormatting xmlns:xm="http://schemas.microsoft.com/office/excel/2006/main">
          <x14:cfRule type="cellIs" priority="51" operator="greaterThanOrEqual" id="{42805A51-A68C-45B4-950B-7CB2B9B10AB3}">
            <xm:f>Table!$D$4</xm:f>
            <x14:dxf>
              <font>
                <color rgb="FF006100"/>
              </font>
              <fill>
                <patternFill>
                  <bgColor rgb="FFC6EFCE"/>
                </patternFill>
              </fill>
            </x14:dxf>
          </x14:cfRule>
          <x14:cfRule type="cellIs" priority="52" operator="lessThan" id="{9B93FBAF-A588-4F7B-8232-CC7E656FD59C}">
            <xm:f>Table!$D$4</xm:f>
            <x14:dxf>
              <font>
                <color rgb="FF9C0006"/>
              </font>
              <fill>
                <patternFill>
                  <bgColor rgb="FFFFC7CE"/>
                </patternFill>
              </fill>
            </x14:dxf>
          </x14:cfRule>
          <xm:sqref>G44</xm:sqref>
        </x14:conditionalFormatting>
        <x14:conditionalFormatting xmlns:xm="http://schemas.microsoft.com/office/excel/2006/main">
          <x14:cfRule type="cellIs" priority="49" operator="greaterThanOrEqual" id="{2AA0948F-74AB-46EC-B255-A7ABEAF4E4D2}">
            <xm:f>Table!$D$4</xm:f>
            <x14:dxf>
              <font>
                <color rgb="FF006100"/>
              </font>
              <fill>
                <patternFill>
                  <bgColor rgb="FFC6EFCE"/>
                </patternFill>
              </fill>
            </x14:dxf>
          </x14:cfRule>
          <x14:cfRule type="cellIs" priority="50" operator="lessThan" id="{B1A166C1-E984-4616-BBDF-3553DC14A7FD}">
            <xm:f>Table!$D$4</xm:f>
            <x14:dxf>
              <font>
                <color rgb="FF9C0006"/>
              </font>
              <fill>
                <patternFill>
                  <bgColor rgb="FFFFC7CE"/>
                </patternFill>
              </fill>
            </x14:dxf>
          </x14:cfRule>
          <xm:sqref>G34</xm:sqref>
        </x14:conditionalFormatting>
        <x14:conditionalFormatting xmlns:xm="http://schemas.microsoft.com/office/excel/2006/main">
          <x14:cfRule type="cellIs" priority="47" operator="greaterThanOrEqual" id="{B0B60969-8423-4320-940F-E9B989674632}">
            <xm:f>Table!$D$4</xm:f>
            <x14:dxf>
              <font>
                <color rgb="FF006100"/>
              </font>
              <fill>
                <patternFill>
                  <bgColor rgb="FFC6EFCE"/>
                </patternFill>
              </fill>
            </x14:dxf>
          </x14:cfRule>
          <x14:cfRule type="cellIs" priority="48" operator="lessThan" id="{BDD78E5B-3530-4B93-BD9F-24457BFDC72C}">
            <xm:f>Table!$D$4</xm:f>
            <x14:dxf>
              <font>
                <color rgb="FF9C0006"/>
              </font>
              <fill>
                <patternFill>
                  <bgColor rgb="FFFFC7CE"/>
                </patternFill>
              </fill>
            </x14:dxf>
          </x14:cfRule>
          <xm:sqref>G35:G43</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14:formula1>
            <xm:f>Table!$C$13:$C$22</xm:f>
          </x14:formula1>
          <xm:sqref>P63:Q327</xm:sqref>
        </x14:dataValidation>
        <x14:dataValidation type="list" allowBlank="1" showInputMessage="1" showErrorMessage="1">
          <x14:formula1>
            <xm:f>Table!$C$8:$C$9</xm:f>
          </x14:formula1>
          <xm:sqref>D63:D327</xm:sqref>
        </x14:dataValidation>
        <x14:dataValidation type="list" allowBlank="1" showInputMessage="1" showErrorMessage="1">
          <x14:formula1>
            <xm:f>Table!$C$26:$C$32</xm:f>
          </x14:formula1>
          <xm:sqref>X63:X327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J38" sqref="J38"/>
    </sheetView>
  </sheetViews>
  <sheetFormatPr defaultRowHeight="15" x14ac:dyDescent="0.25"/>
  <sheetData/>
  <customSheetViews>
    <customSheetView guid="{250915DF-0B97-45D7-B29D-7EED4C89C1C1}">
      <selection activeCell="J38" sqref="J38"/>
      <pageMargins left="0.7" right="0.7" top="0.75" bottom="0.75" header="0.3" footer="0.3"/>
    </customSheetView>
    <customSheetView guid="{D33AC7AF-C8AB-4CE9-94C7-9237011A5FC3}">
      <selection activeCell="J38" sqref="J38"/>
      <pageMargins left="0.7" right="0.7" top="0.75" bottom="0.75" header="0.3" footer="0.3"/>
    </customSheetView>
    <customSheetView guid="{336B6883-2145-4B58-921E-CEC7185A847E}">
      <selection activeCell="C39" sqref="C39"/>
      <pageMargins left="0.7" right="0.7" top="0.75" bottom="0.75" header="0.3" footer="0.3"/>
    </customSheetView>
    <customSheetView guid="{A2C66332-A809-458E-971B-FDB6D62C74C3}">
      <selection activeCell="J38" sqref="J38"/>
      <pageMargins left="0.7" right="0.7" top="0.75" bottom="0.75" header="0.3" footer="0.3"/>
    </customSheetView>
    <customSheetView guid="{7ECC2B8E-6A82-42F5-8AB0-4A51C54EA5EC}">
      <selection activeCell="J38" sqref="J38"/>
      <pageMargins left="0.7" right="0.7" top="0.75" bottom="0.75" header="0.3" footer="0.3"/>
    </customSheetView>
    <customSheetView guid="{4E06BDBF-2CED-473B-850B-2A6C7311FF41}">
      <selection activeCell="C39" sqref="C39"/>
      <pageMargins left="0.7" right="0.7" top="0.75" bottom="0.75" header="0.3" footer="0.3"/>
    </customSheetView>
    <customSheetView guid="{7E0EA425-A420-4443-B9E0-CDF0AA9E5D09}">
      <selection activeCell="C39" sqref="C39"/>
      <pageMargins left="0.7" right="0.7" top="0.75" bottom="0.75" header="0.3" footer="0.3"/>
    </customSheetView>
    <customSheetView guid="{60D2C030-4E31-4E07-8E1C-44D2EE84B177}">
      <selection activeCell="C39" sqref="C39"/>
      <pageMargins left="0.7" right="0.7" top="0.75" bottom="0.75" header="0.3" footer="0.3"/>
    </customSheetView>
    <customSheetView guid="{72A6EB0A-84D5-4B8A-AC51-54CCD061630B}">
      <selection activeCell="C39" sqref="C39"/>
      <pageMargins left="0.7" right="0.7" top="0.75" bottom="0.75" header="0.3" footer="0.3"/>
    </customSheetView>
    <customSheetView guid="{3B3E6719-EACB-4D2C-89C1-05FFAB6020FD}">
      <selection activeCell="J38" sqref="J38"/>
      <pageMargins left="0.7" right="0.7" top="0.75" bottom="0.75" header="0.3" footer="0.3"/>
    </customSheetView>
  </customSheetView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M188"/>
  <sheetViews>
    <sheetView zoomScale="85" zoomScaleNormal="85" workbookViewId="0">
      <selection activeCell="G160" sqref="G160"/>
    </sheetView>
  </sheetViews>
  <sheetFormatPr defaultRowHeight="15" x14ac:dyDescent="0.25"/>
  <cols>
    <col min="2" max="2" width="16.28515625" bestFit="1" customWidth="1"/>
    <col min="3" max="3" width="5.7109375" customWidth="1"/>
    <col min="4" max="4" width="9.7109375" bestFit="1" customWidth="1"/>
    <col min="5" max="5" width="10" bestFit="1" customWidth="1"/>
    <col min="6" max="6" width="10.85546875" bestFit="1" customWidth="1"/>
    <col min="7" max="7" width="9" bestFit="1" customWidth="1"/>
    <col min="8" max="8" width="12" bestFit="1" customWidth="1"/>
    <col min="9" max="9" width="21.5703125" bestFit="1" customWidth="1"/>
  </cols>
  <sheetData>
    <row r="2" spans="1:9" x14ac:dyDescent="0.25">
      <c r="A2" s="1">
        <v>1</v>
      </c>
      <c r="B2" s="1" t="s">
        <v>62</v>
      </c>
      <c r="C2" s="1" t="s">
        <v>861</v>
      </c>
    </row>
    <row r="3" spans="1:9" x14ac:dyDescent="0.25">
      <c r="B3" s="1" t="s">
        <v>458</v>
      </c>
      <c r="C3" s="64">
        <f>SUM(G9:G10)</f>
        <v>13.961250000000003</v>
      </c>
      <c r="D3" t="s">
        <v>459</v>
      </c>
    </row>
    <row r="4" spans="1:9" x14ac:dyDescent="0.25">
      <c r="B4" s="1" t="s">
        <v>471</v>
      </c>
      <c r="C4" s="7">
        <f>SUM(INT((WEEKDAY(F4-{2,3,4,5,6}) +H4-F4)/7))</f>
        <v>4</v>
      </c>
      <c r="D4" t="s">
        <v>459</v>
      </c>
      <c r="E4" t="s">
        <v>338</v>
      </c>
      <c r="F4" s="6">
        <v>43896</v>
      </c>
      <c r="G4" s="6" t="s">
        <v>339</v>
      </c>
      <c r="H4" s="6">
        <v>43901</v>
      </c>
    </row>
    <row r="5" spans="1:9" x14ac:dyDescent="0.25">
      <c r="B5" s="1" t="s">
        <v>472</v>
      </c>
      <c r="C5" s="7">
        <f>SUM(INT((WEEKDAY(F5-{2,3,4,5,6}) +H5-F5)/7))</f>
        <v>6</v>
      </c>
      <c r="D5" t="s">
        <v>459</v>
      </c>
      <c r="E5" t="s">
        <v>338</v>
      </c>
      <c r="F5" s="6">
        <v>43896</v>
      </c>
      <c r="G5" s="6" t="s">
        <v>339</v>
      </c>
      <c r="H5" s="6">
        <v>43903</v>
      </c>
    </row>
    <row r="6" spans="1:9" x14ac:dyDescent="0.25">
      <c r="B6" s="1" t="s">
        <v>18</v>
      </c>
      <c r="C6" t="str">
        <f>IF(SUM(H9:H10)&gt;SUM(G9:G10),"Delayed",IF(SUM(H9:H10)&lt;SUM(G9:G10),"InAdvanced","Ontime"))</f>
        <v>Delayed</v>
      </c>
    </row>
    <row r="8" spans="1:9" ht="45" x14ac:dyDescent="0.25">
      <c r="C8" s="60" t="s">
        <v>26</v>
      </c>
      <c r="D8" s="60" t="s">
        <v>27</v>
      </c>
      <c r="E8" s="10" t="s">
        <v>460</v>
      </c>
      <c r="F8" s="10" t="s">
        <v>461</v>
      </c>
      <c r="G8" s="10" t="s">
        <v>462</v>
      </c>
      <c r="H8" s="10" t="s">
        <v>463</v>
      </c>
      <c r="I8" s="10" t="s">
        <v>30</v>
      </c>
    </row>
    <row r="9" spans="1:9" x14ac:dyDescent="0.25">
      <c r="C9" s="8">
        <v>1</v>
      </c>
      <c r="D9" s="9" t="s">
        <v>3</v>
      </c>
      <c r="E9" s="9">
        <f>SUMIFS(Merged!$T$63:$T$327,Merged!$D$63:$D$327,Table!$D$3, Merged!$E$63:$E$327,Report_For_Each_Project!C2)</f>
        <v>0</v>
      </c>
      <c r="F9" s="9">
        <f>SUMIFS(Merged!$U$63:$U$327,Merged!$D$63:$D$327,Table!$D$3, Merged!$E$63:$E$327,Report_For_Each_Project!C2)</f>
        <v>0</v>
      </c>
      <c r="G9" s="9">
        <f>1/8*(SUMIFS(Merged!$V$63:$V$327,Merged!$D$63:$D$327,Table!$D$3, Merged!$E$63:$E$327,Report_For_Each_Project!C2))</f>
        <v>0</v>
      </c>
      <c r="H9" s="9">
        <f>1/8*(SUMIFS(Merged!$W$63:$W$327,Merged!$D$63:$D$327,Table!$D$3, Merged!$E$63:$E$327,Report_For_Each_Project!C2)-SUM(SUMIFS(Merged!$W$63:$W$327,Merged!$D$63:$D$327,Table!$D$3,Merged!$X$63:$X$327,{"Ongoing","N/A",""},Merged!$E$63:$E$327,Report_For_Each_Project!C2)))</f>
        <v>0</v>
      </c>
      <c r="I9" s="74" t="str">
        <f>IFERROR(F9/E9,"N/A")</f>
        <v>N/A</v>
      </c>
    </row>
    <row r="10" spans="1:9" x14ac:dyDescent="0.25">
      <c r="C10" s="8">
        <v>2</v>
      </c>
      <c r="D10" s="9" t="s">
        <v>2</v>
      </c>
      <c r="E10" s="9">
        <f>SUMIFS(Merged!$T$63:$T$327,Merged!$D$63:$D$327,Table!$C$3, Merged!$E$63:$E$327,Report_For_Each_Project!C2)</f>
        <v>1814.972</v>
      </c>
      <c r="F10" s="9">
        <f>SUMIFS(Merged!$U$63:$U$327,Merged!$D$63:$D$327,Table!$C$3, Merged!$E$63:$E$327,Report_For_Each_Project!C2)-SUM(SUMIFS(Merged!$U$63:$U$327,Merged!$D$63:$D$327,Table!$C$3,Merged!$X$63:$X$327,{"Ongoing","N/A",""},Merged!$E$63:$E$327,Report_For_Each_Project!C2))</f>
        <v>1814.972</v>
      </c>
      <c r="G10" s="9">
        <f>1/8*(SUMIFS(Merged!$V$63:$V$327,Merged!$D$63:$D$327,Table!$C$3, Merged!$E$63:$E$327,Report_For_Each_Project!C2))</f>
        <v>13.961250000000003</v>
      </c>
      <c r="H10" s="9">
        <f>1/8*(SUMIFS(Merged!$W$63:$W$327,Merged!$D$63:$D$327,Table!$C$3, Merged!$E$63:$E$327,Report_For_Each_Project!C2)-SUM(SUMIFS(Merged!$W$63:$W$327,Merged!$D$63:$D$327,Table!$C$3,Merged!$X$63:$X$327,{"Ongoing","N/A",""},Merged!$E$63:$E$327,Report_For_Each_Project!C2)))</f>
        <v>16.5</v>
      </c>
      <c r="I10" s="74">
        <f>IFERROR(F10/E10,"N/A")</f>
        <v>1</v>
      </c>
    </row>
    <row r="12" spans="1:9" x14ac:dyDescent="0.25">
      <c r="C12" t="s">
        <v>465</v>
      </c>
    </row>
    <row r="13" spans="1:9" x14ac:dyDescent="0.25">
      <c r="D13" s="66" t="s">
        <v>486</v>
      </c>
    </row>
    <row r="14" spans="1:9" x14ac:dyDescent="0.25">
      <c r="D14" s="66" t="s">
        <v>487</v>
      </c>
    </row>
    <row r="16" spans="1:9" x14ac:dyDescent="0.25">
      <c r="A16" s="1">
        <f>A2+1</f>
        <v>2</v>
      </c>
      <c r="B16" s="1" t="s">
        <v>62</v>
      </c>
      <c r="C16" s="1" t="s">
        <v>206</v>
      </c>
    </row>
    <row r="17" spans="1:9" x14ac:dyDescent="0.25">
      <c r="B17" s="1" t="s">
        <v>458</v>
      </c>
      <c r="C17" s="64">
        <f>SUM(G23:G24)</f>
        <v>1.1000000000000001</v>
      </c>
      <c r="D17" t="s">
        <v>459</v>
      </c>
    </row>
    <row r="18" spans="1:9" x14ac:dyDescent="0.25">
      <c r="B18" s="1" t="s">
        <v>471</v>
      </c>
      <c r="C18" s="7">
        <f>SUM(INT((WEEKDAY(F18-{2,3,4,5,6}) +H18-F18)/7))-7.2/8</f>
        <v>1.1000000000000001</v>
      </c>
      <c r="D18" t="s">
        <v>459</v>
      </c>
      <c r="E18" t="s">
        <v>338</v>
      </c>
      <c r="F18" s="6">
        <v>43896</v>
      </c>
      <c r="G18" s="6" t="s">
        <v>466</v>
      </c>
      <c r="H18" s="6">
        <v>43899</v>
      </c>
    </row>
    <row r="19" spans="1:9" x14ac:dyDescent="0.25">
      <c r="B19" s="1" t="s">
        <v>472</v>
      </c>
      <c r="C19" s="7">
        <f>SUM(INT((WEEKDAY(F19-{2,3,4,5,6}) +H19-F19)/7))-1</f>
        <v>1</v>
      </c>
      <c r="D19" t="s">
        <v>459</v>
      </c>
      <c r="E19" t="s">
        <v>338</v>
      </c>
      <c r="F19" s="6">
        <v>43896</v>
      </c>
      <c r="G19" s="6" t="s">
        <v>466</v>
      </c>
      <c r="H19" s="6">
        <v>43899</v>
      </c>
    </row>
    <row r="20" spans="1:9" x14ac:dyDescent="0.25">
      <c r="B20" s="1" t="s">
        <v>18</v>
      </c>
      <c r="C20" t="s">
        <v>467</v>
      </c>
    </row>
    <row r="22" spans="1:9" ht="45" x14ac:dyDescent="0.25">
      <c r="C22" s="60" t="s">
        <v>26</v>
      </c>
      <c r="D22" s="60" t="s">
        <v>27</v>
      </c>
      <c r="E22" s="10" t="s">
        <v>460</v>
      </c>
      <c r="F22" s="10" t="s">
        <v>461</v>
      </c>
      <c r="G22" s="10" t="s">
        <v>462</v>
      </c>
      <c r="H22" s="10" t="s">
        <v>463</v>
      </c>
      <c r="I22" s="10" t="s">
        <v>30</v>
      </c>
    </row>
    <row r="23" spans="1:9" x14ac:dyDescent="0.25">
      <c r="C23" s="8">
        <v>1</v>
      </c>
      <c r="D23" s="9" t="s">
        <v>3</v>
      </c>
      <c r="E23" s="88">
        <f>SUMIFS(Merged!$T$63:$T$327,Merged!$D$63:$D$327,Table!$D$3, Merged!$E$63:$E$327,Report_For_Each_Project!C16)</f>
        <v>0</v>
      </c>
      <c r="F23" s="94">
        <f>SUMIFS(Merged!$U$63:$U$327,Merged!$D$63:$D$327,Table!$D$3, Merged!$E$63:$E$327,Report_For_Each_Project!C16)</f>
        <v>0</v>
      </c>
      <c r="G23" s="88">
        <f>1/8*(SUMIFS(Merged!$V$63:$V$327,Merged!$D$63:$D$327,Table!$D$3, Merged!$E$63:$E$327,Report_For_Each_Project!C16))</f>
        <v>0</v>
      </c>
      <c r="H23" s="88">
        <f>1/8*(SUMIFS(Merged!$W$63:$W$327,Merged!$D$63:$D$327,Table!$D$3, Merged!$E$63:$E$327,Report_For_Each_Project!C16)-SUM(SUMIFS(Merged!$W$63:$W$327,Merged!$D$63:$D$327,Table!$D$3,Merged!$X$63:$X$327,{"Ongoing","N/A",""},Merged!$E$63:$E$327,Report_For_Each_Project!C16)))</f>
        <v>0</v>
      </c>
      <c r="I23" s="74" t="str">
        <f>IFERROR(F23/E23,"N/A")</f>
        <v>N/A</v>
      </c>
    </row>
    <row r="24" spans="1:9" x14ac:dyDescent="0.25">
      <c r="C24" s="8">
        <v>2</v>
      </c>
      <c r="D24" s="9" t="s">
        <v>2</v>
      </c>
      <c r="E24" s="88">
        <f>SUMIFS(Merged!$T$63:$T$327,Merged!$D$63:$D$327,Table!$C$3, Merged!$E$63:$E$327,Report_For_Each_Project!C16)</f>
        <v>143</v>
      </c>
      <c r="F24" s="94">
        <f>SUMIFS(Merged!$U$63:$U$327,Merged!$D$63:$D$327,Table!$C$3, Merged!$E$63:$E$327,Report_For_Each_Project!C16)-SUM(SUMIFS(Merged!$U$63:$U$327,Merged!$D$63:$D$327,Table!$C$3,Merged!$X$63:$X$327,{"Ongoing","N/A",""},Merged!$E$63:$E$327,Report_For_Each_Project!C16))</f>
        <v>143</v>
      </c>
      <c r="G24" s="88">
        <f>1/8*(SUMIFS(Merged!$V$63:$V$327,Merged!$D$63:$D$327,Table!$C$3, Merged!$E$63:$E$327,Report_For_Each_Project!C16))</f>
        <v>1.1000000000000001</v>
      </c>
      <c r="H24" s="88">
        <f>1/8*(SUMIFS(Merged!$W$63:$W$327,Merged!$D$63:$D$327,Table!$C$3, Merged!$E$63:$E$327,Report_For_Each_Project!C16)-SUM(SUMIFS(Merged!$W$63:$W$327,Merged!$D$63:$D$327,Table!$C$3,Merged!$X$63:$X$327,{"Ongoing","N/A",""},Merged!$E$63:$E$327,Report_For_Each_Project!C16)))</f>
        <v>1.5</v>
      </c>
      <c r="I24" s="74">
        <f>IFERROR(F24/E24,"N/A")</f>
        <v>1</v>
      </c>
    </row>
    <row r="26" spans="1:9" x14ac:dyDescent="0.25">
      <c r="C26" t="s">
        <v>465</v>
      </c>
    </row>
    <row r="27" spans="1:9" x14ac:dyDescent="0.25">
      <c r="D27" s="66" t="s">
        <v>488</v>
      </c>
    </row>
    <row r="29" spans="1:9" x14ac:dyDescent="0.25">
      <c r="A29" s="1">
        <f>A16+1</f>
        <v>3</v>
      </c>
      <c r="B29" s="1" t="s">
        <v>62</v>
      </c>
      <c r="C29" s="1" t="s">
        <v>283</v>
      </c>
    </row>
    <row r="30" spans="1:9" x14ac:dyDescent="0.25">
      <c r="B30" s="1" t="s">
        <v>458</v>
      </c>
      <c r="C30" s="64">
        <f>SUM(G36:G37)</f>
        <v>12.55</v>
      </c>
      <c r="D30" t="s">
        <v>459</v>
      </c>
    </row>
    <row r="31" spans="1:9" x14ac:dyDescent="0.25">
      <c r="B31" s="1" t="s">
        <v>471</v>
      </c>
      <c r="C31">
        <f>SUM(INT((WEEKDAY(F31+-{2,3,4,5,6}) +H31-F31)/7))-(8-3)/8</f>
        <v>3.375</v>
      </c>
      <c r="D31" t="s">
        <v>459</v>
      </c>
      <c r="E31" t="s">
        <v>340</v>
      </c>
      <c r="F31" s="6">
        <v>43906</v>
      </c>
      <c r="G31" s="6" t="s">
        <v>339</v>
      </c>
      <c r="H31" s="6">
        <v>43909</v>
      </c>
    </row>
    <row r="32" spans="1:9" x14ac:dyDescent="0.25">
      <c r="B32" s="1" t="s">
        <v>472</v>
      </c>
      <c r="C32">
        <f>SUM(INT((WEEKDAY(F32+-{2,3,4,5,6}) +H32-F32)/7))-(8-3)/8</f>
        <v>3.375</v>
      </c>
      <c r="D32" t="s">
        <v>459</v>
      </c>
      <c r="E32" t="s">
        <v>338</v>
      </c>
      <c r="F32" s="6">
        <v>43907</v>
      </c>
      <c r="G32" s="6" t="s">
        <v>470</v>
      </c>
      <c r="H32" s="6">
        <v>43910</v>
      </c>
    </row>
    <row r="33" spans="1:9" x14ac:dyDescent="0.25">
      <c r="B33" s="1" t="s">
        <v>18</v>
      </c>
      <c r="C33" t="str">
        <f>IF(SUM(H36:H37)&gt;SUM(G36:G37),"Delayed",IF(SUM(H36:H37)&lt;SUM(G36:G37),"InAdvanced","Ontime"))</f>
        <v>Delayed</v>
      </c>
    </row>
    <row r="35" spans="1:9" ht="45" x14ac:dyDescent="0.25">
      <c r="C35" s="60" t="s">
        <v>26</v>
      </c>
      <c r="D35" s="60" t="s">
        <v>27</v>
      </c>
      <c r="E35" s="10" t="s">
        <v>460</v>
      </c>
      <c r="F35" s="10" t="s">
        <v>461</v>
      </c>
      <c r="G35" s="10" t="s">
        <v>462</v>
      </c>
      <c r="H35" s="10" t="s">
        <v>463</v>
      </c>
      <c r="I35" s="10" t="s">
        <v>30</v>
      </c>
    </row>
    <row r="36" spans="1:9" x14ac:dyDescent="0.25">
      <c r="C36" s="8">
        <v>1</v>
      </c>
      <c r="D36" s="9" t="s">
        <v>3</v>
      </c>
      <c r="E36" s="88">
        <f>SUMIFS(Merged!$T$63:$T$327,Merged!$D$63:$D$327,Table!$D$3, Merged!$E$63:$E$327,Report_For_Each_Project!C29)</f>
        <v>720</v>
      </c>
      <c r="F36" s="94">
        <f>SUMIFS(Merged!$U$63:$U$327,Merged!$D$63:$D$327,Table!$D$3, Merged!$E$63:$E$327,Report_For_Each_Project!C29)</f>
        <v>720</v>
      </c>
      <c r="G36" s="88">
        <f>1/8*(SUMIFS(Merged!$V$63:$V$327,Merged!$D$63:$D$327,Table!$D$3, Merged!$E$63:$E$327,Report_For_Each_Project!C29))</f>
        <v>1.6</v>
      </c>
      <c r="H36" s="88">
        <f>1/8*(SUMIFS(Merged!$W$63:$W$327,Merged!$D$63:$D$327,Table!$D$3, Merged!$E$63:$E$327,Report_For_Each_Project!C29)-SUM(SUMIFS(Merged!$W$63:$W$327,Merged!$D$63:$D$327,Table!$D$3,Merged!$X$63:$X$327,{"Ongoing","N/A",""},Merged!$E$63:$E$327,Report_For_Each_Project!C29)))</f>
        <v>1.5</v>
      </c>
      <c r="I36" s="74">
        <f>IFERROR(F36/E36,"N/A")</f>
        <v>1</v>
      </c>
    </row>
    <row r="37" spans="1:9" x14ac:dyDescent="0.25">
      <c r="C37" s="8">
        <v>2</v>
      </c>
      <c r="D37" s="9" t="s">
        <v>2</v>
      </c>
      <c r="E37" s="88">
        <f>SUMIFS(Merged!$T$63:$T$327,Merged!$D$63:$D$327,Table!$C$3, Merged!$E$63:$E$327,Report_For_Each_Project!C29)</f>
        <v>1423.5</v>
      </c>
      <c r="F37" s="94">
        <f>SUMIFS(Merged!$U$63:$U$327,Merged!$D$63:$D$327,Table!$C$3, Merged!$E$63:$E$327,Report_For_Each_Project!C29)-SUM(SUMIFS(Merged!$U$63:$U$327,Merged!$D$63:$D$327,Table!$C$3,Merged!$X$63:$X$327,{"Ongoing","N/A",""},Merged!$E$63:$E$327,Report_For_Each_Project!C29))</f>
        <v>1423.5</v>
      </c>
      <c r="G37" s="88">
        <f>1/8*(SUMIFS(Merged!$V$63:$V$327,Merged!$D$63:$D$327,Table!$C$3, Merged!$E$63:$E$327,Report_For_Each_Project!C29))</f>
        <v>10.950000000000001</v>
      </c>
      <c r="H37" s="88">
        <f>1/8*(SUMIFS(Merged!$W$63:$W$327,Merged!$D$63:$D$327,Table!$C$3, Merged!$E$63:$E$327,Report_For_Each_Project!C29)-SUM(SUMIFS(Merged!$W$63:$W$327,Merged!$D$63:$D$327,Table!$C$3,Merged!$X$63:$X$327,{"Ongoing","N/A",""},Merged!$E$63:$E$327,Report_For_Each_Project!C29)))</f>
        <v>13.8</v>
      </c>
      <c r="I37" s="74">
        <f>IFERROR(F37/E37,"N/A")</f>
        <v>1</v>
      </c>
    </row>
    <row r="39" spans="1:9" x14ac:dyDescent="0.25">
      <c r="C39" t="s">
        <v>465</v>
      </c>
    </row>
    <row r="40" spans="1:9" x14ac:dyDescent="0.25">
      <c r="D40" s="66" t="s">
        <v>485</v>
      </c>
    </row>
    <row r="41" spans="1:9" x14ac:dyDescent="0.25">
      <c r="A41" s="1"/>
    </row>
    <row r="42" spans="1:9" x14ac:dyDescent="0.25">
      <c r="A42" s="1">
        <f>A29+1</f>
        <v>4</v>
      </c>
      <c r="B42" s="1" t="s">
        <v>62</v>
      </c>
      <c r="C42" s="1" t="s">
        <v>452</v>
      </c>
    </row>
    <row r="43" spans="1:9" x14ac:dyDescent="0.25">
      <c r="B43" s="1" t="s">
        <v>458</v>
      </c>
      <c r="C43" s="64">
        <f>SUM(G49:G50)</f>
        <v>25.394375</v>
      </c>
      <c r="D43" t="s">
        <v>459</v>
      </c>
    </row>
    <row r="44" spans="1:9" x14ac:dyDescent="0.25">
      <c r="B44" s="1" t="s">
        <v>471</v>
      </c>
      <c r="C44">
        <f>SUM(INT((WEEKDAY(F44-{2,3,4,5,6}) +H44-F44)/7))</f>
        <v>7</v>
      </c>
      <c r="D44" t="s">
        <v>459</v>
      </c>
      <c r="E44" t="s">
        <v>713</v>
      </c>
      <c r="F44" s="6">
        <v>43910</v>
      </c>
      <c r="G44" s="6" t="s">
        <v>339</v>
      </c>
      <c r="H44" s="6">
        <v>43920</v>
      </c>
    </row>
    <row r="45" spans="1:9" x14ac:dyDescent="0.25">
      <c r="B45" s="1" t="s">
        <v>472</v>
      </c>
      <c r="C45">
        <f>SUM(INT((WEEKDAY(F45-{2,3,4,5,6}) +H45-F45)/7))</f>
        <v>9</v>
      </c>
      <c r="D45" t="s">
        <v>459</v>
      </c>
      <c r="E45" t="s">
        <v>743</v>
      </c>
      <c r="F45" s="6">
        <v>43910</v>
      </c>
      <c r="G45" s="6" t="s">
        <v>339</v>
      </c>
      <c r="H45" s="6">
        <v>43922</v>
      </c>
    </row>
    <row r="46" spans="1:9" x14ac:dyDescent="0.25">
      <c r="B46" s="1" t="s">
        <v>18</v>
      </c>
      <c r="C46" t="s">
        <v>489</v>
      </c>
    </row>
    <row r="48" spans="1:9" ht="45" x14ac:dyDescent="0.25">
      <c r="C48" s="61" t="s">
        <v>26</v>
      </c>
      <c r="D48" s="61" t="s">
        <v>27</v>
      </c>
      <c r="E48" s="10" t="s">
        <v>460</v>
      </c>
      <c r="F48" s="10" t="s">
        <v>461</v>
      </c>
      <c r="G48" s="10" t="s">
        <v>462</v>
      </c>
      <c r="H48" s="10" t="s">
        <v>463</v>
      </c>
      <c r="I48" s="10" t="s">
        <v>30</v>
      </c>
    </row>
    <row r="49" spans="1:9" x14ac:dyDescent="0.25">
      <c r="C49" s="8">
        <v>1</v>
      </c>
      <c r="D49" s="9" t="s">
        <v>3</v>
      </c>
      <c r="E49" s="88">
        <f>SUMIFS(Merged!$T$63:$T$327,Merged!$D$63:$D$327,Table!$D$3, Merged!$E$63:$E$327,Report_For_Each_Project!C42)</f>
        <v>0</v>
      </c>
      <c r="F49" s="94">
        <f>SUMIFS(Merged!$U$63:$U$327,Merged!$D$63:$D$327,Table!$D$3, Merged!$E$63:$E$327,Report_For_Each_Project!C42)</f>
        <v>0</v>
      </c>
      <c r="G49" s="88">
        <f>1/8*(SUMIFS(Merged!$V$63:$V$327,Merged!$D$63:$D$327,Table!$D$3, Merged!$E$63:$E$327,Report_For_Each_Project!C42))</f>
        <v>0</v>
      </c>
      <c r="H49" s="88">
        <f>1/8*(SUMIFS(Merged!$W$63:$W$327,Merged!$D$63:$D$327,Table!$D$3, Merged!$E$63:$E$327,Report_For_Each_Project!C42)-SUM(SUMIFS(Merged!$W$63:$W$327,Merged!$D$63:$D$327,Table!$D$3,Merged!$X$63:$X$327,{"Ongoing","N/A",""},Merged!$E$63:$E$327,Report_For_Each_Project!C42)))</f>
        <v>0</v>
      </c>
      <c r="I49" s="74" t="str">
        <f>IFERROR(F49/E49,"N/A")</f>
        <v>N/A</v>
      </c>
    </row>
    <row r="50" spans="1:9" x14ac:dyDescent="0.25">
      <c r="C50" s="8">
        <v>2</v>
      </c>
      <c r="D50" s="9" t="s">
        <v>2</v>
      </c>
      <c r="E50" s="88">
        <f>SUMIFS(Merged!$T$63:$T$327,Merged!$D$63:$D$327,Table!$C$3, Merged!$E$63:$E$327,Report_For_Each_Project!C42)</f>
        <v>3301.2859999999996</v>
      </c>
      <c r="F50" s="94">
        <f>SUMIFS(Merged!$U$63:$U$327,Merged!$D$63:$D$327,Table!$C$3, Merged!$E$63:$E$327,Report_For_Each_Project!C42)-SUM(SUMIFS(Merged!$U$63:$U$327,Merged!$D$63:$D$327,Table!$C$3,Merged!$X$63:$X$327,{"Ongoing","N/A",""},Merged!$E$63:$E$327,Report_For_Each_Project!C42))</f>
        <v>3301.2859999999996</v>
      </c>
      <c r="G50" s="88">
        <f>1/8*(SUMIFS(Merged!$V$63:$V$327,Merged!$D$63:$D$327,Table!$C$3, Merged!$E$63:$E$327,Report_For_Each_Project!C42))</f>
        <v>25.394375</v>
      </c>
      <c r="H50" s="88">
        <f>1/8*(SUMIFS(Merged!$W$63:$W$327,Merged!$D$63:$D$327,Table!$C$3, Merged!$E$63:$E$327,Report_For_Each_Project!C42)-SUM(SUMIFS(Merged!$W$63:$W$327,Merged!$D$63:$D$327,Table!$C$3,Merged!$X$63:$X$327,{"Ongoing","N/A",""},Merged!$E$63:$E$327,Report_For_Each_Project!C42)))</f>
        <v>22.625</v>
      </c>
      <c r="I50" s="74">
        <f>IFERROR(F50/E50,"N/A")</f>
        <v>1</v>
      </c>
    </row>
    <row r="52" spans="1:9" x14ac:dyDescent="0.25">
      <c r="C52" t="s">
        <v>465</v>
      </c>
    </row>
    <row r="53" spans="1:9" x14ac:dyDescent="0.25">
      <c r="D53" s="66" t="s">
        <v>712</v>
      </c>
    </row>
    <row r="54" spans="1:9" x14ac:dyDescent="0.25">
      <c r="D54" s="66" t="s">
        <v>710</v>
      </c>
    </row>
    <row r="55" spans="1:9" x14ac:dyDescent="0.25">
      <c r="D55" s="66" t="s">
        <v>711</v>
      </c>
    </row>
    <row r="57" spans="1:9" x14ac:dyDescent="0.25">
      <c r="A57" s="1">
        <f>A42+1</f>
        <v>5</v>
      </c>
      <c r="B57" s="1" t="s">
        <v>62</v>
      </c>
      <c r="C57" s="1" t="s">
        <v>672</v>
      </c>
    </row>
    <row r="58" spans="1:9" x14ac:dyDescent="0.25">
      <c r="B58" s="1" t="s">
        <v>458</v>
      </c>
      <c r="C58" s="64">
        <f>SUM(G64:G65)</f>
        <v>11.399999999999999</v>
      </c>
      <c r="D58" t="s">
        <v>459</v>
      </c>
    </row>
    <row r="59" spans="1:9" x14ac:dyDescent="0.25">
      <c r="B59" s="1" t="s">
        <v>471</v>
      </c>
      <c r="C59">
        <f>SUM(INT((WEEKDAY(F59-{2,3,4,5,6})+H59-F59)/7))-1-(2/8)-1</f>
        <v>2.75</v>
      </c>
      <c r="D59" t="s">
        <v>459</v>
      </c>
      <c r="E59" t="s">
        <v>713</v>
      </c>
      <c r="F59" s="6">
        <v>43920</v>
      </c>
      <c r="G59" s="6" t="s">
        <v>339</v>
      </c>
      <c r="H59" s="6">
        <v>43924</v>
      </c>
    </row>
    <row r="60" spans="1:9" x14ac:dyDescent="0.25">
      <c r="B60" s="1" t="s">
        <v>472</v>
      </c>
      <c r="C60">
        <f>SUM(INT((WEEKDAY(F60-{2,3,4,5,6})+H60-F60)/7))-1-1</f>
        <v>3</v>
      </c>
      <c r="D60" t="s">
        <v>459</v>
      </c>
      <c r="E60" t="s">
        <v>737</v>
      </c>
      <c r="F60" s="6">
        <v>43920</v>
      </c>
      <c r="G60" s="6" t="s">
        <v>470</v>
      </c>
      <c r="H60" s="6">
        <v>43924</v>
      </c>
    </row>
    <row r="61" spans="1:9" x14ac:dyDescent="0.25">
      <c r="B61" s="1" t="s">
        <v>18</v>
      </c>
      <c r="C61" t="str">
        <f>IF(SUM(H64:H65)&gt;SUM(G64:G65),"Delayed",IF(SUM(H64:H65)&lt;SUM(G64:G65),"InAdvanced","Ontime"))</f>
        <v>InAdvanced</v>
      </c>
      <c r="F61" s="6"/>
      <c r="G61" s="6"/>
      <c r="H61" s="6"/>
    </row>
    <row r="63" spans="1:9" ht="45" x14ac:dyDescent="0.25">
      <c r="C63" s="79" t="s">
        <v>26</v>
      </c>
      <c r="D63" s="79" t="s">
        <v>27</v>
      </c>
      <c r="E63" s="10" t="s">
        <v>460</v>
      </c>
      <c r="F63" s="10" t="s">
        <v>461</v>
      </c>
      <c r="G63" s="10" t="s">
        <v>462</v>
      </c>
      <c r="H63" s="10" t="s">
        <v>463</v>
      </c>
      <c r="I63" s="10" t="s">
        <v>30</v>
      </c>
    </row>
    <row r="64" spans="1:9" x14ac:dyDescent="0.25">
      <c r="C64" s="8">
        <v>1</v>
      </c>
      <c r="D64" s="80" t="s">
        <v>3</v>
      </c>
      <c r="E64" s="88">
        <f>SUMIFS(Merged!$T$63:$T$327,Merged!$D$63:$D$327,Table!$D$3, Merged!$E$63:$E$327,Report_For_Each_Project!C57)</f>
        <v>5130</v>
      </c>
      <c r="F64" s="94">
        <f>SUMIFS(Merged!$U$63:$U$327,Merged!$D$63:$D$327,Table!$D$3, Merged!$E$63:$E$327,Report_For_Each_Project!C57)</f>
        <v>5130</v>
      </c>
      <c r="G64" s="88">
        <f>1/8*(SUMIFS(Merged!$V$63:$V$327,Merged!$D$63:$D$327,Table!$D$3, Merged!$E$63:$E$327,Report_For_Each_Project!C57))</f>
        <v>11.399999999999999</v>
      </c>
      <c r="H64" s="88">
        <f>1/8*(SUMIFS(Merged!$W$63:$W$327,Merged!$D$63:$D$327,Table!$D$3, Merged!$E$63:$E$327,Report_For_Each_Project!C57)-SUM(SUMIFS(Merged!$W$63:$W$327,Merged!$D$63:$D$327,Table!$D$3,Merged!$X$63:$X$327,{"Ongoing","N/A",""},Merged!$E$63:$E$327,Report_For_Each_Project!C57)))</f>
        <v>9</v>
      </c>
      <c r="I64" s="74">
        <f>IFERROR(F64/E64,"N/A")</f>
        <v>1</v>
      </c>
    </row>
    <row r="65" spans="1:9" x14ac:dyDescent="0.25">
      <c r="C65" s="8">
        <v>2</v>
      </c>
      <c r="D65" s="80" t="s">
        <v>2</v>
      </c>
      <c r="E65" s="88">
        <f>SUMIFS(Merged!$T$63:$T$327,Merged!$D$63:$D$327,Table!$C$3, Merged!$E$63:$E$327,Report_For_Each_Project!C57)</f>
        <v>0</v>
      </c>
      <c r="F65" s="94">
        <f>SUMIFS(Merged!$U$63:$U$327,Merged!$D$63:$D$327,Table!$C$3, Merged!$E$63:$E$327,Report_For_Each_Project!C57)-SUM(SUMIFS(Merged!$U$63:$U$327,Merged!$D$63:$D$327,Table!$C$3,Merged!$X$63:$X$327,{"Ongoing","N/A",""},Merged!$E$63:$E$327,Report_For_Each_Project!C57))</f>
        <v>0</v>
      </c>
      <c r="G65" s="88">
        <f>1/8*(SUMIFS(Merged!$V$63:$V$327,Merged!$D$63:$D$327,Table!$C$3, Merged!$E$63:$E$327,Report_For_Each_Project!C57))</f>
        <v>0</v>
      </c>
      <c r="H65" s="88">
        <f>1/8*(SUMIFS(Merged!$W$63:$W$327,Merged!$D$63:$D$327,Table!$C$3, Merged!$E$63:$E$327,Report_For_Each_Project!C57)-SUM(SUMIFS(Merged!$W$63:$W$327,Merged!$D$63:$D$327,Table!$C$3,Merged!$X$63:$X$327,{"Ongoing","N/A",""},Merged!$E$63:$E$327,Report_For_Each_Project!C57)))</f>
        <v>0</v>
      </c>
      <c r="I65" s="74" t="str">
        <f t="shared" ref="I65" si="0">IFERROR(F65/E65,"N/A")</f>
        <v>N/A</v>
      </c>
    </row>
    <row r="67" spans="1:9" x14ac:dyDescent="0.25">
      <c r="C67" t="s">
        <v>465</v>
      </c>
    </row>
    <row r="68" spans="1:9" x14ac:dyDescent="0.25">
      <c r="D68" t="s">
        <v>488</v>
      </c>
    </row>
    <row r="69" spans="1:9" x14ac:dyDescent="0.25">
      <c r="D69" s="66"/>
    </row>
    <row r="70" spans="1:9" x14ac:dyDescent="0.25">
      <c r="A70" s="1">
        <f>A57+1</f>
        <v>6</v>
      </c>
      <c r="B70" s="1" t="s">
        <v>62</v>
      </c>
      <c r="C70" s="1" t="s">
        <v>724</v>
      </c>
    </row>
    <row r="71" spans="1:9" x14ac:dyDescent="0.25">
      <c r="B71" s="1" t="s">
        <v>458</v>
      </c>
      <c r="C71" s="64">
        <f>SUM(G77:G78)</f>
        <v>1.2</v>
      </c>
      <c r="D71" t="s">
        <v>459</v>
      </c>
    </row>
    <row r="72" spans="1:9" x14ac:dyDescent="0.25">
      <c r="B72" s="1" t="s">
        <v>471</v>
      </c>
      <c r="C72">
        <f>SUM(INT((WEEKDAY(F72-{2,3,4,5,6})+H72-F72)/7))-1-(2/8)-1</f>
        <v>0.75</v>
      </c>
      <c r="D72" t="s">
        <v>459</v>
      </c>
      <c r="E72" t="s">
        <v>738</v>
      </c>
      <c r="F72" s="6">
        <v>43922</v>
      </c>
      <c r="G72" s="6" t="s">
        <v>470</v>
      </c>
      <c r="H72" s="6">
        <v>43924</v>
      </c>
    </row>
    <row r="73" spans="1:9" x14ac:dyDescent="0.25">
      <c r="B73" s="1" t="s">
        <v>472</v>
      </c>
      <c r="C73">
        <f>SUM(INT((WEEKDAY(F73-{2,3,4,5,6})+H73-F73)/7))-1-0.5</f>
        <v>1.5</v>
      </c>
      <c r="D73" t="s">
        <v>459</v>
      </c>
      <c r="E73" t="s">
        <v>737</v>
      </c>
      <c r="F73" s="6">
        <v>43922</v>
      </c>
      <c r="G73" s="6" t="s">
        <v>470</v>
      </c>
      <c r="H73" s="6">
        <v>43924</v>
      </c>
    </row>
    <row r="74" spans="1:9" x14ac:dyDescent="0.25">
      <c r="B74" s="1" t="s">
        <v>18</v>
      </c>
      <c r="C74" t="s">
        <v>467</v>
      </c>
      <c r="F74" s="6"/>
      <c r="G74" s="6"/>
      <c r="H74" s="6"/>
    </row>
    <row r="76" spans="1:9" ht="45" x14ac:dyDescent="0.25">
      <c r="C76" s="83" t="s">
        <v>26</v>
      </c>
      <c r="D76" s="83" t="s">
        <v>27</v>
      </c>
      <c r="E76" s="10" t="s">
        <v>460</v>
      </c>
      <c r="F76" s="10" t="s">
        <v>461</v>
      </c>
      <c r="G76" s="10" t="s">
        <v>462</v>
      </c>
      <c r="H76" s="10" t="s">
        <v>463</v>
      </c>
      <c r="I76" s="10" t="s">
        <v>30</v>
      </c>
    </row>
    <row r="77" spans="1:9" x14ac:dyDescent="0.25">
      <c r="C77" s="8">
        <v>1</v>
      </c>
      <c r="D77" s="84" t="s">
        <v>3</v>
      </c>
      <c r="E77" s="88">
        <f>SUMIFS(Merged!$T$63:$T$327,Merged!$D$63:$D$327,Table!$D$3, Merged!$E$63:$E$327,Report_For_Each_Project!C70)</f>
        <v>135</v>
      </c>
      <c r="F77" s="94">
        <f>SUMIFS(Merged!$U$63:$U$327,Merged!$D$63:$D$327,Table!$D$3, Merged!$E$63:$E$327,Report_For_Each_Project!C70)</f>
        <v>135</v>
      </c>
      <c r="G77" s="88">
        <f>1/8*(SUMIFS(Merged!$V$63:$V$327,Merged!$D$63:$D$327,Table!$D$3, Merged!$E$63:$E$327,Report_For_Each_Project!C70))</f>
        <v>0.3</v>
      </c>
      <c r="H77" s="88">
        <f>1/8*(SUMIFS(Merged!$W$63:$W$327,Merged!$D$63:$D$327,Table!$D$3, Merged!$E$63:$E$327,Report_For_Each_Project!C70)-SUM(SUMIFS(Merged!$W$63:$W$327,Merged!$D$63:$D$327,Table!$D$3,Merged!$X$63:$X$327,{"Ongoing","N/A",""},Merged!$E$63:$E$327,Report_For_Each_Project!C70)))</f>
        <v>1</v>
      </c>
      <c r="I77" s="74">
        <f>IFERROR(F77/E77,"N/A")</f>
        <v>1</v>
      </c>
    </row>
    <row r="78" spans="1:9" x14ac:dyDescent="0.25">
      <c r="C78" s="8">
        <v>2</v>
      </c>
      <c r="D78" s="84" t="s">
        <v>2</v>
      </c>
      <c r="E78" s="88">
        <f>SUMIFS(Merged!$T$63:$T$327,Merged!$D$63:$D$327,Table!$C$3, Merged!$E$63:$E$327,Report_For_Each_Project!C70)</f>
        <v>117</v>
      </c>
      <c r="F78" s="94">
        <f>SUMIFS(Merged!$U$63:$U$327,Merged!$D$63:$D$327,Table!$C$3, Merged!$E$63:$E$327,Report_For_Each_Project!C70)-SUM(SUMIFS(Merged!$U$63:$U$327,Merged!$D$63:$D$327,Table!$C$3,Merged!$X$63:$X$327,{"Ongoing","N/A",""},Merged!$E$63:$E$327,Report_For_Each_Project!C70))</f>
        <v>117</v>
      </c>
      <c r="G78" s="88">
        <f>1/8*(SUMIFS(Merged!$V$63:$V$327,Merged!$D$63:$D$327,Table!$C$3, Merged!$E$63:$E$327,Report_For_Each_Project!C70))</f>
        <v>0.89999999999999991</v>
      </c>
      <c r="H78" s="88">
        <f>1/8*(SUMIFS(Merged!$W$63:$W$327,Merged!$D$63:$D$327,Table!$C$3, Merged!$E$63:$E$327,Report_For_Each_Project!C70)-SUM(SUMIFS(Merged!$W$63:$W$327,Merged!$D$63:$D$327,Table!$C$3,Merged!$X$63:$X$327,{"Ongoing","N/A",""},Merged!$E$63:$E$327,Report_For_Each_Project!C70)))</f>
        <v>0.55000000000000004</v>
      </c>
      <c r="I78" s="74">
        <f>IFERROR(F78/E78,"N/A")</f>
        <v>1</v>
      </c>
    </row>
    <row r="80" spans="1:9" x14ac:dyDescent="0.25">
      <c r="C80" t="s">
        <v>465</v>
      </c>
    </row>
    <row r="81" spans="1:9" x14ac:dyDescent="0.25">
      <c r="D81" s="66" t="s">
        <v>824</v>
      </c>
    </row>
    <row r="83" spans="1:9" x14ac:dyDescent="0.25">
      <c r="A83" s="98">
        <f>A70+1</f>
        <v>7</v>
      </c>
      <c r="B83" s="98" t="s">
        <v>62</v>
      </c>
      <c r="C83" s="98" t="s">
        <v>750</v>
      </c>
    </row>
    <row r="84" spans="1:9" x14ac:dyDescent="0.25">
      <c r="B84" s="98" t="s">
        <v>458</v>
      </c>
      <c r="C84">
        <f>SUM(G90:G91)</f>
        <v>1.125</v>
      </c>
      <c r="D84" t="s">
        <v>459</v>
      </c>
    </row>
    <row r="85" spans="1:9" x14ac:dyDescent="0.25">
      <c r="B85" s="98" t="s">
        <v>471</v>
      </c>
      <c r="C85">
        <f>SUM(INT((WEEKDAY(F85-{2,3,4,5,6})+H85-F85)/7))</f>
        <v>1</v>
      </c>
      <c r="D85" t="s">
        <v>459</v>
      </c>
      <c r="E85" t="s">
        <v>339</v>
      </c>
      <c r="F85" s="6">
        <v>43927</v>
      </c>
      <c r="G85" s="6" t="s">
        <v>339</v>
      </c>
      <c r="H85" s="6">
        <v>43927</v>
      </c>
    </row>
    <row r="86" spans="1:9" x14ac:dyDescent="0.25">
      <c r="B86" s="98" t="s">
        <v>472</v>
      </c>
      <c r="C86">
        <f>SUM(INT((WEEKDAY(F86-{2,3,4,5,6})+H86-F86)/7))</f>
        <v>1</v>
      </c>
      <c r="D86" t="s">
        <v>459</v>
      </c>
      <c r="E86" t="s">
        <v>339</v>
      </c>
      <c r="F86" s="6">
        <v>43927</v>
      </c>
      <c r="G86" s="6" t="s">
        <v>339</v>
      </c>
      <c r="H86" s="6">
        <v>43927</v>
      </c>
    </row>
    <row r="87" spans="1:9" x14ac:dyDescent="0.25">
      <c r="B87" s="98" t="s">
        <v>18</v>
      </c>
      <c r="C87" t="str">
        <f>IF(SUM(H90:H91)&gt;SUM(G90:G91),"Delayed",IF(SUM(H90:H91)&lt;SUM(G90:G91),"InAdvanced","Ontime"))</f>
        <v>Ontime</v>
      </c>
      <c r="F87" s="6"/>
      <c r="G87" s="6"/>
      <c r="H87" s="6"/>
    </row>
    <row r="89" spans="1:9" ht="45" x14ac:dyDescent="0.25">
      <c r="C89" s="99" t="s">
        <v>26</v>
      </c>
      <c r="D89" s="99" t="s">
        <v>27</v>
      </c>
      <c r="E89" s="100" t="s">
        <v>460</v>
      </c>
      <c r="F89" s="100" t="s">
        <v>461</v>
      </c>
      <c r="G89" s="100" t="s">
        <v>462</v>
      </c>
      <c r="H89" s="100" t="s">
        <v>463</v>
      </c>
      <c r="I89" s="100" t="s">
        <v>30</v>
      </c>
    </row>
    <row r="90" spans="1:9" x14ac:dyDescent="0.25">
      <c r="C90" s="101">
        <v>1</v>
      </c>
      <c r="D90" s="73" t="s">
        <v>3</v>
      </c>
      <c r="E90" s="73">
        <f>SUMIFS(Merged!$T$63:$T$327,Merged!$D$63:$D$327,Table!$D$3, Merged!$E$63:$E$327,Report_For_Each_Project!C83)</f>
        <v>0</v>
      </c>
      <c r="F90" s="73">
        <f>SUMIFS(Merged!$U$63:$U$327,Merged!$D$63:$D$327,Table!$D$3, Merged!$E$63:$E$327,Report_For_Each_Project!C83)</f>
        <v>0</v>
      </c>
      <c r="G90" s="73">
        <f>1/8*(SUMIFS(Merged!$V$63:$V$327,Merged!$D$63:$D$327,Table!$D$3, Merged!$E$63:$E$327,Report_For_Each_Project!C83))</f>
        <v>0</v>
      </c>
      <c r="H90" s="108">
        <f>1/8*(SUMIFS(Merged!$W$63:$W$327,Merged!$D$63:$D$327,Table!$D$3, Merged!$E$63:$E$327,Report_For_Each_Project!C83)-SUM(SUMIFS(Merged!$W$63:$W$327,Merged!$D$63:$D$327,Table!$D$3,Merged!$X$63:$X$327,{"Ongoing","N/A",""},Merged!$E$63:$E$327,Report_For_Each_Project!C83)))</f>
        <v>0</v>
      </c>
      <c r="I90" s="74" t="str">
        <f t="shared" ref="I90:I91" si="1">IFERROR(F90/E90,"N/A")</f>
        <v>N/A</v>
      </c>
    </row>
    <row r="91" spans="1:9" x14ac:dyDescent="0.25">
      <c r="C91" s="101">
        <v>2</v>
      </c>
      <c r="D91" s="73" t="s">
        <v>2</v>
      </c>
      <c r="E91" s="73">
        <f>SUMIFS(Merged!$T$63:$T$327,Merged!$D$63:$D$327,Table!$C$3, Merged!$E$63:$E$327,Report_For_Each_Project!C83)</f>
        <v>146.25</v>
      </c>
      <c r="F91" s="73">
        <f>SUMIFS(Merged!$U$63:$U$327,Merged!$D$63:$D$327,Table!$C$3, Merged!$E$63:$E$327,Report_For_Each_Project!C83)-SUM(SUMIFS(Merged!$U$63:$U$327,Merged!$D$63:$D$327,Table!$C$3,Merged!$X$63:$X$327,{"Ongoing","N/A",""},Merged!$E$63:$E$327,Report_For_Each_Project!C83))</f>
        <v>146.25</v>
      </c>
      <c r="G91" s="73">
        <f>1/8*(SUMIFS(Merged!$V$63:$V$327,Merged!$D$63:$D$327,Table!$C$3, Merged!$E$63:$E$327,Report_For_Each_Project!C83))</f>
        <v>1.125</v>
      </c>
      <c r="H91" s="108">
        <f>1/8*(SUMIFS(Merged!$W$63:$W$327,Merged!$D$63:$D$327,Table!$C$3, Merged!$E$63:$E$327,Report_For_Each_Project!C83)-SUM(SUMIFS(Merged!$W$63:$W$327,Merged!$D$63:$D$327,Table!$C$3,Merged!$X$63:$X$327,{"Ongoing","N/A",""},Merged!$E$63:$E$327,Report_For_Each_Project!C83)))</f>
        <v>1.125</v>
      </c>
      <c r="I91" s="74">
        <f t="shared" si="1"/>
        <v>1</v>
      </c>
    </row>
    <row r="93" spans="1:9" x14ac:dyDescent="0.25">
      <c r="C93" t="s">
        <v>465</v>
      </c>
    </row>
    <row r="94" spans="1:9" x14ac:dyDescent="0.25">
      <c r="D94" t="s">
        <v>824</v>
      </c>
    </row>
    <row r="96" spans="1:9" x14ac:dyDescent="0.25">
      <c r="A96" s="98">
        <f>A83+1</f>
        <v>8</v>
      </c>
      <c r="B96" s="98" t="s">
        <v>62</v>
      </c>
      <c r="C96" s="98" t="s">
        <v>765</v>
      </c>
    </row>
    <row r="97" spans="1:9" x14ac:dyDescent="0.25">
      <c r="B97" s="98" t="s">
        <v>458</v>
      </c>
      <c r="C97">
        <f>SUM(G103:G104)</f>
        <v>1.5</v>
      </c>
      <c r="D97" t="s">
        <v>459</v>
      </c>
    </row>
    <row r="98" spans="1:9" x14ac:dyDescent="0.25">
      <c r="B98" s="98" t="s">
        <v>471</v>
      </c>
      <c r="C98">
        <f>SUM(INT((WEEKDAY(F98-{2,3,4,5,6})+H98-F98)/7))</f>
        <v>1</v>
      </c>
      <c r="D98" t="s">
        <v>459</v>
      </c>
      <c r="E98" t="s">
        <v>339</v>
      </c>
      <c r="F98" s="6">
        <v>43928</v>
      </c>
      <c r="G98" s="6" t="s">
        <v>339</v>
      </c>
      <c r="H98" s="6">
        <v>43928</v>
      </c>
    </row>
    <row r="99" spans="1:9" x14ac:dyDescent="0.25">
      <c r="B99" s="98" t="s">
        <v>472</v>
      </c>
      <c r="C99">
        <f>SUM(INT((WEEKDAY(F99-{2,3,4,5,6})+H99-F99)/7))</f>
        <v>2</v>
      </c>
      <c r="D99" t="s">
        <v>459</v>
      </c>
      <c r="E99" t="s">
        <v>339</v>
      </c>
      <c r="F99" s="6">
        <v>43928</v>
      </c>
      <c r="G99" s="6" t="s">
        <v>470</v>
      </c>
      <c r="H99" s="6">
        <v>43929</v>
      </c>
    </row>
    <row r="100" spans="1:9" x14ac:dyDescent="0.25">
      <c r="B100" s="98" t="s">
        <v>18</v>
      </c>
      <c r="C100" t="s">
        <v>489</v>
      </c>
      <c r="F100" s="6"/>
      <c r="G100" s="6"/>
      <c r="H100" s="6"/>
    </row>
    <row r="102" spans="1:9" ht="45" x14ac:dyDescent="0.25">
      <c r="C102" s="99" t="s">
        <v>26</v>
      </c>
      <c r="D102" s="99" t="s">
        <v>27</v>
      </c>
      <c r="E102" s="100" t="s">
        <v>460</v>
      </c>
      <c r="F102" s="100" t="s">
        <v>461</v>
      </c>
      <c r="G102" s="100" t="s">
        <v>462</v>
      </c>
      <c r="H102" s="100" t="s">
        <v>463</v>
      </c>
      <c r="I102" s="100" t="s">
        <v>30</v>
      </c>
    </row>
    <row r="103" spans="1:9" x14ac:dyDescent="0.25">
      <c r="C103" s="101">
        <v>1</v>
      </c>
      <c r="D103" s="73" t="s">
        <v>3</v>
      </c>
      <c r="E103" s="73">
        <f>SUMIFS(Merged!$T$63:$T$327,Merged!$D$63:$D$327,Table!$D$3, Merged!$E$63:$E$327,Report_For_Each_Project!C96)</f>
        <v>0</v>
      </c>
      <c r="F103" s="73">
        <f>SUMIFS(Merged!$U$63:$U$327,Merged!$D$63:$D$327,Table!$D$3, Merged!$E$63:$E$327,Report_For_Each_Project!C96)</f>
        <v>0</v>
      </c>
      <c r="G103" s="73">
        <f>1/8*(SUMIFS(Merged!$V$63:$V$327,Merged!$D$63:$D$327,Table!$D$3, Merged!$E$63:$E$327,Report_For_Each_Project!C96))</f>
        <v>0</v>
      </c>
      <c r="H103" s="108">
        <f>1/8*(SUMIFS(Merged!$W$63:$W$327,Merged!$D$63:$D$327,Table!$D$3, Merged!$E$63:$E$327,Report_For_Each_Project!C96)-SUM(SUMIFS(Merged!$W$63:$W$327,Merged!$D$63:$D$327,Table!$D$3,Merged!$X$63:$X$327,{"Ongoing","N/A",""},Merged!$E$63:$E$327,Report_For_Each_Project!C96)))</f>
        <v>0</v>
      </c>
      <c r="I103" s="74" t="str">
        <f t="shared" ref="I103:I104" si="2">IFERROR(F103/E103,"N/A")</f>
        <v>N/A</v>
      </c>
    </row>
    <row r="104" spans="1:9" x14ac:dyDescent="0.25">
      <c r="C104" s="101">
        <v>2</v>
      </c>
      <c r="D104" s="73" t="s">
        <v>2</v>
      </c>
      <c r="E104" s="73">
        <f>SUMIFS(Merged!$T$63:$T$327,Merged!$D$63:$D$327,Table!$C$3, Merged!$E$63:$E$327,Report_For_Each_Project!C96)</f>
        <v>195</v>
      </c>
      <c r="F104" s="73">
        <f>SUMIFS(Merged!$U$63:$U$327,Merged!$D$63:$D$327,Table!$C$3, Merged!$E$63:$E$327,Report_For_Each_Project!C96)-SUM(SUMIFS(Merged!$U$63:$U$327,Merged!$D$63:$D$327,Table!$C$3,Merged!$X$63:$X$327,{"Ongoing","N/A",""},Merged!$E$63:$E$327,Report_For_Each_Project!C96))</f>
        <v>195</v>
      </c>
      <c r="G104" s="73">
        <f>1/8*(SUMIFS(Merged!$V$63:$V$327,Merged!$D$63:$D$327,Table!$C$3, Merged!$E$63:$E$327,Report_For_Each_Project!C96))</f>
        <v>1.5</v>
      </c>
      <c r="H104" s="108">
        <f>1/8*(SUMIFS(Merged!$W$63:$W$327,Merged!$D$63:$D$327,Table!$C$3, Merged!$E$63:$E$327,Report_For_Each_Project!C96)-SUM(SUMIFS(Merged!$W$63:$W$327,Merged!$D$63:$D$327,Table!$C$3,Merged!$X$63:$X$327,{"Ongoing","N/A",""},Merged!$E$63:$E$327,Report_For_Each_Project!C96)))</f>
        <v>2</v>
      </c>
      <c r="I104" s="74">
        <f t="shared" si="2"/>
        <v>1</v>
      </c>
    </row>
    <row r="106" spans="1:9" x14ac:dyDescent="0.25">
      <c r="C106" t="s">
        <v>465</v>
      </c>
    </row>
    <row r="107" spans="1:9" x14ac:dyDescent="0.25">
      <c r="D107" s="103" t="s">
        <v>821</v>
      </c>
    </row>
    <row r="108" spans="1:9" x14ac:dyDescent="0.25">
      <c r="D108" s="103" t="s">
        <v>822</v>
      </c>
    </row>
    <row r="109" spans="1:9" x14ac:dyDescent="0.25">
      <c r="D109" s="103" t="s">
        <v>823</v>
      </c>
    </row>
    <row r="110" spans="1:9" x14ac:dyDescent="0.25">
      <c r="D110" s="103" t="s">
        <v>824</v>
      </c>
    </row>
    <row r="112" spans="1:9" x14ac:dyDescent="0.25">
      <c r="A112" s="98">
        <f>A96+1</f>
        <v>9</v>
      </c>
      <c r="B112" s="98" t="s">
        <v>62</v>
      </c>
      <c r="C112" s="98" t="s">
        <v>809</v>
      </c>
    </row>
    <row r="113" spans="1:13" x14ac:dyDescent="0.25">
      <c r="B113" s="98" t="s">
        <v>458</v>
      </c>
      <c r="C113">
        <f>SUM(G119:G120)</f>
        <v>4.6550000000000002</v>
      </c>
      <c r="D113" t="s">
        <v>459</v>
      </c>
    </row>
    <row r="114" spans="1:13" x14ac:dyDescent="0.25">
      <c r="B114" s="98" t="s">
        <v>471</v>
      </c>
      <c r="C114">
        <f>SUM(INT((WEEKDAY(F114-{2,3,4,5,6})+H114-F114)/7))-1-0.5</f>
        <v>2.5</v>
      </c>
      <c r="D114" t="s">
        <v>459</v>
      </c>
      <c r="E114" t="s">
        <v>820</v>
      </c>
      <c r="F114" s="6">
        <v>43928</v>
      </c>
      <c r="G114" s="6" t="s">
        <v>470</v>
      </c>
      <c r="H114" s="6">
        <v>43931</v>
      </c>
    </row>
    <row r="115" spans="1:13" x14ac:dyDescent="0.25">
      <c r="B115" s="98" t="s">
        <v>472</v>
      </c>
      <c r="C115">
        <f>SUM(INT((WEEKDAY(F115-{2,3,4,5,6})+H115-F115)/7))</f>
        <v>3</v>
      </c>
      <c r="D115" t="s">
        <v>459</v>
      </c>
      <c r="E115" t="s">
        <v>737</v>
      </c>
      <c r="F115" s="6">
        <v>43929</v>
      </c>
      <c r="G115" s="6" t="s">
        <v>470</v>
      </c>
      <c r="H115" s="6">
        <v>43931</v>
      </c>
      <c r="M115" t="s">
        <v>1086</v>
      </c>
    </row>
    <row r="116" spans="1:13" x14ac:dyDescent="0.25">
      <c r="B116" s="98" t="s">
        <v>18</v>
      </c>
      <c r="C116" t="s">
        <v>467</v>
      </c>
      <c r="F116" s="6"/>
      <c r="G116" s="6"/>
      <c r="H116" s="6"/>
    </row>
    <row r="118" spans="1:13" ht="45" x14ac:dyDescent="0.25">
      <c r="C118" s="99" t="s">
        <v>26</v>
      </c>
      <c r="D118" s="99" t="s">
        <v>27</v>
      </c>
      <c r="E118" s="100" t="s">
        <v>460</v>
      </c>
      <c r="F118" s="100" t="s">
        <v>461</v>
      </c>
      <c r="G118" s="100" t="s">
        <v>462</v>
      </c>
      <c r="H118" s="100" t="s">
        <v>463</v>
      </c>
      <c r="I118" s="100" t="s">
        <v>30</v>
      </c>
    </row>
    <row r="119" spans="1:13" x14ac:dyDescent="0.25">
      <c r="C119" s="101">
        <v>1</v>
      </c>
      <c r="D119" s="73" t="s">
        <v>3</v>
      </c>
      <c r="E119" s="73">
        <f>SUMIFS(Merged!$T$63:$T$327,Merged!$D$63:$D$327,Table!$D$3, Merged!$E$63:$E$327,Report_For_Each_Project!C112)</f>
        <v>1707.75</v>
      </c>
      <c r="F119" s="73">
        <f>SUMIFS(Merged!$U$63:$U$327,Merged!$D$63:$D$327,Table!$D$3, Merged!$E$63:$E$327,Report_For_Each_Project!C112)</f>
        <v>1707.75</v>
      </c>
      <c r="G119" s="73">
        <f>1/8*(SUMIFS(Merged!$V$63:$V$327,Merged!$D$63:$D$327,Table!$D$3, Merged!$E$63:$E$327,Report_For_Each_Project!C112))</f>
        <v>3.7949999999999999</v>
      </c>
      <c r="H119" s="108">
        <f>1/8*(SUMIFS(Merged!$W$63:$W$327,Merged!$D$63:$D$327,Table!$D$3, Merged!$E$63:$E$327,Report_For_Each_Project!C112)-SUM(SUMIFS(Merged!$W$63:$W$327,Merged!$D$63:$D$327,Table!$D$3,Merged!$X$63:$X$327,{"Ongoing","N/A",""},Merged!$E$63:$E$327,Report_For_Each_Project!C112)))</f>
        <v>4.875</v>
      </c>
      <c r="I119" s="74">
        <f>IFERROR(F119/E119,"N/A")</f>
        <v>1</v>
      </c>
    </row>
    <row r="120" spans="1:13" x14ac:dyDescent="0.25">
      <c r="C120" s="101">
        <v>2</v>
      </c>
      <c r="D120" s="73" t="s">
        <v>2</v>
      </c>
      <c r="E120" s="73">
        <f>SUMIFS(Merged!$T$63:$T$327,Merged!$D$63:$D$327,Table!$C$3, Merged!$E$63:$E$327,Report_For_Each_Project!C112)</f>
        <v>111.8</v>
      </c>
      <c r="F120" s="73">
        <f>SUMIFS(Merged!$U$63:$U$327,Merged!$D$63:$D$327,Table!$C$3, Merged!$E$63:$E$327,Report_For_Each_Project!C112)-SUM(SUMIFS(Merged!$U$63:$U$327,Merged!$D$63:$D$327,Table!$C$3,Merged!$X$63:$X$327,{"Ongoing","N/A",""},Merged!$E$63:$E$327,Report_For_Each_Project!C112))</f>
        <v>111.8</v>
      </c>
      <c r="G120" s="73">
        <f>1/8*(SUMIFS(Merged!$V$63:$V$327,Merged!$D$63:$D$327,Table!$C$3, Merged!$E$63:$E$327,Report_For_Each_Project!C112))</f>
        <v>0.86</v>
      </c>
      <c r="H120" s="108">
        <f>1/8*(SUMIFS(Merged!$W$63:$W$327,Merged!$D$63:$D$327,Table!$C$3, Merged!$E$63:$E$327,Report_For_Each_Project!C112)-SUM(SUMIFS(Merged!$W$63:$W$327,Merged!$D$63:$D$327,Table!$C$3,Merged!$X$63:$X$327,{"Ongoing","N/A",""},Merged!$E$63:$E$327,Report_For_Each_Project!C112)))</f>
        <v>0.75</v>
      </c>
      <c r="I120" s="74">
        <f>IFERROR(F120/E120,"N/A")</f>
        <v>1</v>
      </c>
    </row>
    <row r="122" spans="1:13" x14ac:dyDescent="0.25">
      <c r="C122" t="s">
        <v>465</v>
      </c>
    </row>
    <row r="123" spans="1:13" x14ac:dyDescent="0.25">
      <c r="D123" t="s">
        <v>488</v>
      </c>
    </row>
    <row r="126" spans="1:13" x14ac:dyDescent="0.25">
      <c r="A126" s="98">
        <f>A112+1</f>
        <v>10</v>
      </c>
      <c r="B126" s="98" t="s">
        <v>62</v>
      </c>
      <c r="C126" s="1" t="s">
        <v>934</v>
      </c>
    </row>
    <row r="127" spans="1:13" x14ac:dyDescent="0.25">
      <c r="B127" s="98" t="s">
        <v>458</v>
      </c>
      <c r="C127">
        <f>SUM(G133:G134)+F127</f>
        <v>3.75</v>
      </c>
      <c r="D127" t="s">
        <v>459</v>
      </c>
      <c r="E127" s="1" t="s">
        <v>1088</v>
      </c>
      <c r="F127" s="132">
        <v>2</v>
      </c>
      <c r="G127" t="s">
        <v>459</v>
      </c>
    </row>
    <row r="128" spans="1:13" x14ac:dyDescent="0.25">
      <c r="B128" s="98" t="s">
        <v>471</v>
      </c>
      <c r="C128">
        <f>SUM(INT((WEEKDAY(F128-{2,3,4,5,6})+H128-F128)/7))</f>
        <v>1</v>
      </c>
      <c r="D128" t="s">
        <v>459</v>
      </c>
      <c r="E128" t="s">
        <v>338</v>
      </c>
      <c r="F128" s="6">
        <v>43930</v>
      </c>
      <c r="G128" s="6" t="s">
        <v>339</v>
      </c>
      <c r="H128" s="6">
        <v>43930</v>
      </c>
    </row>
    <row r="129" spans="1:9" x14ac:dyDescent="0.25">
      <c r="B129" s="98" t="s">
        <v>472</v>
      </c>
      <c r="C129">
        <f>SUM(INT((WEEKDAY(F129-{2,3,4,5,6})+H129-F129)/7))</f>
        <v>1</v>
      </c>
      <c r="D129" t="s">
        <v>459</v>
      </c>
      <c r="E129" t="s">
        <v>338</v>
      </c>
      <c r="F129" s="6">
        <v>43930</v>
      </c>
      <c r="G129" s="6" t="s">
        <v>339</v>
      </c>
      <c r="H129" s="6">
        <v>43930</v>
      </c>
    </row>
    <row r="130" spans="1:9" x14ac:dyDescent="0.25">
      <c r="B130" s="98" t="s">
        <v>18</v>
      </c>
      <c r="C130" t="str">
        <f>IF(SUM(H133:H134)&gt;SUM(G133:G134),"Delayed",IF(SUM(H133:H134)&lt;SUM(G133:G134),"InAdvanced","Ontime"))</f>
        <v>InAdvanced</v>
      </c>
      <c r="F130" s="6"/>
      <c r="G130" s="6"/>
      <c r="H130" s="6"/>
    </row>
    <row r="132" spans="1:9" ht="45" x14ac:dyDescent="0.25">
      <c r="C132" s="99" t="s">
        <v>26</v>
      </c>
      <c r="D132" s="99" t="s">
        <v>27</v>
      </c>
      <c r="E132" s="100" t="s">
        <v>460</v>
      </c>
      <c r="F132" s="100" t="s">
        <v>461</v>
      </c>
      <c r="G132" s="100" t="s">
        <v>462</v>
      </c>
      <c r="H132" s="100" t="s">
        <v>463</v>
      </c>
      <c r="I132" s="100" t="s">
        <v>30</v>
      </c>
    </row>
    <row r="133" spans="1:9" x14ac:dyDescent="0.25">
      <c r="C133" s="101">
        <v>1</v>
      </c>
      <c r="D133" s="73" t="s">
        <v>3</v>
      </c>
      <c r="E133" s="73">
        <f>SUMIFS(Merged!$T$63:$T$327,Merged!$D$63:$D$327,Table!$D$3, Merged!$E$63:$E$327,Report_For_Each_Project!C126)</f>
        <v>0</v>
      </c>
      <c r="F133" s="73">
        <f>SUMIFS(Merged!$U$63:$U$327,Merged!$D$63:$D$327,Table!$D$3, Merged!$E$63:$E$327,Report_For_Each_Project!C126)</f>
        <v>0</v>
      </c>
      <c r="G133" s="73">
        <f>1/8*(SUMIFS(Merged!$V$63:$V$327,Merged!$D$63:$D$327,Table!$D$3, Merged!$E$63:$E$327,Report_For_Each_Project!C126))</f>
        <v>0</v>
      </c>
      <c r="H133" s="108">
        <f>1/8*(SUMIFS(Merged!$W$63:$W$327,Merged!$D$63:$D$327,Table!$D$3, Merged!$E$63:$E$327,Report_For_Each_Project!C126)-SUM(SUMIFS(Merged!$W$63:$W$327,Merged!$D$63:$D$327,Table!$D$3,Merged!$X$63:$X$327,{"Ongoing","N/A",""},Merged!$E$63:$E$327,Report_For_Each_Project!C126)))</f>
        <v>0</v>
      </c>
      <c r="I133" s="74" t="str">
        <f t="shared" ref="I133:I134" si="3">IFERROR(F133/E133,"N/A")</f>
        <v>N/A</v>
      </c>
    </row>
    <row r="134" spans="1:9" x14ac:dyDescent="0.25">
      <c r="C134" s="101">
        <v>2</v>
      </c>
      <c r="D134" s="73" t="s">
        <v>2</v>
      </c>
      <c r="E134" s="73">
        <f>SUMIFS(Merged!$T$63:$T$327,Merged!$D$63:$D$327,Table!$C$3, Merged!$E$63:$E$327,Report_For_Each_Project!C126)</f>
        <v>227.5</v>
      </c>
      <c r="F134" s="73">
        <f>SUMIFS(Merged!$U$63:$U$327,Merged!$D$63:$D$327,Table!$C$3, Merged!$E$63:$E$327,Report_For_Each_Project!C126)-SUM(SUMIFS(Merged!$U$63:$U$327,Merged!$D$63:$D$327,Table!$C$3,Merged!$X$63:$X$327,{"Ongoing","N/A",""},Merged!$E$63:$E$327,Report_For_Each_Project!C126))</f>
        <v>227.5</v>
      </c>
      <c r="G134" s="73">
        <f>1/8*(SUMIFS(Merged!$V$63:$V$327,Merged!$D$63:$D$327,Table!$C$3, Merged!$E$63:$E$327,Report_For_Each_Project!C126))</f>
        <v>1.75</v>
      </c>
      <c r="H134" s="108">
        <f>1/8*(SUMIFS(Merged!$W$63:$W$327,Merged!$D$63:$D$327,Table!$C$3, Merged!$E$63:$E$327,Report_For_Each_Project!C126)-SUM(SUMIFS(Merged!$W$63:$W$327,Merged!$D$63:$D$327,Table!$C$3,Merged!$X$63:$X$327,{"Ongoing","N/A",""},Merged!$E$63:$E$327,Report_For_Each_Project!C126)))</f>
        <v>1.5</v>
      </c>
      <c r="I134" s="74">
        <f t="shared" si="3"/>
        <v>1</v>
      </c>
    </row>
    <row r="136" spans="1:9" x14ac:dyDescent="0.25">
      <c r="C136" t="s">
        <v>465</v>
      </c>
    </row>
    <row r="137" spans="1:9" x14ac:dyDescent="0.25">
      <c r="D137" t="s">
        <v>824</v>
      </c>
    </row>
    <row r="138" spans="1:9" x14ac:dyDescent="0.25">
      <c r="D138" s="133" t="s">
        <v>1087</v>
      </c>
    </row>
    <row r="140" spans="1:9" x14ac:dyDescent="0.25">
      <c r="A140" s="98">
        <f>A126+1</f>
        <v>11</v>
      </c>
      <c r="B140" s="98" t="s">
        <v>62</v>
      </c>
      <c r="C140" s="98" t="s">
        <v>842</v>
      </c>
    </row>
    <row r="141" spans="1:9" x14ac:dyDescent="0.25">
      <c r="B141" s="98" t="s">
        <v>458</v>
      </c>
      <c r="C141">
        <f>SUM(G147:G148)</f>
        <v>0.4</v>
      </c>
      <c r="D141" t="s">
        <v>459</v>
      </c>
    </row>
    <row r="142" spans="1:9" x14ac:dyDescent="0.25">
      <c r="B142" s="98" t="s">
        <v>471</v>
      </c>
      <c r="C142">
        <f>SUM(INT((WEEKDAY(F142-{2,3,4,5,6})+H142-F142)/7))</f>
        <v>1</v>
      </c>
      <c r="D142" t="s">
        <v>459</v>
      </c>
      <c r="E142" t="s">
        <v>338</v>
      </c>
      <c r="F142" s="6">
        <v>43930</v>
      </c>
      <c r="G142" s="6" t="s">
        <v>339</v>
      </c>
      <c r="H142" s="6">
        <v>43930</v>
      </c>
    </row>
    <row r="143" spans="1:9" x14ac:dyDescent="0.25">
      <c r="B143" s="98" t="s">
        <v>472</v>
      </c>
      <c r="C143">
        <f>SUM(INT((WEEKDAY(F143-{2,3,4,5,6})+H143-F143)/7))</f>
        <v>1</v>
      </c>
      <c r="D143" t="s">
        <v>459</v>
      </c>
      <c r="E143" t="s">
        <v>338</v>
      </c>
      <c r="F143" s="6">
        <v>43930</v>
      </c>
      <c r="G143" s="6" t="s">
        <v>339</v>
      </c>
      <c r="H143" s="6">
        <v>43930</v>
      </c>
    </row>
    <row r="144" spans="1:9" x14ac:dyDescent="0.25">
      <c r="B144" s="98" t="s">
        <v>18</v>
      </c>
      <c r="C144" t="str">
        <f>IF(SUM(H147:H148)&gt;SUM(G147:G148),"Delayed",IF(SUM(H147:H148)&lt;SUM(G147:G148),"InAdvanced","Ontime"))</f>
        <v>Ontime</v>
      </c>
      <c r="F144" s="6"/>
      <c r="G144" s="6"/>
      <c r="H144" s="6"/>
    </row>
    <row r="146" spans="1:9" ht="45" x14ac:dyDescent="0.25">
      <c r="C146" s="99" t="s">
        <v>26</v>
      </c>
      <c r="D146" s="99" t="s">
        <v>27</v>
      </c>
      <c r="E146" s="100" t="s">
        <v>460</v>
      </c>
      <c r="F146" s="100" t="s">
        <v>461</v>
      </c>
      <c r="G146" s="100" t="s">
        <v>462</v>
      </c>
      <c r="H146" s="100" t="s">
        <v>463</v>
      </c>
      <c r="I146" s="100" t="s">
        <v>30</v>
      </c>
    </row>
    <row r="147" spans="1:9" x14ac:dyDescent="0.25">
      <c r="C147" s="101">
        <v>1</v>
      </c>
      <c r="D147" s="73" t="s">
        <v>3</v>
      </c>
      <c r="E147" s="73">
        <f>SUMIFS(Merged!$T$63:$T$327,Merged!$D$63:$D$327,Table!$D$3, Merged!$E$63:$E$327,Report_For_Each_Project!C140)</f>
        <v>0</v>
      </c>
      <c r="F147" s="73">
        <f>SUMIFS(Merged!$U$63:$U$327,Merged!$D$63:$D$327,Table!$D$3, Merged!$E$63:$E$327,Report_For_Each_Project!C140)</f>
        <v>0</v>
      </c>
      <c r="G147" s="73">
        <f>1/8*(SUMIFS(Merged!$V$63:$V$327,Merged!$D$63:$D$327,Table!$D$3, Merged!$E$63:$E$327,Report_For_Each_Project!C140))</f>
        <v>0</v>
      </c>
      <c r="H147" s="108">
        <f>1/8*(SUMIFS(Merged!$W$63:$W$327,Merged!$D$63:$D$327,Table!$D$3, Merged!$E$63:$E$327,Report_For_Each_Project!C140)-SUM(SUMIFS(Merged!$W$63:$W$327,Merged!$D$63:$D$327,Table!$D$3,Merged!$X$63:$X$327,{"Ongoing","N/A",""},Merged!$E$63:$E$327,Report_For_Each_Project!C140)))</f>
        <v>0</v>
      </c>
      <c r="I147" s="74" t="str">
        <f t="shared" ref="I147:I148" si="4">IFERROR(F147/E147,"N/A")</f>
        <v>N/A</v>
      </c>
    </row>
    <row r="148" spans="1:9" x14ac:dyDescent="0.25">
      <c r="C148" s="101">
        <v>2</v>
      </c>
      <c r="D148" s="73" t="s">
        <v>2</v>
      </c>
      <c r="E148" s="73">
        <f>SUMIFS(Merged!$T$63:$T$327,Merged!$D$63:$D$327,Table!$C$3, Merged!$E$63:$E$327,Report_For_Each_Project!C140)</f>
        <v>52</v>
      </c>
      <c r="F148" s="73">
        <f>SUMIFS(Merged!$U$63:$U$327,Merged!$D$63:$D$327,Table!$C$3, Merged!$E$63:$E$327,Report_For_Each_Project!C140)-SUM(SUMIFS(Merged!$U$63:$U$327,Merged!$D$63:$D$327,Table!$C$3,Merged!$X$63:$X$327,{"Ongoing","N/A",""},Merged!$E$63:$E$327,Report_For_Each_Project!C140))</f>
        <v>52</v>
      </c>
      <c r="G148" s="73">
        <f>1/8*(SUMIFS(Merged!$V$63:$V$327,Merged!$D$63:$D$327,Table!$C$3, Merged!$E$63:$E$327,Report_For_Each_Project!C140))</f>
        <v>0.4</v>
      </c>
      <c r="H148" s="108">
        <f>1/8*(SUMIFS(Merged!$W$63:$W$327,Merged!$D$63:$D$327,Table!$C$3, Merged!$E$63:$E$327,Report_For_Each_Project!C140)-SUM(SUMIFS(Merged!$W$63:$W$327,Merged!$D$63:$D$327,Table!$C$3,Merged!$X$63:$X$327,{"Ongoing","N/A",""},Merged!$E$63:$E$327,Report_For_Each_Project!C140)))</f>
        <v>0.4</v>
      </c>
      <c r="I148" s="74">
        <f t="shared" si="4"/>
        <v>1</v>
      </c>
    </row>
    <row r="150" spans="1:9" x14ac:dyDescent="0.25">
      <c r="C150" t="s">
        <v>465</v>
      </c>
    </row>
    <row r="151" spans="1:9" x14ac:dyDescent="0.25">
      <c r="D151" t="s">
        <v>824</v>
      </c>
    </row>
    <row r="153" spans="1:9" x14ac:dyDescent="0.25">
      <c r="A153" s="98">
        <f>A140+1</f>
        <v>12</v>
      </c>
      <c r="B153" s="98" t="s">
        <v>62</v>
      </c>
      <c r="C153" s="98" t="s">
        <v>857</v>
      </c>
    </row>
    <row r="154" spans="1:9" x14ac:dyDescent="0.25">
      <c r="B154" s="98" t="s">
        <v>458</v>
      </c>
      <c r="C154">
        <f>SUM(G160:G161)</f>
        <v>1.2999999999999998</v>
      </c>
      <c r="D154" t="s">
        <v>459</v>
      </c>
    </row>
    <row r="155" spans="1:9" x14ac:dyDescent="0.25">
      <c r="B155" s="98" t="s">
        <v>471</v>
      </c>
      <c r="C155">
        <f>SUM(INT((WEEKDAY(F155-{2,3,4,5,6})+H155-F155)/7))</f>
        <v>1</v>
      </c>
      <c r="D155" t="s">
        <v>459</v>
      </c>
      <c r="E155" t="s">
        <v>338</v>
      </c>
      <c r="F155" s="6">
        <v>43934</v>
      </c>
      <c r="G155" s="6" t="s">
        <v>339</v>
      </c>
      <c r="H155" s="6">
        <v>43934</v>
      </c>
    </row>
    <row r="156" spans="1:9" x14ac:dyDescent="0.25">
      <c r="B156" s="98" t="s">
        <v>472</v>
      </c>
      <c r="C156">
        <f>SUM(INT((WEEKDAY(F156-{2,3,4,5,6})+H156-F156)/7))</f>
        <v>1</v>
      </c>
      <c r="D156" t="s">
        <v>459</v>
      </c>
      <c r="E156" t="s">
        <v>338</v>
      </c>
      <c r="F156" s="6">
        <v>43934</v>
      </c>
      <c r="G156" s="6" t="s">
        <v>339</v>
      </c>
      <c r="H156" s="6">
        <v>43934</v>
      </c>
    </row>
    <row r="157" spans="1:9" x14ac:dyDescent="0.25">
      <c r="B157" s="98" t="s">
        <v>18</v>
      </c>
      <c r="C157" t="str">
        <f>IF(SUM(H160:H161)&gt;SUM(G160:G161),"Delayed",IF(SUM(H160:H161)&lt;SUM(G160:G161),"InAdvanced","Ontime"))</f>
        <v>InAdvanced</v>
      </c>
      <c r="F157" s="6"/>
      <c r="G157" s="6"/>
      <c r="H157" s="6"/>
    </row>
    <row r="159" spans="1:9" ht="45" x14ac:dyDescent="0.25">
      <c r="C159" s="99" t="s">
        <v>26</v>
      </c>
      <c r="D159" s="99" t="s">
        <v>27</v>
      </c>
      <c r="E159" s="100" t="s">
        <v>460</v>
      </c>
      <c r="F159" s="100" t="s">
        <v>461</v>
      </c>
      <c r="G159" s="100" t="s">
        <v>462</v>
      </c>
      <c r="H159" s="100" t="s">
        <v>463</v>
      </c>
      <c r="I159" s="100" t="s">
        <v>30</v>
      </c>
    </row>
    <row r="160" spans="1:9" x14ac:dyDescent="0.25">
      <c r="C160" s="101">
        <v>1</v>
      </c>
      <c r="D160" s="73" t="s">
        <v>3</v>
      </c>
      <c r="E160" s="73">
        <f>SUMIFS(Merged!$T$63:$T$327,Merged!$D$63:$D$327,Table!$D$3, Merged!$E$63:$E$327,Report_For_Each_Project!C153)</f>
        <v>0</v>
      </c>
      <c r="F160" s="73">
        <f>SUMIFS(Merged!$U$63:$U$327,Merged!$D$63:$D$327,Table!$D$3, Merged!$E$63:$E$327,Report_For_Each_Project!C153)</f>
        <v>0</v>
      </c>
      <c r="G160" s="73">
        <f>1/8*(SUMIFS(Merged!$V$63:$V$327,Merged!$D$63:$D$327,Table!$D$3, Merged!$E$63:$E$327,Report_For_Each_Project!C153))</f>
        <v>0</v>
      </c>
      <c r="H160" s="109">
        <f>1/8*(SUMIFS(Merged!$W$63:$W$327,Merged!$D$63:$D$327,Table!$D$3, Merged!$E$63:$E$327,Report_For_Each_Project!C153)-SUM(SUMIFS(Merged!$W$63:$W$327,Merged!$D$63:$D$327,Table!$D$3,Merged!$X$63:$X$327,{"Ongoing","N/A",""},Merged!$E$63:$E$327,Report_For_Each_Project!C153)))</f>
        <v>0</v>
      </c>
      <c r="I160" s="74" t="str">
        <f t="shared" ref="I160:I161" si="5">IFERROR(F160/E160,"N/A")</f>
        <v>N/A</v>
      </c>
    </row>
    <row r="161" spans="1:9" x14ac:dyDescent="0.25">
      <c r="C161" s="101">
        <v>2</v>
      </c>
      <c r="D161" s="73" t="s">
        <v>2</v>
      </c>
      <c r="E161" s="73">
        <f>SUMIFS(Merged!$T$63:$T$327,Merged!$D$63:$D$327,Table!$C$3, Merged!$E$63:$E$327,Report_For_Each_Project!C153)</f>
        <v>169</v>
      </c>
      <c r="F161" s="73">
        <f>SUMIFS(Merged!$U$63:$U$327,Merged!$D$63:$D$327,Table!$C$3, Merged!$E$63:$E$327,Report_For_Each_Project!C153)-SUM(SUMIFS(Merged!$U$63:$U$327,Merged!$D$63:$D$327,Table!$C$3,Merged!$X$63:$X$327,{"Ongoing","N/A",""},Merged!$E$63:$E$327,Report_For_Each_Project!C153))</f>
        <v>169</v>
      </c>
      <c r="G161" s="73">
        <f>1/8*(SUMIFS(Merged!$V$63:$V$327,Merged!$D$63:$D$327,Table!$C$3, Merged!$E$63:$E$327,Report_For_Each_Project!C153))</f>
        <v>1.2999999999999998</v>
      </c>
      <c r="H161" s="109">
        <f>1/8*(SUMIFS(Merged!$W$63:$W$327,Merged!$D$63:$D$327,Table!$C$3, Merged!$E$63:$E$327,Report_For_Each_Project!C153)-SUM(SUMIFS(Merged!$W$63:$W$327,Merged!$D$63:$D$327,Table!$C$3,Merged!$X$63:$X$327,{"Ongoing","N/A",""},Merged!$E$63:$E$327,Report_For_Each_Project!C153)))</f>
        <v>1</v>
      </c>
      <c r="I161" s="74">
        <f t="shared" si="5"/>
        <v>1</v>
      </c>
    </row>
    <row r="163" spans="1:9" x14ac:dyDescent="0.25">
      <c r="C163" t="s">
        <v>465</v>
      </c>
    </row>
    <row r="164" spans="1:9" x14ac:dyDescent="0.25">
      <c r="D164" t="s">
        <v>824</v>
      </c>
    </row>
    <row r="166" spans="1:9" x14ac:dyDescent="0.25">
      <c r="A166" s="98">
        <f>A153+1</f>
        <v>13</v>
      </c>
      <c r="B166" s="98" t="s">
        <v>62</v>
      </c>
      <c r="C166" s="98" t="s">
        <v>929</v>
      </c>
    </row>
    <row r="167" spans="1:9" x14ac:dyDescent="0.25">
      <c r="B167" s="98" t="s">
        <v>458</v>
      </c>
      <c r="C167">
        <f>SUM(G173:G174)</f>
        <v>4.2</v>
      </c>
      <c r="D167" t="s">
        <v>459</v>
      </c>
    </row>
    <row r="168" spans="1:9" x14ac:dyDescent="0.25">
      <c r="B168" s="98" t="s">
        <v>471</v>
      </c>
      <c r="C168">
        <f>SUM(INT((WEEKDAY(F168-{2,3,4,5,6})+H168-F168)/7))</f>
        <v>4</v>
      </c>
      <c r="D168" t="s">
        <v>459</v>
      </c>
      <c r="E168" t="s">
        <v>713</v>
      </c>
      <c r="F168" s="6">
        <v>43934</v>
      </c>
      <c r="G168" s="6" t="s">
        <v>339</v>
      </c>
      <c r="H168" s="6">
        <v>43937</v>
      </c>
    </row>
    <row r="169" spans="1:9" x14ac:dyDescent="0.25">
      <c r="B169" s="98" t="s">
        <v>472</v>
      </c>
      <c r="C169">
        <f>SUM(INT((WEEKDAY(F169-{2,3,4,5,6})+H169-F169)/7))</f>
        <v>4</v>
      </c>
      <c r="D169" t="s">
        <v>459</v>
      </c>
      <c r="E169" t="s">
        <v>713</v>
      </c>
      <c r="F169" s="6">
        <v>43934</v>
      </c>
      <c r="G169" s="6" t="s">
        <v>339</v>
      </c>
      <c r="H169" s="6">
        <v>43937</v>
      </c>
    </row>
    <row r="170" spans="1:9" x14ac:dyDescent="0.25">
      <c r="B170" s="98" t="s">
        <v>18</v>
      </c>
      <c r="F170" s="6"/>
      <c r="G170" s="6"/>
      <c r="H170" s="6"/>
    </row>
    <row r="172" spans="1:9" ht="45" x14ac:dyDescent="0.25">
      <c r="C172" s="99" t="s">
        <v>26</v>
      </c>
      <c r="D172" s="99" t="s">
        <v>27</v>
      </c>
      <c r="E172" s="100" t="s">
        <v>460</v>
      </c>
      <c r="F172" s="100" t="s">
        <v>461</v>
      </c>
      <c r="G172" s="100" t="s">
        <v>462</v>
      </c>
      <c r="H172" s="100" t="s">
        <v>463</v>
      </c>
      <c r="I172" s="100" t="s">
        <v>30</v>
      </c>
    </row>
    <row r="173" spans="1:9" x14ac:dyDescent="0.25">
      <c r="C173" s="101">
        <v>1</v>
      </c>
      <c r="D173" s="73" t="s">
        <v>3</v>
      </c>
      <c r="E173" s="73">
        <f>SUMIFS(Merged!$T$63:$T$327,Merged!$D$63:$D$327,Table!$D$3, Merged!$E$63:$E$327,Report_For_Each_Project!C166)</f>
        <v>1890</v>
      </c>
      <c r="F173" s="73">
        <f>SUMIFS(Merged!$U$63:$U$327,Merged!$D$63:$D$327,Table!$D$3, Merged!$E$63:$E$327,Report_For_Each_Project!C166)</f>
        <v>1890</v>
      </c>
      <c r="G173" s="73">
        <f>1/8*(SUMIFS(Merged!$V$63:$V$327,Merged!$D$63:$D$327,Table!$D$3, Merged!$E$63:$E$327,Report_For_Each_Project!C166))</f>
        <v>4.2</v>
      </c>
      <c r="H173" s="130">
        <f>1/8*(SUMIFS(Merged!$W$63:$W$327,Merged!$D$63:$D$327,Table!$D$3, Merged!$E$63:$E$327,Report_For_Each_Project!C166)-SUM(SUMIFS(Merged!$W$63:$W$327,Merged!$D$63:$D$327,Table!$D$3,Merged!$X$63:$X$327,{"Ongoing","N/A",""},Merged!$E$63:$E$327,Report_For_Each_Project!C166)))</f>
        <v>4.9249999999999998</v>
      </c>
      <c r="I173" s="74">
        <f t="shared" ref="I173:I174" si="6">IFERROR(F173/E173,"N/A")</f>
        <v>1</v>
      </c>
    </row>
    <row r="174" spans="1:9" x14ac:dyDescent="0.25">
      <c r="C174" s="101">
        <v>2</v>
      </c>
      <c r="D174" s="73" t="s">
        <v>2</v>
      </c>
      <c r="E174" s="73">
        <f>SUMIFS(Merged!$T$63:$T$327,Merged!$D$63:$D$327,Table!$C$3, Merged!$E$63:$E$327,Report_For_Each_Project!C166)</f>
        <v>0</v>
      </c>
      <c r="F174" s="73">
        <f>SUMIFS(Merged!$U$63:$U$327,Merged!$D$63:$D$327,Table!$C$3, Merged!$E$63:$E$327,Report_For_Each_Project!C166)-SUM(SUMIFS(Merged!$U$63:$U$327,Merged!$D$63:$D$327,Table!$C$3,Merged!$X$63:$X$327,{"Ongoing","N/A",""},Merged!$E$63:$E$327,Report_For_Each_Project!C166))</f>
        <v>0</v>
      </c>
      <c r="G174" s="73">
        <f>1/8*(SUMIFS(Merged!$V$63:$V$327,Merged!$D$63:$D$327,Table!$C$3, Merged!$E$63:$E$327,Report_For_Each_Project!C166))</f>
        <v>0</v>
      </c>
      <c r="H174" s="130">
        <f>1/8*(SUMIFS(Merged!$W$63:$W$327,Merged!$D$63:$D$327,Table!$C$3, Merged!$E$63:$E$327,Report_For_Each_Project!C166)-SUM(SUMIFS(Merged!$W$63:$W$327,Merged!$D$63:$D$327,Table!$C$3,Merged!$X$63:$X$327,{"Ongoing","N/A",""},Merged!$E$63:$E$327,Report_For_Each_Project!C166)))</f>
        <v>0</v>
      </c>
      <c r="I174" s="74" t="str">
        <f t="shared" si="6"/>
        <v>N/A</v>
      </c>
    </row>
    <row r="176" spans="1:9" x14ac:dyDescent="0.25">
      <c r="C176" t="s">
        <v>465</v>
      </c>
    </row>
    <row r="178" spans="1:9" x14ac:dyDescent="0.25">
      <c r="A178" s="98">
        <v>14</v>
      </c>
      <c r="B178" s="98" t="s">
        <v>62</v>
      </c>
      <c r="C178" s="98">
        <v>20200414</v>
      </c>
    </row>
    <row r="179" spans="1:9" x14ac:dyDescent="0.25">
      <c r="B179" s="98" t="s">
        <v>458</v>
      </c>
      <c r="C179">
        <f>SUM(G185:G186)</f>
        <v>0</v>
      </c>
      <c r="D179" t="s">
        <v>459</v>
      </c>
    </row>
    <row r="180" spans="1:9" x14ac:dyDescent="0.25">
      <c r="B180" s="98" t="s">
        <v>471</v>
      </c>
      <c r="C180">
        <f>SUM(INT((WEEKDAY(F180-{2,3,4,5,6})+H180-F180)/7))</f>
        <v>4</v>
      </c>
      <c r="D180" t="s">
        <v>459</v>
      </c>
      <c r="E180" t="s">
        <v>1085</v>
      </c>
      <c r="F180" s="6">
        <v>43935</v>
      </c>
      <c r="G180" s="6" t="s">
        <v>339</v>
      </c>
      <c r="H180" s="6">
        <v>43938</v>
      </c>
    </row>
    <row r="181" spans="1:9" x14ac:dyDescent="0.25">
      <c r="B181" s="98" t="s">
        <v>472</v>
      </c>
      <c r="C181">
        <f>SUM(INT((WEEKDAY(F181-{2,3,4,5,6})+H181-F181)/7))</f>
        <v>4</v>
      </c>
      <c r="D181" t="s">
        <v>459</v>
      </c>
      <c r="E181" t="s">
        <v>470</v>
      </c>
      <c r="F181" s="6">
        <v>43935</v>
      </c>
      <c r="G181" s="6" t="s">
        <v>339</v>
      </c>
      <c r="H181" s="6">
        <v>43938</v>
      </c>
    </row>
    <row r="182" spans="1:9" x14ac:dyDescent="0.25">
      <c r="B182" s="98" t="s">
        <v>18</v>
      </c>
      <c r="F182" s="6"/>
      <c r="G182" s="6"/>
      <c r="H182" s="6"/>
    </row>
    <row r="184" spans="1:9" ht="45" x14ac:dyDescent="0.25">
      <c r="C184" s="99" t="s">
        <v>26</v>
      </c>
      <c r="D184" s="99" t="s">
        <v>27</v>
      </c>
      <c r="E184" s="100" t="s">
        <v>460</v>
      </c>
      <c r="F184" s="100" t="s">
        <v>461</v>
      </c>
      <c r="G184" s="100" t="s">
        <v>462</v>
      </c>
      <c r="H184" s="100" t="s">
        <v>463</v>
      </c>
      <c r="I184" s="100" t="s">
        <v>30</v>
      </c>
    </row>
    <row r="185" spans="1:9" x14ac:dyDescent="0.25">
      <c r="C185" s="101">
        <v>1</v>
      </c>
      <c r="D185" s="73" t="s">
        <v>3</v>
      </c>
      <c r="E185" s="73">
        <f>SUMIFS(Merged!$T$63:$T$327,Merged!$D$63:$D$327,Table!$D$3, Merged!$E$63:$E$327,Report_For_Each_Project!C178)</f>
        <v>0</v>
      </c>
      <c r="F185" s="73">
        <f>SUMIFS(Merged!$U$63:$U$327,Merged!$D$63:$D$327,Table!$D$3, Merged!$E$63:$E$327,Report_For_Each_Project!C178)</f>
        <v>0</v>
      </c>
      <c r="G185" s="73">
        <f>1/8*(SUMIFS(Merged!$V$63:$V$327,Merged!$D$63:$D$327,Table!$D$3, Merged!$E$63:$E$327,Report_For_Each_Project!C178))</f>
        <v>0</v>
      </c>
      <c r="H185" s="131">
        <f>1/8*(SUMIFS(Merged!$W$63:$W$327,Merged!$D$63:$D$327,Table!$D$3, Merged!$E$63:$E$327,Report_For_Each_Project!C178)-SUM(SUMIFS(Merged!$W$63:$W$327,Merged!$D$63:$D$327,Table!$D$3,Merged!$X$63:$X$327,{"Ongoing","N/A",""},Merged!$E$63:$E$327,Report_For_Each_Project!C178)))</f>
        <v>0</v>
      </c>
      <c r="I185" s="74" t="str">
        <f t="shared" ref="I185:I186" si="7">IFERROR(F185/E185,"N/A")</f>
        <v>N/A</v>
      </c>
    </row>
    <row r="186" spans="1:9" x14ac:dyDescent="0.25">
      <c r="C186" s="101">
        <v>2</v>
      </c>
      <c r="D186" s="73" t="s">
        <v>2</v>
      </c>
      <c r="E186" s="73">
        <f>SUMIFS(Merged!$T$63:$T$327,Merged!$D$63:$D$327,Table!$C$3, Merged!$E$63:$E$327,Report_For_Each_Project!C178)</f>
        <v>0</v>
      </c>
      <c r="F186" s="73">
        <f>SUMIFS(Merged!$U$63:$U$327,Merged!$D$63:$D$327,Table!$C$3, Merged!$E$63:$E$327,Report_For_Each_Project!C178)-SUM(SUMIFS(Merged!$U$63:$U$327,Merged!$D$63:$D$327,Table!$C$3,Merged!$X$63:$X$327,{"Ongoing","N/A",""},Merged!$E$63:$E$327,Report_For_Each_Project!C178))</f>
        <v>0</v>
      </c>
      <c r="G186" s="73">
        <f>1/8*(SUMIFS(Merged!$V$63:$V$327,Merged!$D$63:$D$327,Table!$C$3, Merged!$E$63:$E$327,Report_For_Each_Project!C178))</f>
        <v>0</v>
      </c>
      <c r="H186" s="131">
        <f>1/8*(SUMIFS(Merged!$W$63:$W$327,Merged!$D$63:$D$327,Table!$C$3, Merged!$E$63:$E$327,Report_For_Each_Project!C178)-SUM(SUMIFS(Merged!$W$63:$W$327,Merged!$D$63:$D$327,Table!$C$3,Merged!$X$63:$X$327,{"Ongoing","N/A",""},Merged!$E$63:$E$327,Report_For_Each_Project!C178)))</f>
        <v>0</v>
      </c>
      <c r="I186" s="74" t="str">
        <f t="shared" si="7"/>
        <v>N/A</v>
      </c>
    </row>
    <row r="188" spans="1:9" x14ac:dyDescent="0.25">
      <c r="C188" t="s">
        <v>465</v>
      </c>
    </row>
  </sheetData>
  <customSheetViews>
    <customSheetView guid="{250915DF-0B97-45D7-B29D-7EED4C89C1C1}" scale="85">
      <selection activeCell="G160" sqref="G160"/>
      <pageMargins left="0.7" right="0.7" top="0.75" bottom="0.75" header="0.3" footer="0.3"/>
      <pageSetup orientation="portrait" r:id="rId1"/>
    </customSheetView>
    <customSheetView guid="{D33AC7AF-C8AB-4CE9-94C7-9237011A5FC3}" scale="85" topLeftCell="A151">
      <selection activeCell="A177" sqref="A177:I187"/>
      <pageMargins left="0.7" right="0.7" top="0.75" bottom="0.75" header="0.3" footer="0.3"/>
      <pageSetup orientation="portrait" r:id="rId2"/>
    </customSheetView>
    <customSheetView guid="{336B6883-2145-4B58-921E-CEC7185A847E}" topLeftCell="A10">
      <selection activeCell="L50" sqref="L50"/>
      <pageMargins left="0.7" right="0.7" top="0.75" bottom="0.75" header="0.3" footer="0.3"/>
    </customSheetView>
    <customSheetView guid="{A2C66332-A809-458E-971B-FDB6D62C74C3}" scale="85">
      <selection activeCell="G160" sqref="G160"/>
      <pageMargins left="0.7" right="0.7" top="0.75" bottom="0.75" header="0.3" footer="0.3"/>
      <pageSetup orientation="portrait" r:id="rId3"/>
    </customSheetView>
    <customSheetView guid="{7ECC2B8E-6A82-42F5-8AB0-4A51C54EA5EC}" scale="85" topLeftCell="A151">
      <selection activeCell="A42" sqref="A42:J61"/>
      <pageMargins left="0.7" right="0.7" top="0.75" bottom="0.75" header="0.3" footer="0.3"/>
      <pageSetup orientation="portrait" r:id="rId4"/>
    </customSheetView>
    <customSheetView guid="{72A6EB0A-84D5-4B8A-AC51-54CCD061630B}" topLeftCell="A22">
      <selection activeCell="C60" sqref="C60"/>
      <pageMargins left="0.7" right="0.7" top="0.75" bottom="0.75" header="0.3" footer="0.3"/>
    </customSheetView>
    <customSheetView guid="{3B3E6719-EACB-4D2C-89C1-05FFAB6020FD}" scale="85" topLeftCell="A151">
      <selection activeCell="A177" sqref="A177:I187"/>
      <pageMargins left="0.7" right="0.7" top="0.75" bottom="0.75" header="0.3" footer="0.3"/>
      <pageSetup orientation="portrait" r:id="rId5"/>
    </customSheetView>
  </customSheetViews>
  <conditionalFormatting sqref="H9">
    <cfRule type="cellIs" dxfId="157" priority="90" operator="greaterThan">
      <formula>G9</formula>
    </cfRule>
  </conditionalFormatting>
  <conditionalFormatting sqref="H10">
    <cfRule type="cellIs" dxfId="156" priority="89" operator="greaterThan">
      <formula>G10</formula>
    </cfRule>
  </conditionalFormatting>
  <conditionalFormatting sqref="H36">
    <cfRule type="cellIs" dxfId="155" priority="42" operator="greaterThan">
      <formula>G36</formula>
    </cfRule>
  </conditionalFormatting>
  <conditionalFormatting sqref="H37">
    <cfRule type="cellIs" dxfId="154" priority="41" operator="greaterThan">
      <formula>G37</formula>
    </cfRule>
  </conditionalFormatting>
  <conditionalFormatting sqref="I9:I10">
    <cfRule type="cellIs" dxfId="153" priority="81" operator="equal">
      <formula>1</formula>
    </cfRule>
    <cfRule type="cellIs" dxfId="152" priority="82" operator="lessThan">
      <formula>1</formula>
    </cfRule>
  </conditionalFormatting>
  <conditionalFormatting sqref="I64:I65">
    <cfRule type="cellIs" dxfId="151" priority="31" operator="equal">
      <formula>1</formula>
    </cfRule>
    <cfRule type="cellIs" dxfId="150" priority="32" operator="lessThan">
      <formula>1</formula>
    </cfRule>
  </conditionalFormatting>
  <conditionalFormatting sqref="I49:I50">
    <cfRule type="cellIs" dxfId="149" priority="35" operator="equal">
      <formula>1</formula>
    </cfRule>
    <cfRule type="cellIs" dxfId="148" priority="36" operator="lessThan">
      <formula>1</formula>
    </cfRule>
  </conditionalFormatting>
  <conditionalFormatting sqref="I36:I37">
    <cfRule type="cellIs" dxfId="147" priority="39" operator="equal">
      <formula>1</formula>
    </cfRule>
    <cfRule type="cellIs" dxfId="146" priority="40" operator="lessThan">
      <formula>1</formula>
    </cfRule>
  </conditionalFormatting>
  <conditionalFormatting sqref="H23">
    <cfRule type="cellIs" dxfId="145" priority="46" operator="greaterThan">
      <formula>G23</formula>
    </cfRule>
  </conditionalFormatting>
  <conditionalFormatting sqref="H24">
    <cfRule type="cellIs" dxfId="144" priority="45" operator="greaterThan">
      <formula>G24</formula>
    </cfRule>
  </conditionalFormatting>
  <conditionalFormatting sqref="I23:I24">
    <cfRule type="cellIs" dxfId="143" priority="43" operator="equal">
      <formula>1</formula>
    </cfRule>
    <cfRule type="cellIs" dxfId="142" priority="44" operator="lessThan">
      <formula>1</formula>
    </cfRule>
  </conditionalFormatting>
  <conditionalFormatting sqref="H49">
    <cfRule type="cellIs" dxfId="141" priority="38" operator="greaterThan">
      <formula>G49</formula>
    </cfRule>
  </conditionalFormatting>
  <conditionalFormatting sqref="H50">
    <cfRule type="cellIs" dxfId="140" priority="37" operator="greaterThan">
      <formula>G50</formula>
    </cfRule>
  </conditionalFormatting>
  <conditionalFormatting sqref="H64">
    <cfRule type="cellIs" dxfId="139" priority="34" operator="greaterThan">
      <formula>G64</formula>
    </cfRule>
  </conditionalFormatting>
  <conditionalFormatting sqref="H65">
    <cfRule type="cellIs" dxfId="138" priority="33" operator="greaterThan">
      <formula>G65</formula>
    </cfRule>
  </conditionalFormatting>
  <conditionalFormatting sqref="H77">
    <cfRule type="cellIs" dxfId="137" priority="30" operator="greaterThan">
      <formula>G77</formula>
    </cfRule>
  </conditionalFormatting>
  <conditionalFormatting sqref="H78">
    <cfRule type="cellIs" dxfId="136" priority="29" operator="greaterThan">
      <formula>G78</formula>
    </cfRule>
  </conditionalFormatting>
  <conditionalFormatting sqref="I77:I78">
    <cfRule type="cellIs" dxfId="135" priority="27" operator="equal">
      <formula>1</formula>
    </cfRule>
    <cfRule type="cellIs" dxfId="134" priority="28" operator="lessThan">
      <formula>1</formula>
    </cfRule>
  </conditionalFormatting>
  <conditionalFormatting sqref="I90:I91">
    <cfRule type="cellIs" dxfId="133" priority="25" operator="equal">
      <formula>1</formula>
    </cfRule>
    <cfRule type="cellIs" dxfId="132" priority="26" operator="lessThan">
      <formula>1</formula>
    </cfRule>
  </conditionalFormatting>
  <conditionalFormatting sqref="I103:I104">
    <cfRule type="cellIs" dxfId="131" priority="23" operator="equal">
      <formula>1</formula>
    </cfRule>
    <cfRule type="cellIs" dxfId="130" priority="24" operator="lessThan">
      <formula>1</formula>
    </cfRule>
  </conditionalFormatting>
  <conditionalFormatting sqref="I119">
    <cfRule type="cellIs" dxfId="129" priority="21" operator="equal">
      <formula>1</formula>
    </cfRule>
    <cfRule type="cellIs" dxfId="128" priority="22" operator="lessThan">
      <formula>1</formula>
    </cfRule>
  </conditionalFormatting>
  <conditionalFormatting sqref="I120">
    <cfRule type="cellIs" dxfId="127" priority="19" operator="equal">
      <formula>1</formula>
    </cfRule>
    <cfRule type="cellIs" dxfId="126" priority="20" operator="lessThan">
      <formula>1</formula>
    </cfRule>
  </conditionalFormatting>
  <conditionalFormatting sqref="I133:I134">
    <cfRule type="cellIs" dxfId="125" priority="17" operator="equal">
      <formula>1</formula>
    </cfRule>
    <cfRule type="cellIs" dxfId="124" priority="18" operator="lessThan">
      <formula>1</formula>
    </cfRule>
  </conditionalFormatting>
  <conditionalFormatting sqref="I147:I148">
    <cfRule type="cellIs" dxfId="123" priority="15" operator="equal">
      <formula>1</formula>
    </cfRule>
    <cfRule type="cellIs" dxfId="122" priority="16" operator="lessThan">
      <formula>1</formula>
    </cfRule>
  </conditionalFormatting>
  <conditionalFormatting sqref="H90">
    <cfRule type="cellIs" dxfId="121" priority="14" operator="greaterThan">
      <formula>G90</formula>
    </cfRule>
  </conditionalFormatting>
  <conditionalFormatting sqref="H91">
    <cfRule type="cellIs" dxfId="120" priority="13" operator="greaterThan">
      <formula>G91</formula>
    </cfRule>
  </conditionalFormatting>
  <conditionalFormatting sqref="H103">
    <cfRule type="cellIs" dxfId="119" priority="12" operator="greaterThan">
      <formula>G103</formula>
    </cfRule>
  </conditionalFormatting>
  <conditionalFormatting sqref="H104">
    <cfRule type="cellIs" dxfId="118" priority="11" operator="greaterThan">
      <formula>G104</formula>
    </cfRule>
  </conditionalFormatting>
  <conditionalFormatting sqref="H119">
    <cfRule type="cellIs" dxfId="117" priority="10" operator="greaterThan">
      <formula>G119</formula>
    </cfRule>
  </conditionalFormatting>
  <conditionalFormatting sqref="H120">
    <cfRule type="cellIs" dxfId="116" priority="9" operator="greaterThan">
      <formula>G120</formula>
    </cfRule>
  </conditionalFormatting>
  <conditionalFormatting sqref="H133">
    <cfRule type="cellIs" dxfId="115" priority="8" operator="greaterThan">
      <formula>G133</formula>
    </cfRule>
  </conditionalFormatting>
  <conditionalFormatting sqref="H134">
    <cfRule type="cellIs" dxfId="114" priority="7" operator="greaterThan">
      <formula>G134</formula>
    </cfRule>
  </conditionalFormatting>
  <conditionalFormatting sqref="H147">
    <cfRule type="cellIs" dxfId="113" priority="6" operator="greaterThan">
      <formula>G147</formula>
    </cfRule>
  </conditionalFormatting>
  <conditionalFormatting sqref="H148">
    <cfRule type="cellIs" dxfId="112" priority="5" operator="greaterThan">
      <formula>G148</formula>
    </cfRule>
  </conditionalFormatting>
  <conditionalFormatting sqref="I160:I161">
    <cfRule type="cellIs" dxfId="111" priority="3" operator="equal">
      <formula>1</formula>
    </cfRule>
    <cfRule type="cellIs" dxfId="110" priority="4" operator="lessThan">
      <formula>1</formula>
    </cfRule>
  </conditionalFormatting>
  <conditionalFormatting sqref="I173:I174">
    <cfRule type="cellIs" dxfId="109" priority="1" operator="equal">
      <formula>1</formula>
    </cfRule>
    <cfRule type="cellIs" dxfId="108" priority="2" operator="lessThan">
      <formula>1</formula>
    </cfRule>
  </conditionalFormatting>
  <pageMargins left="0.7" right="0.7" top="0.75" bottom="0.75" header="0.3" footer="0.3"/>
  <pageSetup orientation="portrait"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36"/>
  <sheetViews>
    <sheetView workbookViewId="0">
      <selection activeCell="G33" sqref="G33"/>
    </sheetView>
  </sheetViews>
  <sheetFormatPr defaultRowHeight="15" x14ac:dyDescent="0.25"/>
  <cols>
    <col min="6" max="6" width="14.28515625" customWidth="1"/>
    <col min="8" max="8" width="13" customWidth="1"/>
    <col min="9" max="9" width="21.28515625" customWidth="1"/>
  </cols>
  <sheetData>
    <row r="1" spans="1:22" x14ac:dyDescent="0.25">
      <c r="N1" t="s">
        <v>1260</v>
      </c>
    </row>
    <row r="2" spans="1:22" x14ac:dyDescent="0.25">
      <c r="A2" s="98">
        <v>1</v>
      </c>
      <c r="B2" s="98" t="s">
        <v>62</v>
      </c>
      <c r="C2" s="98">
        <v>20200414</v>
      </c>
      <c r="N2" s="98"/>
      <c r="O2" s="98" t="s">
        <v>62</v>
      </c>
      <c r="P2" s="98" t="s">
        <v>973</v>
      </c>
    </row>
    <row r="3" spans="1:22" x14ac:dyDescent="0.25">
      <c r="B3" s="98" t="s">
        <v>458</v>
      </c>
      <c r="C3">
        <f>SUM(G9:G10)</f>
        <v>22.066249999999997</v>
      </c>
      <c r="D3" t="s">
        <v>459</v>
      </c>
      <c r="O3" s="98" t="s">
        <v>458</v>
      </c>
      <c r="P3">
        <f>SUM(T9:T10)</f>
        <v>0.71499999999999997</v>
      </c>
      <c r="Q3" t="s">
        <v>459</v>
      </c>
    </row>
    <row r="4" spans="1:22" x14ac:dyDescent="0.25">
      <c r="B4" s="98" t="s">
        <v>471</v>
      </c>
      <c r="C4">
        <f>SUM(INT((WEEKDAY(F4-{2,3,4,5,6})+H4-F4)/7))</f>
        <v>4</v>
      </c>
      <c r="D4" t="s">
        <v>459</v>
      </c>
      <c r="E4" t="s">
        <v>1085</v>
      </c>
      <c r="F4" s="6">
        <v>43935</v>
      </c>
      <c r="G4" s="6" t="s">
        <v>339</v>
      </c>
      <c r="H4" s="6">
        <v>43938</v>
      </c>
      <c r="O4" s="98" t="s">
        <v>471</v>
      </c>
      <c r="P4" t="e">
        <f>SUM(INT((WEEKDAY(S4-{2,3,4,5,6})+U4-S4)/7))</f>
        <v>#NUM!</v>
      </c>
      <c r="Q4" t="s">
        <v>459</v>
      </c>
      <c r="R4" t="s">
        <v>1085</v>
      </c>
      <c r="S4" s="6"/>
      <c r="T4" s="6" t="s">
        <v>339</v>
      </c>
      <c r="U4" s="6"/>
    </row>
    <row r="5" spans="1:22" x14ac:dyDescent="0.25">
      <c r="B5" s="98" t="s">
        <v>472</v>
      </c>
      <c r="C5">
        <f>SUM(INT((WEEKDAY(F5-{2,3,4,5,6})+H5-F5)/7))</f>
        <v>4</v>
      </c>
      <c r="D5" t="s">
        <v>459</v>
      </c>
      <c r="E5" t="s">
        <v>737</v>
      </c>
      <c r="F5" s="6">
        <v>43935</v>
      </c>
      <c r="G5" s="6" t="s">
        <v>339</v>
      </c>
      <c r="H5" s="6">
        <v>43938</v>
      </c>
      <c r="O5" s="98" t="s">
        <v>472</v>
      </c>
      <c r="P5" t="e">
        <f>SUM(INT((WEEKDAY(S5-{2,3,4,5,6})+U5-S5)/7))</f>
        <v>#NUM!</v>
      </c>
      <c r="Q5" t="s">
        <v>459</v>
      </c>
      <c r="R5" t="s">
        <v>470</v>
      </c>
      <c r="S5" s="6"/>
      <c r="T5" s="6" t="s">
        <v>339</v>
      </c>
      <c r="U5" s="6"/>
    </row>
    <row r="6" spans="1:22" x14ac:dyDescent="0.25">
      <c r="B6" s="98" t="s">
        <v>18</v>
      </c>
      <c r="F6" s="6"/>
      <c r="G6" s="6"/>
      <c r="H6" s="6"/>
      <c r="O6" s="98" t="s">
        <v>18</v>
      </c>
      <c r="S6" s="6"/>
      <c r="T6" s="6"/>
      <c r="U6" s="6"/>
    </row>
    <row r="8" spans="1:22" ht="75" x14ac:dyDescent="0.25">
      <c r="C8" s="99" t="s">
        <v>26</v>
      </c>
      <c r="D8" s="99" t="s">
        <v>27</v>
      </c>
      <c r="E8" s="100" t="s">
        <v>460</v>
      </c>
      <c r="F8" s="100" t="s">
        <v>461</v>
      </c>
      <c r="G8" s="100" t="s">
        <v>462</v>
      </c>
      <c r="H8" s="100" t="s">
        <v>463</v>
      </c>
      <c r="I8" s="100" t="s">
        <v>30</v>
      </c>
      <c r="P8" s="99" t="s">
        <v>26</v>
      </c>
      <c r="Q8" s="99" t="s">
        <v>27</v>
      </c>
      <c r="R8" s="100" t="s">
        <v>460</v>
      </c>
      <c r="S8" s="100" t="s">
        <v>461</v>
      </c>
      <c r="T8" s="100" t="s">
        <v>462</v>
      </c>
      <c r="U8" s="100" t="s">
        <v>463</v>
      </c>
      <c r="V8" s="100" t="s">
        <v>30</v>
      </c>
    </row>
    <row r="9" spans="1:22" x14ac:dyDescent="0.25">
      <c r="C9" s="101">
        <v>1</v>
      </c>
      <c r="D9" s="73" t="s">
        <v>3</v>
      </c>
      <c r="E9" s="73">
        <f>SUMIFS(COEM_Data_20200414!$W$48:$W$392,COEM_Data_20200414!$D$48:$D$392,D9, COEM_Data_20200414!$C$48:$C$392,C2)</f>
        <v>9954</v>
      </c>
      <c r="F9" s="73">
        <f>SUMIFS(COEM_Data_20200414!$X$48:$X$392,COEM_Data_20200414!$D$48:$D$392,D9, COEM_Data_20200414!$C$48:$C$392,C2)-SUM(SUMIFS(COEM_Data_20200414!$X$48:$X$392,COEM_Data_20200414!$D$48:$D$392,D9,COEM_Data_20200414!$X$48:$X$392,{"Ongoing","N/A",""},COEM_Data_20200414!$C$48:$C$392,C2))</f>
        <v>9954</v>
      </c>
      <c r="G9" s="73">
        <f>1/8*(SUMIFS(COEM_Data_20200414!$Y$48:$Y$392,COEM_Data_20200414!$D$48:$D$392,D9, COEM_Data_20200414!$C$48:$C$392,C2))</f>
        <v>22.066249999999997</v>
      </c>
      <c r="H9" s="131">
        <f>1/8*(SUMIFS(COEM_Data_20200414!$Z$48:$Z$392,COEM_Data_20200414!$D$48:$D$392,D9, COEM_Data_20200414!$C$48:$C$392,C2)-SUM(SUMIFS(COEM_Data_20200414!$Z$48:$Z$392,COEM_Data_20200414!$D$48:$D$392,D9,COEM_Data_20200414!$X$48:$X$392,{"Ongoing","N/A",""},COEM_Data_20200414!$C$48:$C$392,C2)))</f>
        <v>15.805</v>
      </c>
      <c r="I9" s="74">
        <f t="shared" ref="I9" si="0">IFERROR(F9/E9,"N/A")</f>
        <v>1</v>
      </c>
      <c r="P9" s="101">
        <v>1</v>
      </c>
      <c r="Q9" s="73" t="s">
        <v>3</v>
      </c>
      <c r="R9" s="73">
        <f>SUMIFS(COEM_Data_20200414!$W$48:$W$392,COEM_Data_20200414!$D$48:$D$392,Q9, COEM_Data_20200414!$E$48:$E$392,P2)</f>
        <v>322</v>
      </c>
      <c r="S9" s="73">
        <f>SUMIFS(COEM_Data_20200414!$X$48:$X$392,COEM_Data_20200414!$D$48:$D$392,Q9, COEM_Data_20200414!$E$48:$E$392,P2)-SUM(SUMIFS(COEM_Data_20200414!$X$48:$X$392,COEM_Data_20200414!$D$48:$D$392,Q9,COEM_Data_20200414!$X$48:$X$392,{"Ongoing","N/A",""},COEM_Data_20200414!$E$48:$E$392,P2))</f>
        <v>322</v>
      </c>
      <c r="T9" s="73">
        <f>1/8*(SUMIFS(COEM_Data_20200414!$Y$48:$Y$392,COEM_Data_20200414!$D$48:$D$392,Q9, COEM_Data_20200414!$E$48:$E$392,P2))</f>
        <v>0.71499999999999997</v>
      </c>
      <c r="U9" s="138">
        <f>1/8*(SUMIFS(COEM_Data_20200414!$Z$48:$Z$392,COEM_Data_20200414!$D$48:$D$392,Q9, COEM_Data_20200414!$E$48:$E$392,P2)-SUM(SUMIFS(COEM_Data_20200414!$Z$48:$Z$392,COEM_Data_20200414!$D$48:$D$392,Q9,COEM_Data_20200414!$X$48:$X$392,{"Ongoing","N/A",""},COEM_Data_20200414!$E$48:$E$392,P2)))</f>
        <v>0.125</v>
      </c>
      <c r="V9" s="74">
        <f t="shared" ref="V9:V10" si="1">IFERROR(S9/R9,"N/A")</f>
        <v>1</v>
      </c>
    </row>
    <row r="10" spans="1:22" x14ac:dyDescent="0.25">
      <c r="C10" s="101">
        <v>2</v>
      </c>
      <c r="D10" s="73" t="s">
        <v>2</v>
      </c>
      <c r="E10" s="73">
        <f>SUMIFS(COEM_Data_20200414!$W$48:$W$392,COEM_Data_20200414!$D$48:$D$392,D10, COEM_Data_20200414!$C$48:$C$392,C2)</f>
        <v>0</v>
      </c>
      <c r="F10" s="73">
        <f>SUMIFS(COEM_Data_20200414!$X$48:$X$392,COEM_Data_20200414!$D$48:$D$392,D10, COEM_Data_20200414!$E$48:$E$392,C2)-SUM(SUMIFS(COEM_Data_20200414!$X$48:$X$392,COEM_Data_20200414!$D$48:$D$392,D10,COEM_Data_20200414!$X$48:$X$392,{"Ongoing","N/A",""},COEM_Data_20200414!$C$48:$C$392,C2))</f>
        <v>0</v>
      </c>
      <c r="G10" s="73">
        <f>1/8*(SUMIFS(COEM_Data_20200414!$Y$48:$Y$392,COEM_Data_20200414!$D$48:$D$392,D10, COEM_Data_20200414!$C$48:$C$392,C2))</f>
        <v>0</v>
      </c>
      <c r="H10" s="138">
        <f>1/8*(SUMIFS(COEM_Data_20200414!$Z$48:$Z$392,COEM_Data_20200414!$D$48:$D$392,D10, COEM_Data_20200414!$C$48:$C$392,C2)-SUM(SUMIFS(COEM_Data_20200414!$Z$48:$Z$392,COEM_Data_20200414!$D$48:$D$392,D10,COEM_Data_20200414!$X$48:$X$392,{"Ongoing","N/A",""},COEM_Data_20200414!$C$48:$C$392,C2)))</f>
        <v>0</v>
      </c>
      <c r="I10" s="74" t="str">
        <f t="shared" ref="I10" si="2">IFERROR(F10/E10,"N/A")</f>
        <v>N/A</v>
      </c>
      <c r="P10" s="101">
        <v>2</v>
      </c>
      <c r="Q10" s="73" t="s">
        <v>2</v>
      </c>
      <c r="R10" s="73">
        <f>SUMIFS(COEM_Data_20200414!$W$48:$W$392,COEM_Data_20200414!$D$48:$D$392,Q10, COEM_Data_20200414!$E$48:$E$392,P2)</f>
        <v>0</v>
      </c>
      <c r="S10" s="73">
        <f>SUMIFS(COEM_Data_20200414!$X$48:$X$392,COEM_Data_20200414!$D$48:$D$392,Q10, COEM_Data_20200414!$E$48:$E$392,P2)-SUM(SUMIFS(COEM_Data_20200414!$X$48:$X$392,COEM_Data_20200414!$D$48:$D$392,Q10,COEM_Data_20200414!$X$48:$X$392,{"Ongoing","N/A",""},COEM_Data_20200414!$E$48:$E$392,P2))</f>
        <v>0</v>
      </c>
      <c r="T10" s="73">
        <f>1/8*(SUMIFS(COEM_Data_20200414!$Y$48:$Y$392,COEM_Data_20200414!$D$48:$D$392,Q10, COEM_Data_20200414!$E$48:$E$392,P2))</f>
        <v>0</v>
      </c>
      <c r="U10" s="138">
        <f>1/8*(SUMIFS(COEM_Data_20200414!$Z$48:$Z$392,COEM_Data_20200414!$D$48:$D$392,Q10, COEM_Data_20200414!$E$48:$E$392,P2)-SUM(SUMIFS(COEM_Data_20200414!$Z$48:$Z$392,COEM_Data_20200414!$D$48:$D$392,Q10,COEM_Data_20200414!$X$48:$X$392,{"Ongoing","N/A",""},COEM_Data_20200414!$E$48:$E$392,P2)))</f>
        <v>0</v>
      </c>
      <c r="V10" s="74" t="str">
        <f t="shared" si="1"/>
        <v>N/A</v>
      </c>
    </row>
    <row r="12" spans="1:22" x14ac:dyDescent="0.25">
      <c r="C12" t="s">
        <v>465</v>
      </c>
      <c r="P12" t="s">
        <v>465</v>
      </c>
    </row>
    <row r="14" spans="1:22" x14ac:dyDescent="0.25">
      <c r="A14" s="98">
        <v>2</v>
      </c>
      <c r="B14" s="98" t="s">
        <v>62</v>
      </c>
      <c r="C14" s="98">
        <v>20200415</v>
      </c>
    </row>
    <row r="15" spans="1:22" x14ac:dyDescent="0.25">
      <c r="B15" s="98" t="s">
        <v>458</v>
      </c>
      <c r="C15">
        <f>SUM(G21:G22)</f>
        <v>0.16375000000000001</v>
      </c>
      <c r="D15" t="s">
        <v>459</v>
      </c>
    </row>
    <row r="16" spans="1:22" x14ac:dyDescent="0.25">
      <c r="B16" s="98" t="s">
        <v>471</v>
      </c>
      <c r="C16">
        <f>SUM(INT((WEEKDAY(F16-{2,3,4,5,6})+H16-F16)/7))</f>
        <v>4</v>
      </c>
      <c r="D16" t="s">
        <v>459</v>
      </c>
      <c r="E16" t="s">
        <v>1085</v>
      </c>
      <c r="F16" s="6">
        <v>43935</v>
      </c>
      <c r="G16" s="6" t="s">
        <v>339</v>
      </c>
      <c r="H16" s="6">
        <v>43938</v>
      </c>
    </row>
    <row r="17" spans="1:9" x14ac:dyDescent="0.25">
      <c r="B17" s="98" t="s">
        <v>472</v>
      </c>
      <c r="C17">
        <f>SUM(INT((WEEKDAY(F17-{2,3,4,5,6})+H17-F17)/7))</f>
        <v>4</v>
      </c>
      <c r="D17" t="s">
        <v>459</v>
      </c>
      <c r="E17" t="s">
        <v>737</v>
      </c>
      <c r="F17" s="6">
        <v>43935</v>
      </c>
      <c r="G17" s="6" t="s">
        <v>339</v>
      </c>
      <c r="H17" s="6">
        <v>43938</v>
      </c>
    </row>
    <row r="18" spans="1:9" x14ac:dyDescent="0.25">
      <c r="B18" s="98" t="s">
        <v>18</v>
      </c>
      <c r="F18" s="6"/>
      <c r="G18" s="6"/>
      <c r="H18" s="6"/>
    </row>
    <row r="20" spans="1:9" ht="45" x14ac:dyDescent="0.25">
      <c r="C20" s="99" t="s">
        <v>26</v>
      </c>
      <c r="D20" s="99" t="s">
        <v>27</v>
      </c>
      <c r="E20" s="100" t="s">
        <v>460</v>
      </c>
      <c r="F20" s="100" t="s">
        <v>461</v>
      </c>
      <c r="G20" s="100" t="s">
        <v>462</v>
      </c>
      <c r="H20" s="100" t="s">
        <v>463</v>
      </c>
      <c r="I20" s="100" t="s">
        <v>30</v>
      </c>
    </row>
    <row r="21" spans="1:9" x14ac:dyDescent="0.25">
      <c r="C21" s="101">
        <v>1</v>
      </c>
      <c r="D21" s="73" t="s">
        <v>3</v>
      </c>
      <c r="E21" s="73">
        <f>SUMIFS(COEM_Data_20200414!$W$48:$W$392,COEM_Data_20200414!$D$48:$D$392,D21, COEM_Data_20200414!$C$48:$C$392,C14)</f>
        <v>74</v>
      </c>
      <c r="F21" s="73">
        <f>SUMIFS(COEM_Data_20200414!$X$48:$X$392,COEM_Data_20200414!$D$48:$D$392,D21, COEM_Data_20200414!$C$48:$C$392,C14)-SUM(SUMIFS(COEM_Data_20200414!$X$48:$X$392,COEM_Data_20200414!$D$48:$D$392,D21,COEM_Data_20200414!$X$48:$X$392,{"Ongoing","N/A",""},COEM_Data_20200414!$C$48:$C$392,C14))</f>
        <v>74</v>
      </c>
      <c r="G21" s="73">
        <f>1/8*(SUMIFS(COEM_Data_20200414!$Y$48:$Y$392,COEM_Data_20200414!$D$48:$D$392,D21, COEM_Data_20200414!$C$48:$C$392,C14))</f>
        <v>0.16375000000000001</v>
      </c>
      <c r="H21" s="138">
        <f>1/8*(SUMIFS(COEM_Data_20200414!$Z$48:$Z$392,COEM_Data_20200414!$D$48:$D$392,D21, COEM_Data_20200414!$C$48:$C$392,C14)-SUM(SUMIFS(COEM_Data_20200414!$Z$48:$Z$392,COEM_Data_20200414!$D$48:$D$392,D21,COEM_Data_20200414!$X$48:$X$392,{"Ongoing","N/A",""},COEM_Data_20200414!$C$48:$C$392,C14)))</f>
        <v>9.375E-2</v>
      </c>
      <c r="I21" s="74">
        <f t="shared" ref="I21:I22" si="3">IFERROR(F21/E21,"N/A")</f>
        <v>1</v>
      </c>
    </row>
    <row r="22" spans="1:9" x14ac:dyDescent="0.25">
      <c r="C22" s="101">
        <v>2</v>
      </c>
      <c r="D22" s="73" t="s">
        <v>2</v>
      </c>
      <c r="E22" s="73">
        <f>SUMIFS(COEM_Data_20200414!$W$48:$W$392,COEM_Data_20200414!$D$48:$D$392,D22, COEM_Data_20200414!$C$48:$C$392,C14)</f>
        <v>0</v>
      </c>
      <c r="F22" s="73">
        <f>SUMIFS(COEM_Data_20200414!$X$48:$X$392,COEM_Data_20200414!$D$48:$D$392,D22, COEM_Data_20200414!$E$48:$E$392,C14)-SUM(SUMIFS(COEM_Data_20200414!$X$48:$X$392,COEM_Data_20200414!$D$48:$D$392,D22,COEM_Data_20200414!$X$48:$X$392,{"Ongoing","N/A",""},COEM_Data_20200414!$C$48:$C$392,C14))</f>
        <v>0</v>
      </c>
      <c r="G22" s="73">
        <f>1/8*(SUMIFS(COEM_Data_20200414!$Y$48:$Y$392,COEM_Data_20200414!$D$48:$D$392,D22, COEM_Data_20200414!$C$48:$C$392,C14))</f>
        <v>0</v>
      </c>
      <c r="H22" s="138">
        <f>1/8*(SUMIFS(COEM_Data_20200414!$Z$48:$Z$392,COEM_Data_20200414!$D$48:$D$392,D22, COEM_Data_20200414!$C$48:$C$392,C14)-SUM(SUMIFS(COEM_Data_20200414!$Z$48:$Z$392,COEM_Data_20200414!$D$48:$D$392,D22,COEM_Data_20200414!$X$48:$X$392,{"Ongoing","N/A",""},COEM_Data_20200414!$C$48:$C$392,C14)))</f>
        <v>0</v>
      </c>
      <c r="I22" s="74" t="str">
        <f t="shared" si="3"/>
        <v>N/A</v>
      </c>
    </row>
    <row r="24" spans="1:9" x14ac:dyDescent="0.25">
      <c r="C24" t="s">
        <v>465</v>
      </c>
    </row>
    <row r="26" spans="1:9" x14ac:dyDescent="0.25">
      <c r="A26" s="98">
        <v>3</v>
      </c>
      <c r="B26" s="98" t="s">
        <v>62</v>
      </c>
      <c r="C26" s="98">
        <v>20200416</v>
      </c>
    </row>
    <row r="27" spans="1:9" x14ac:dyDescent="0.25">
      <c r="B27" s="98" t="s">
        <v>458</v>
      </c>
      <c r="C27">
        <f>SUM(G33:G34)</f>
        <v>2.3450000000000002</v>
      </c>
      <c r="D27" t="s">
        <v>459</v>
      </c>
    </row>
    <row r="28" spans="1:9" x14ac:dyDescent="0.25">
      <c r="B28" s="98" t="s">
        <v>471</v>
      </c>
      <c r="C28">
        <f>SUM(INT((WEEKDAY(F28-{2,3,4,5,6})+H28-F28)/7))</f>
        <v>4</v>
      </c>
      <c r="D28" t="s">
        <v>459</v>
      </c>
      <c r="E28" t="s">
        <v>1085</v>
      </c>
      <c r="F28" s="6">
        <v>43935</v>
      </c>
      <c r="G28" s="6" t="s">
        <v>339</v>
      </c>
      <c r="H28" s="6">
        <v>43938</v>
      </c>
    </row>
    <row r="29" spans="1:9" x14ac:dyDescent="0.25">
      <c r="B29" s="98" t="s">
        <v>472</v>
      </c>
      <c r="C29">
        <f>SUM(INT((WEEKDAY(F29-{2,3,4,5,6})+H29-F29)/7))</f>
        <v>4</v>
      </c>
      <c r="D29" t="s">
        <v>459</v>
      </c>
      <c r="E29" t="s">
        <v>737</v>
      </c>
      <c r="F29" s="6">
        <v>43935</v>
      </c>
      <c r="G29" s="6" t="s">
        <v>339</v>
      </c>
      <c r="H29" s="6">
        <v>43938</v>
      </c>
    </row>
    <row r="30" spans="1:9" x14ac:dyDescent="0.25">
      <c r="B30" s="98" t="s">
        <v>18</v>
      </c>
      <c r="F30" s="6"/>
      <c r="G30" s="6"/>
      <c r="H30" s="6"/>
    </row>
    <row r="32" spans="1:9" ht="45" x14ac:dyDescent="0.25">
      <c r="C32" s="99" t="s">
        <v>26</v>
      </c>
      <c r="D32" s="99" t="s">
        <v>27</v>
      </c>
      <c r="E32" s="100" t="s">
        <v>460</v>
      </c>
      <c r="F32" s="100" t="s">
        <v>461</v>
      </c>
      <c r="G32" s="100" t="s">
        <v>462</v>
      </c>
      <c r="H32" s="100" t="s">
        <v>463</v>
      </c>
      <c r="I32" s="100" t="s">
        <v>30</v>
      </c>
    </row>
    <row r="33" spans="3:9" x14ac:dyDescent="0.25">
      <c r="C33" s="101">
        <v>1</v>
      </c>
      <c r="D33" s="73" t="s">
        <v>3</v>
      </c>
      <c r="E33" s="73">
        <f>SUMIFS(COEM_Data_20200414!$W$48:$W$392,COEM_Data_20200414!$D$48:$D$392,D33, COEM_Data_20200414!$C$48:$C$392,C26)</f>
        <v>1059</v>
      </c>
      <c r="F33" s="73">
        <f>SUMIFS(COEM_Data_20200414!$X$48:$X$392,COEM_Data_20200414!$D$48:$D$392,D33, COEM_Data_20200414!$C$48:$C$392,C26)-SUM(SUMIFS(COEM_Data_20200414!$X$48:$X$392,COEM_Data_20200414!$D$48:$D$392,D33,COEM_Data_20200414!$X$48:$X$392,{"Ongoing","N/A",""},COEM_Data_20200414!$C$48:$C$392,C26))</f>
        <v>1059</v>
      </c>
      <c r="G33" s="73">
        <f>1/8*(SUMIFS(COEM_Data_20200414!$Y$48:$Y$392,COEM_Data_20200414!$D$48:$D$392,D33, COEM_Data_20200414!$C$48:$C$392,C26))</f>
        <v>2.3450000000000002</v>
      </c>
      <c r="H33" s="138">
        <f>1/8*(SUMIFS(COEM_Data_20200414!$Z$48:$Z$392,COEM_Data_20200414!$D$48:$D$392,D33, COEM_Data_20200414!$C$48:$C$392,C26)-SUM(SUMIFS(COEM_Data_20200414!$Z$48:$Z$392,COEM_Data_20200414!$D$48:$D$392,D33,COEM_Data_20200414!$X$48:$X$392,{"Ongoing","N/A",""},COEM_Data_20200414!$C$48:$C$392,C26)))</f>
        <v>1.7637499999999999</v>
      </c>
      <c r="I33" s="74">
        <f t="shared" ref="I33:I34" si="4">IFERROR(F33/E33,"N/A")</f>
        <v>1</v>
      </c>
    </row>
    <row r="34" spans="3:9" x14ac:dyDescent="0.25">
      <c r="C34" s="101">
        <v>2</v>
      </c>
      <c r="D34" s="73" t="s">
        <v>2</v>
      </c>
      <c r="E34" s="73">
        <f>SUMIFS(COEM_Data_20200414!$W$48:$W$392,COEM_Data_20200414!$D$48:$D$392,D34, COEM_Data_20200414!$C$48:$C$392,C26)</f>
        <v>0</v>
      </c>
      <c r="F34" s="73">
        <f>SUMIFS(COEM_Data_20200414!$X$48:$X$392,COEM_Data_20200414!$D$48:$D$392,D34, COEM_Data_20200414!$E$48:$E$392,C26)-SUM(SUMIFS(COEM_Data_20200414!$X$48:$X$392,COEM_Data_20200414!$D$48:$D$392,D34,COEM_Data_20200414!$X$48:$X$392,{"Ongoing","N/A",""},COEM_Data_20200414!$C$48:$C$392,C26))</f>
        <v>0</v>
      </c>
      <c r="G34" s="73">
        <f>1/8*(SUMIFS(COEM_Data_20200414!$Y$48:$Y$392,COEM_Data_20200414!$D$48:$D$392,D34, COEM_Data_20200414!$C$48:$C$392,C26))</f>
        <v>0</v>
      </c>
      <c r="H34" s="138">
        <f>1/8*(SUMIFS(COEM_Data_20200414!$Z$48:$Z$392,COEM_Data_20200414!$D$48:$D$392,D34, COEM_Data_20200414!$C$48:$C$392,C26)-SUM(SUMIFS(COEM_Data_20200414!$Z$48:$Z$392,COEM_Data_20200414!$D$48:$D$392,D34,COEM_Data_20200414!$X$48:$X$392,{"Ongoing","N/A",""},COEM_Data_20200414!$C$48:$C$392,C26)))</f>
        <v>0</v>
      </c>
      <c r="I34" s="74" t="str">
        <f t="shared" si="4"/>
        <v>N/A</v>
      </c>
    </row>
    <row r="36" spans="3:9" x14ac:dyDescent="0.25">
      <c r="C36" t="s">
        <v>465</v>
      </c>
    </row>
  </sheetData>
  <customSheetViews>
    <customSheetView guid="{250915DF-0B97-45D7-B29D-7EED4C89C1C1}">
      <selection activeCell="G33" sqref="G33"/>
      <pageMargins left="0.7" right="0.7" top="0.75" bottom="0.75" header="0.3" footer="0.3"/>
    </customSheetView>
    <customSheetView guid="{D33AC7AF-C8AB-4CE9-94C7-9237011A5FC3}">
      <selection activeCell="F12" sqref="F12"/>
      <pageMargins left="0.7" right="0.7" top="0.75" bottom="0.75" header="0.3" footer="0.3"/>
    </customSheetView>
    <customSheetView guid="{336B6883-2145-4B58-921E-CEC7185A847E}">
      <selection activeCell="F12" sqref="F12"/>
      <pageMargins left="0.7" right="0.7" top="0.75" bottom="0.75" header="0.3" footer="0.3"/>
    </customSheetView>
    <customSheetView guid="{A2C66332-A809-458E-971B-FDB6D62C74C3}">
      <selection activeCell="G33" sqref="G33"/>
      <pageMargins left="0.7" right="0.7" top="0.75" bottom="0.75" header="0.3" footer="0.3"/>
    </customSheetView>
    <customSheetView guid="{7ECC2B8E-6A82-42F5-8AB0-4A51C54EA5EC}">
      <selection activeCell="H34" sqref="H34"/>
      <pageMargins left="0.7" right="0.7" top="0.75" bottom="0.75" header="0.3" footer="0.3"/>
    </customSheetView>
    <customSheetView guid="{3B3E6719-EACB-4D2C-89C1-05FFAB6020FD}">
      <selection activeCell="F12" sqref="F12"/>
      <pageMargins left="0.7" right="0.7" top="0.75" bottom="0.75" header="0.3" footer="0.3"/>
    </customSheetView>
  </customSheetView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46"/>
  <sheetViews>
    <sheetView zoomScale="85" zoomScaleNormal="85" workbookViewId="0">
      <selection activeCell="K21" sqref="K21"/>
    </sheetView>
  </sheetViews>
  <sheetFormatPr defaultRowHeight="15" x14ac:dyDescent="0.25"/>
  <cols>
    <col min="1" max="1" width="10" customWidth="1"/>
    <col min="2" max="2" width="12.42578125" customWidth="1"/>
    <col min="4" max="4" width="22" customWidth="1"/>
    <col min="5" max="5" width="14.85546875" bestFit="1" customWidth="1"/>
    <col min="6" max="6" width="28.5703125" bestFit="1" customWidth="1"/>
    <col min="8" max="8" width="23" customWidth="1"/>
    <col min="10" max="10" width="2" bestFit="1" customWidth="1"/>
    <col min="11" max="11" width="18.5703125" bestFit="1" customWidth="1"/>
    <col min="12" max="12" width="14.85546875" bestFit="1" customWidth="1"/>
    <col min="13" max="13" width="11.42578125" bestFit="1" customWidth="1"/>
    <col min="14" max="14" width="11.5703125" bestFit="1" customWidth="1"/>
    <col min="15" max="15" width="16.42578125" bestFit="1" customWidth="1"/>
    <col min="16" max="16" width="8" customWidth="1"/>
    <col min="17" max="17" width="3.140625" customWidth="1"/>
    <col min="18" max="18" width="18.140625" bestFit="1" customWidth="1"/>
    <col min="22" max="22" width="21.5703125" bestFit="1" customWidth="1"/>
  </cols>
  <sheetData>
    <row r="1" spans="1:22" x14ac:dyDescent="0.25">
      <c r="A1" s="1" t="s">
        <v>44</v>
      </c>
      <c r="B1" s="65">
        <v>43896</v>
      </c>
      <c r="D1" s="65">
        <f ca="1">TODAY()</f>
        <v>43938</v>
      </c>
      <c r="F1" s="6"/>
    </row>
    <row r="2" spans="1:22" x14ac:dyDescent="0.25">
      <c r="A2" s="1" t="s">
        <v>31</v>
      </c>
      <c r="B2" s="7">
        <f ca="1">SUM(INT((WEEKDAY(B1-{2,3,4,5,6}) +D1-B1)/7))</f>
        <v>31</v>
      </c>
    </row>
    <row r="3" spans="1:22" x14ac:dyDescent="0.25">
      <c r="A3" s="1" t="s">
        <v>739</v>
      </c>
      <c r="B3" s="7">
        <v>1</v>
      </c>
    </row>
    <row r="4" spans="1:22" x14ac:dyDescent="0.25">
      <c r="A4" s="1" t="s">
        <v>286</v>
      </c>
      <c r="B4">
        <f ca="1">IF(TODAY()&lt;D1,SUM(INT((WEEKDAY(B1-{2,3,4,5,6})+TODAY()-B1)/7)),SUM(INT((WEEKDAY(B1-{2,3,4,5,6})+D1-B1)/7)))</f>
        <v>31</v>
      </c>
    </row>
    <row r="5" spans="1:22" x14ac:dyDescent="0.25">
      <c r="A5" s="1"/>
    </row>
    <row r="6" spans="1:22" x14ac:dyDescent="0.25">
      <c r="B6" s="1" t="s">
        <v>35</v>
      </c>
      <c r="J6" s="1" t="s">
        <v>849</v>
      </c>
      <c r="Q6" s="1" t="s">
        <v>850</v>
      </c>
    </row>
    <row r="7" spans="1:22" ht="45" x14ac:dyDescent="0.25">
      <c r="C7" s="106" t="s">
        <v>26</v>
      </c>
      <c r="D7" s="106" t="s">
        <v>27</v>
      </c>
      <c r="E7" s="106" t="s">
        <v>28</v>
      </c>
      <c r="F7" s="106" t="s">
        <v>29</v>
      </c>
      <c r="G7" s="10" t="s">
        <v>226</v>
      </c>
      <c r="H7" s="10" t="s">
        <v>30</v>
      </c>
      <c r="J7" s="106" t="s">
        <v>26</v>
      </c>
      <c r="K7" s="106" t="s">
        <v>27</v>
      </c>
      <c r="L7" s="106" t="s">
        <v>28</v>
      </c>
      <c r="M7" s="106" t="s">
        <v>29</v>
      </c>
      <c r="N7" s="10" t="s">
        <v>226</v>
      </c>
      <c r="O7" s="10" t="s">
        <v>30</v>
      </c>
      <c r="Q7" s="106" t="s">
        <v>26</v>
      </c>
      <c r="R7" s="106" t="s">
        <v>27</v>
      </c>
      <c r="S7" s="106" t="s">
        <v>28</v>
      </c>
      <c r="T7" s="106" t="s">
        <v>29</v>
      </c>
      <c r="U7" s="10" t="s">
        <v>226</v>
      </c>
      <c r="V7" s="10" t="s">
        <v>30</v>
      </c>
    </row>
    <row r="8" spans="1:22" x14ac:dyDescent="0.25">
      <c r="C8" s="108">
        <v>1</v>
      </c>
      <c r="D8" s="108" t="s">
        <v>3</v>
      </c>
      <c r="E8" s="108">
        <f>SUM(Not_Fill_Data_20200305_20200320!D8,Not_Fill_Data_20200321_20200420!D10)</f>
        <v>9582.75</v>
      </c>
      <c r="F8" s="108">
        <f>SUM(Not_Fill_Data_20200305_20200320!E8,Not_Fill_Data_20200321_20200420!E10)</f>
        <v>8862.75</v>
      </c>
      <c r="G8" s="108">
        <f>E8/Table!$D$4</f>
        <v>21.295000000000002</v>
      </c>
      <c r="H8" s="74">
        <f>IFERROR(F8/E8,"N/A")</f>
        <v>0.92486499178210846</v>
      </c>
      <c r="J8" s="108">
        <v>1</v>
      </c>
      <c r="K8" s="108" t="s">
        <v>3</v>
      </c>
      <c r="L8" s="108">
        <f>SUM(Not_Fill_Data_20200321_20200420!D10)</f>
        <v>8862.75</v>
      </c>
      <c r="M8" s="108">
        <f>SUM(Not_Fill_Data_20200321_20200420!E10)</f>
        <v>8142.75</v>
      </c>
      <c r="N8" s="108">
        <f>L8/Table!$D$4</f>
        <v>19.695</v>
      </c>
      <c r="O8" s="74">
        <f>IFERROR(M8/L8,"N/A")</f>
        <v>0.91876110687991874</v>
      </c>
      <c r="Q8" s="108">
        <v>1</v>
      </c>
      <c r="R8" s="108" t="s">
        <v>3</v>
      </c>
      <c r="S8" s="108">
        <f>SUM(Not_Fill_Data_20200305_20200320!D8)</f>
        <v>720</v>
      </c>
      <c r="T8" s="108">
        <f>SUM(Not_Fill_Data_20200305_20200320!E8)</f>
        <v>720</v>
      </c>
      <c r="U8" s="108">
        <f>S8/Table!$D$4</f>
        <v>1.6</v>
      </c>
      <c r="V8" s="74">
        <f>IFERROR(T8/S8,"N/A")</f>
        <v>1</v>
      </c>
    </row>
    <row r="9" spans="1:22" x14ac:dyDescent="0.25">
      <c r="C9" s="108">
        <v>2</v>
      </c>
      <c r="D9" s="108" t="s">
        <v>2</v>
      </c>
      <c r="E9" s="108">
        <f>SUM(Not_Fill_Data_20200305_20200320!D17,Not_Fill_Data_20200321_20200420!D21)</f>
        <v>7701.3080000000009</v>
      </c>
      <c r="F9" s="108">
        <f>SUM(Not_Fill_Data_20200305_20200320!E17,Not_Fill_Data_20200321_20200420!E21)</f>
        <v>7701.3080000000009</v>
      </c>
      <c r="G9" s="108">
        <f>E9/Table!$C$4</f>
        <v>59.240830769230776</v>
      </c>
      <c r="H9" s="74">
        <f>IFERROR(F9/E9,"N/A")</f>
        <v>1</v>
      </c>
      <c r="J9" s="108">
        <v>2</v>
      </c>
      <c r="K9" s="108" t="s">
        <v>2</v>
      </c>
      <c r="L9" s="108">
        <f>SUM(Not_Fill_Data_20200321_20200420!D21)</f>
        <v>4319.8360000000002</v>
      </c>
      <c r="M9" s="108">
        <f>SUM(Not_Fill_Data_20200321_20200420!E21)</f>
        <v>4319.8360000000002</v>
      </c>
      <c r="N9" s="108">
        <f>L9/Table!$C$4</f>
        <v>33.229507692307692</v>
      </c>
      <c r="O9" s="74">
        <f>IFERROR(M9/L9,"N/A")</f>
        <v>1</v>
      </c>
      <c r="Q9" s="108">
        <v>2</v>
      </c>
      <c r="R9" s="108" t="s">
        <v>2</v>
      </c>
      <c r="S9" s="108">
        <f>SUM(Not_Fill_Data_20200305_20200320!D17)</f>
        <v>3381.4720000000002</v>
      </c>
      <c r="T9" s="108">
        <f>SUM(Not_Fill_Data_20200305_20200320!E17)</f>
        <v>3381.4720000000002</v>
      </c>
      <c r="U9" s="108">
        <f>S9/Table!$C$4</f>
        <v>26.011323076923077</v>
      </c>
      <c r="V9" s="74">
        <f>IFERROR(T9/S9,"N/A")</f>
        <v>1</v>
      </c>
    </row>
    <row r="10" spans="1:22" x14ac:dyDescent="0.25">
      <c r="C10" s="62"/>
      <c r="D10" s="43"/>
      <c r="E10" s="43"/>
      <c r="F10" s="43"/>
      <c r="G10" s="63"/>
    </row>
    <row r="11" spans="1:22" x14ac:dyDescent="0.25">
      <c r="B11" s="1" t="s">
        <v>36</v>
      </c>
      <c r="K11" s="1"/>
      <c r="Q11" s="1"/>
    </row>
    <row r="12" spans="1:22" ht="45" x14ac:dyDescent="0.25">
      <c r="C12" s="106" t="s">
        <v>26</v>
      </c>
      <c r="D12" s="106" t="s">
        <v>32</v>
      </c>
      <c r="E12" s="10" t="s">
        <v>33</v>
      </c>
      <c r="F12" s="10" t="s">
        <v>34</v>
      </c>
      <c r="G12" s="10" t="s">
        <v>495</v>
      </c>
      <c r="H12" s="10" t="s">
        <v>496</v>
      </c>
      <c r="J12" s="106" t="s">
        <v>26</v>
      </c>
      <c r="K12" s="106" t="s">
        <v>32</v>
      </c>
      <c r="L12" s="10" t="s">
        <v>33</v>
      </c>
      <c r="M12" s="10" t="s">
        <v>34</v>
      </c>
      <c r="N12" s="10" t="s">
        <v>495</v>
      </c>
      <c r="O12" s="10" t="s">
        <v>496</v>
      </c>
      <c r="Q12" s="106" t="s">
        <v>26</v>
      </c>
      <c r="R12" s="106" t="s">
        <v>32</v>
      </c>
      <c r="S12" s="10" t="s">
        <v>33</v>
      </c>
      <c r="T12" s="10" t="s">
        <v>34</v>
      </c>
      <c r="U12" s="10" t="s">
        <v>495</v>
      </c>
      <c r="V12" s="10" t="s">
        <v>496</v>
      </c>
    </row>
    <row r="13" spans="1:22" x14ac:dyDescent="0.25">
      <c r="C13" s="108">
        <v>1</v>
      </c>
      <c r="D13" s="41" t="s">
        <v>312</v>
      </c>
      <c r="E13" s="108">
        <f t="shared" ref="E13:F16" si="0">SUM(L13,S13)</f>
        <v>1921.5</v>
      </c>
      <c r="F13" s="108">
        <f t="shared" si="0"/>
        <v>2099.4260000000004</v>
      </c>
      <c r="G13" s="108">
        <f>E13/Table!$D$4</f>
        <v>4.2699999999999996</v>
      </c>
      <c r="H13" s="108">
        <f>F13/Table!$C$4</f>
        <v>16.149430769230772</v>
      </c>
      <c r="J13" s="41">
        <v>1</v>
      </c>
      <c r="K13" s="41" t="s">
        <v>312</v>
      </c>
      <c r="L13" s="108">
        <f>VLOOKUP(SUBSTITUTE(SUBSTITUTE(SUBSTITUTE(SUBSTITUTE(K13,"Nguyen Trung Hieu","hieu.nguyen-trung"),"Nguyen Tai Hau","hau.nguyen-tai"),"Nguyen Duy Bang","bang.nguyen-duy"),"Luu Cong Dac","dac.luu-cong"),Not_Fill_Data_20200305_20200320!$C$4:$H$7,2,0)</f>
        <v>225</v>
      </c>
      <c r="M13" s="108">
        <f>VLOOKUP(SUBSTITUTE(SUBSTITUTE(SUBSTITUTE(SUBSTITUTE(K13,"Nguyen Trung Hieu","hieu.nguyen-trung"),"Nguyen Tai Hau","hau.nguyen-tai"),"Nguyen Duy Bang","bang.nguyen-duy"),"Luu Cong Dac","dac.luu-cong"),Not_Fill_Data_20200305_20200320!$C$13:$H$16,2,0)</f>
        <v>1036.1840000000002</v>
      </c>
      <c r="N13" s="108">
        <f>L13/Table!$D$4</f>
        <v>0.5</v>
      </c>
      <c r="O13" s="108">
        <f>M13/Table!$C$4</f>
        <v>7.9706461538461557</v>
      </c>
      <c r="Q13" s="41">
        <v>1</v>
      </c>
      <c r="R13" s="41" t="s">
        <v>312</v>
      </c>
      <c r="S13" s="108">
        <f>VLOOKUP(SUBSTITUTE(SUBSTITUTE(SUBSTITUTE(SUBSTITUTE(R13,"Nguyen Trung Hieu","hieu.nguyen-trung"),"Nguyen Tai Hau","hau.nguyen-tai"),"Nguyen Duy Bang","bang.nguyen-duy"),"Luu Cong Dac","dac.luu-cong"),Not_Fill_Data_20200321_20200420!$C$4:$H$7,2,0)</f>
        <v>1696.5</v>
      </c>
      <c r="T13" s="108">
        <f>VLOOKUP(SUBSTITUTE(SUBSTITUTE(SUBSTITUTE(SUBSTITUTE(R13,"Nguyen Trung Hieu","hieu.nguyen-trung"),"Nguyen Tai Hau","hau.nguyen-tai"),"Nguyen Duy Bang","bang.nguyen-duy"),"Luu Cong Dac","dac.luu-cong"),Not_Fill_Data_20200321_20200420!$C$15:$H$18,2,0)</f>
        <v>1063.2420000000002</v>
      </c>
      <c r="U13" s="108">
        <f>S13/Table!$D$4</f>
        <v>3.77</v>
      </c>
      <c r="V13" s="108">
        <f>T13/Table!$C$4</f>
        <v>8.1787846153846164</v>
      </c>
    </row>
    <row r="14" spans="1:22" x14ac:dyDescent="0.25">
      <c r="C14" s="108">
        <v>2</v>
      </c>
      <c r="D14" s="41" t="s">
        <v>313</v>
      </c>
      <c r="E14" s="108">
        <f t="shared" si="0"/>
        <v>2351.25</v>
      </c>
      <c r="F14" s="108">
        <f t="shared" si="0"/>
        <v>2207.7340000000004</v>
      </c>
      <c r="G14" s="108">
        <f>E14/Table!$D$4</f>
        <v>5.2249999999999996</v>
      </c>
      <c r="H14" s="108">
        <f>F14/Table!$C$4</f>
        <v>16.982569230769233</v>
      </c>
      <c r="J14" s="41">
        <v>2</v>
      </c>
      <c r="K14" s="41" t="s">
        <v>313</v>
      </c>
      <c r="L14" s="108">
        <f>VLOOKUP(SUBSTITUTE(SUBSTITUTE(SUBSTITUTE(SUBSTITUTE(K14,"Nguyen Trung Hieu","hieu.nguyen-trung"),"Nguyen Tai Hau","hau.nguyen-tai"),"Nguyen Duy Bang","bang.nguyen-duy"),"Luu Cong Dac","dac.luu-cong"),Not_Fill_Data_20200305_20200320!$C$4:$H$7,2,0)</f>
        <v>0</v>
      </c>
      <c r="M14" s="108">
        <f>VLOOKUP(SUBSTITUTE(SUBSTITUTE(SUBSTITUTE(SUBSTITUTE(K14,"Nguyen Trung Hieu","hieu.nguyen-trung"),"Nguyen Tai Hau","hau.nguyen-tai"),"Nguyen Duy Bang","bang.nguyen-duy"),"Luu Cong Dac","dac.luu-cong"),Not_Fill_Data_20200305_20200320!$C$13:$H$16,2,0)</f>
        <v>1085.0970000000002</v>
      </c>
      <c r="N14" s="108">
        <f>L14/Table!$D$4</f>
        <v>0</v>
      </c>
      <c r="O14" s="108">
        <f>M14/Table!$C$4</f>
        <v>8.3469000000000015</v>
      </c>
      <c r="Q14" s="41">
        <v>2</v>
      </c>
      <c r="R14" s="41" t="s">
        <v>313</v>
      </c>
      <c r="S14" s="108">
        <f>VLOOKUP(SUBSTITUTE(SUBSTITUTE(SUBSTITUTE(SUBSTITUTE(R14,"Nguyen Trung Hieu","hieu.nguyen-trung"),"Nguyen Tai Hau","hau.nguyen-tai"),"Nguyen Duy Bang","bang.nguyen-duy"),"Luu Cong Dac","dac.luu-cong"),Not_Fill_Data_20200321_20200420!$C$4:$H$7,2,0)</f>
        <v>2351.25</v>
      </c>
      <c r="T14" s="108">
        <f>VLOOKUP(SUBSTITUTE(SUBSTITUTE(SUBSTITUTE(SUBSTITUTE(R14,"Nguyen Trung Hieu","hieu.nguyen-trung"),"Nguyen Tai Hau","hau.nguyen-tai"),"Nguyen Duy Bang","bang.nguyen-duy"),"Luu Cong Dac","dac.luu-cong"),Not_Fill_Data_20200321_20200420!$C$15:$H$18,2,0)</f>
        <v>1122.6370000000002</v>
      </c>
      <c r="U14" s="108">
        <f>S14/Table!$D$4</f>
        <v>5.2249999999999996</v>
      </c>
      <c r="V14" s="108">
        <f>T14/Table!$C$4</f>
        <v>8.6356692307692313</v>
      </c>
    </row>
    <row r="15" spans="1:22" x14ac:dyDescent="0.25">
      <c r="C15" s="108">
        <v>3</v>
      </c>
      <c r="D15" s="41" t="s">
        <v>314</v>
      </c>
      <c r="E15" s="108">
        <f t="shared" si="0"/>
        <v>2614.5</v>
      </c>
      <c r="F15" s="108">
        <f t="shared" si="0"/>
        <v>1347.6160000000002</v>
      </c>
      <c r="G15" s="108">
        <f>E15/Table!$D$4</f>
        <v>5.81</v>
      </c>
      <c r="H15" s="108">
        <f>F15/Table!$C$4</f>
        <v>10.366276923076924</v>
      </c>
      <c r="J15" s="41">
        <v>3</v>
      </c>
      <c r="K15" s="41" t="s">
        <v>314</v>
      </c>
      <c r="L15" s="108">
        <f>VLOOKUP(SUBSTITUTE(SUBSTITUTE(SUBSTITUTE(SUBSTITUTE(K15,"Nguyen Trung Hieu","hieu.nguyen-trung"),"Nguyen Tai Hau","hau.nguyen-tai"),"Nguyen Duy Bang","bang.nguyen-duy"),"Luu Cong Dac","dac.luu-cong"),Not_Fill_Data_20200305_20200320!$C$4:$H$7,2,0)</f>
        <v>495</v>
      </c>
      <c r="M15" s="108">
        <f>VLOOKUP(SUBSTITUTE(SUBSTITUTE(SUBSTITUTE(SUBSTITUTE(K15,"Nguyen Trung Hieu","hieu.nguyen-trung"),"Nguyen Tai Hau","hau.nguyen-tai"),"Nguyen Duy Bang","bang.nguyen-duy"),"Luu Cong Dac","dac.luu-cong"),Not_Fill_Data_20200305_20200320!$C$13:$H$16,2,0)</f>
        <v>286</v>
      </c>
      <c r="N15" s="108">
        <f>L15/Table!$D$4</f>
        <v>1.1000000000000001</v>
      </c>
      <c r="O15" s="108">
        <f>M15/Table!$C$4</f>
        <v>2.2000000000000002</v>
      </c>
      <c r="Q15" s="41">
        <v>3</v>
      </c>
      <c r="R15" s="41" t="s">
        <v>314</v>
      </c>
      <c r="S15" s="108">
        <f>VLOOKUP(SUBSTITUTE(SUBSTITUTE(SUBSTITUTE(SUBSTITUTE(R15,"Nguyen Trung Hieu","hieu.nguyen-trung"),"Nguyen Tai Hau","hau.nguyen-tai"),"Nguyen Duy Bang","bang.nguyen-duy"),"Luu Cong Dac","dac.luu-cong"),Not_Fill_Data_20200321_20200420!$C$4:$H$7,2,0)</f>
        <v>2119.5</v>
      </c>
      <c r="T15" s="108">
        <f>VLOOKUP(SUBSTITUTE(SUBSTITUTE(SUBSTITUTE(SUBSTITUTE(R15,"Nguyen Trung Hieu","hieu.nguyen-trung"),"Nguyen Tai Hau","hau.nguyen-tai"),"Nguyen Duy Bang","bang.nguyen-duy"),"Luu Cong Dac","dac.luu-cong"),Not_Fill_Data_20200321_20200420!$C$15:$H$18,2,0)</f>
        <v>1061.6160000000002</v>
      </c>
      <c r="U15" s="108">
        <f>S15/Table!$D$4</f>
        <v>4.71</v>
      </c>
      <c r="V15" s="108">
        <f>T15/Table!$C$4</f>
        <v>8.166276923076925</v>
      </c>
    </row>
    <row r="16" spans="1:22" x14ac:dyDescent="0.25">
      <c r="C16" s="108">
        <v>4</v>
      </c>
      <c r="D16" s="41" t="s">
        <v>315</v>
      </c>
      <c r="E16" s="108">
        <f t="shared" si="0"/>
        <v>2155.5</v>
      </c>
      <c r="F16" s="108">
        <f t="shared" si="0"/>
        <v>2046.5320000000002</v>
      </c>
      <c r="G16" s="108">
        <f>E16/Table!$D$4</f>
        <v>4.79</v>
      </c>
      <c r="H16" s="108">
        <f>F16/Table!$C$4</f>
        <v>15.742553846153847</v>
      </c>
      <c r="J16" s="41">
        <v>4</v>
      </c>
      <c r="K16" s="41" t="s">
        <v>315</v>
      </c>
      <c r="L16" s="108">
        <f>VLOOKUP(SUBSTITUTE(SUBSTITUTE(SUBSTITUTE(SUBSTITUTE(K16,"Nguyen Trung Hieu","hieu.nguyen-trung"),"Nguyen Tai Hau","hau.nguyen-tai"),"Nguyen Duy Bang","bang.nguyen-duy"),"Luu Cong Dac","dac.luu-cong"),Not_Fill_Data_20200305_20200320!$C$4:$H$7,2,0)</f>
        <v>0</v>
      </c>
      <c r="M16" s="108">
        <f>VLOOKUP(SUBSTITUTE(SUBSTITUTE(SUBSTITUTE(SUBSTITUTE(K16,"Nguyen Trung Hieu","hieu.nguyen-trung"),"Nguyen Tai Hau","hau.nguyen-tai"),"Nguyen Duy Bang","bang.nguyen-duy"),"Luu Cong Dac","dac.luu-cong"),Not_Fill_Data_20200305_20200320!$C$13:$H$16,2,0)</f>
        <v>974.19099999999992</v>
      </c>
      <c r="N16" s="108">
        <f>L16/Table!$D$4</f>
        <v>0</v>
      </c>
      <c r="O16" s="108">
        <f>M16/Table!$C$4</f>
        <v>7.493776923076922</v>
      </c>
      <c r="Q16" s="41">
        <v>4</v>
      </c>
      <c r="R16" s="41" t="s">
        <v>315</v>
      </c>
      <c r="S16" s="108">
        <f>VLOOKUP(SUBSTITUTE(SUBSTITUTE(SUBSTITUTE(SUBSTITUTE(R16,"Nguyen Trung Hieu","hieu.nguyen-trung"),"Nguyen Tai Hau","hau.nguyen-tai"),"Nguyen Duy Bang","bang.nguyen-duy"),"Luu Cong Dac","dac.luu-cong"),Not_Fill_Data_20200321_20200420!$C$4:$H$7,2,0)</f>
        <v>2155.5</v>
      </c>
      <c r="T16" s="108">
        <f>VLOOKUP(SUBSTITUTE(SUBSTITUTE(SUBSTITUTE(SUBSTITUTE(R16,"Nguyen Trung Hieu","hieu.nguyen-trung"),"Nguyen Tai Hau","hau.nguyen-tai"),"Nguyen Duy Bang","bang.nguyen-duy"),"Luu Cong Dac","dac.luu-cong"),Not_Fill_Data_20200321_20200420!$C$15:$H$18,2,0)</f>
        <v>1072.3410000000001</v>
      </c>
      <c r="U16" s="108">
        <f>S16/Table!$D$4</f>
        <v>4.79</v>
      </c>
      <c r="V16" s="108">
        <f>T16/Table!$C$4</f>
        <v>8.2487769230769246</v>
      </c>
    </row>
    <row r="17" spans="2:6" x14ac:dyDescent="0.25">
      <c r="C17" s="42"/>
      <c r="D17" s="42"/>
      <c r="E17" s="43"/>
      <c r="F17" s="43"/>
    </row>
    <row r="18" spans="2:6" x14ac:dyDescent="0.25">
      <c r="B18" s="1" t="s">
        <v>37</v>
      </c>
    </row>
    <row r="19" spans="2:6" x14ac:dyDescent="0.25">
      <c r="C19" s="106" t="s">
        <v>26</v>
      </c>
      <c r="D19" s="111" t="s">
        <v>38</v>
      </c>
      <c r="E19" s="112"/>
      <c r="F19" s="113"/>
    </row>
    <row r="20" spans="2:6" x14ac:dyDescent="0.25">
      <c r="C20" s="108">
        <v>1</v>
      </c>
      <c r="D20" s="70" t="s">
        <v>744</v>
      </c>
      <c r="E20" s="71"/>
      <c r="F20" s="72"/>
    </row>
    <row r="21" spans="2:6" x14ac:dyDescent="0.25">
      <c r="C21" s="108">
        <v>2</v>
      </c>
      <c r="D21" s="70" t="s">
        <v>67</v>
      </c>
      <c r="E21" s="71"/>
      <c r="F21" s="72"/>
    </row>
    <row r="22" spans="2:6" x14ac:dyDescent="0.25">
      <c r="C22" s="108">
        <v>3</v>
      </c>
      <c r="D22" s="70" t="s">
        <v>67</v>
      </c>
      <c r="E22" s="71"/>
      <c r="F22" s="72"/>
    </row>
    <row r="23" spans="2:6" x14ac:dyDescent="0.25">
      <c r="C23" s="108">
        <v>4</v>
      </c>
      <c r="D23" s="70" t="s">
        <v>67</v>
      </c>
      <c r="E23" s="71"/>
      <c r="F23" s="72"/>
    </row>
    <row r="25" spans="2:6" x14ac:dyDescent="0.25">
      <c r="B25" s="1" t="s">
        <v>39</v>
      </c>
    </row>
    <row r="26" spans="2:6" x14ac:dyDescent="0.25">
      <c r="C26" s="106" t="s">
        <v>26</v>
      </c>
      <c r="D26" s="106" t="s">
        <v>32</v>
      </c>
      <c r="E26" s="10" t="s">
        <v>492</v>
      </c>
      <c r="F26" s="10" t="s">
        <v>493</v>
      </c>
    </row>
    <row r="27" spans="2:6" x14ac:dyDescent="0.25">
      <c r="C27" s="108">
        <v>1</v>
      </c>
      <c r="D27" s="41" t="s">
        <v>312</v>
      </c>
      <c r="E27" s="107">
        <v>2</v>
      </c>
      <c r="F27" s="108">
        <v>0</v>
      </c>
    </row>
    <row r="28" spans="2:6" x14ac:dyDescent="0.25">
      <c r="C28" s="108">
        <v>2</v>
      </c>
      <c r="D28" s="41" t="s">
        <v>313</v>
      </c>
      <c r="E28" s="107">
        <v>1</v>
      </c>
      <c r="F28" s="108">
        <v>0</v>
      </c>
    </row>
    <row r="29" spans="2:6" x14ac:dyDescent="0.25">
      <c r="C29" s="108">
        <v>3</v>
      </c>
      <c r="D29" s="41" t="s">
        <v>314</v>
      </c>
      <c r="E29" s="108">
        <v>1</v>
      </c>
      <c r="F29" s="108">
        <v>0</v>
      </c>
    </row>
    <row r="30" spans="2:6" x14ac:dyDescent="0.25">
      <c r="C30" s="108">
        <v>4</v>
      </c>
      <c r="D30" s="41" t="s">
        <v>315</v>
      </c>
      <c r="E30" s="108">
        <v>0</v>
      </c>
      <c r="F30" s="108">
        <v>0</v>
      </c>
    </row>
    <row r="32" spans="2:6" x14ac:dyDescent="0.25">
      <c r="B32" s="1" t="s">
        <v>40</v>
      </c>
    </row>
    <row r="33" spans="2:6" x14ac:dyDescent="0.25">
      <c r="C33" s="106" t="s">
        <v>26</v>
      </c>
      <c r="D33" s="106" t="s">
        <v>32</v>
      </c>
      <c r="E33" s="10" t="s">
        <v>42</v>
      </c>
      <c r="F33" s="10" t="s">
        <v>43</v>
      </c>
    </row>
    <row r="34" spans="2:6" x14ac:dyDescent="0.25">
      <c r="C34" s="108">
        <v>1</v>
      </c>
      <c r="D34" s="41" t="s">
        <v>312</v>
      </c>
      <c r="E34" s="107" t="s">
        <v>67</v>
      </c>
      <c r="F34" s="107" t="s">
        <v>67</v>
      </c>
    </row>
    <row r="35" spans="2:6" x14ac:dyDescent="0.25">
      <c r="C35" s="108">
        <v>2</v>
      </c>
      <c r="D35" s="41" t="s">
        <v>313</v>
      </c>
      <c r="E35" s="107" t="s">
        <v>67</v>
      </c>
      <c r="F35" s="107" t="s">
        <v>67</v>
      </c>
    </row>
    <row r="36" spans="2:6" x14ac:dyDescent="0.25">
      <c r="C36" s="108">
        <v>3</v>
      </c>
      <c r="D36" s="41" t="s">
        <v>314</v>
      </c>
      <c r="E36" s="107">
        <v>10</v>
      </c>
      <c r="F36" s="110" t="s">
        <v>740</v>
      </c>
    </row>
    <row r="37" spans="2:6" x14ac:dyDescent="0.25">
      <c r="C37" s="108">
        <v>4</v>
      </c>
      <c r="D37" s="41" t="s">
        <v>315</v>
      </c>
      <c r="E37" s="107" t="s">
        <v>67</v>
      </c>
      <c r="F37" s="107" t="s">
        <v>67</v>
      </c>
    </row>
    <row r="38" spans="2:6" x14ac:dyDescent="0.25">
      <c r="C38" s="42"/>
      <c r="D38" s="42"/>
      <c r="E38" s="43"/>
      <c r="F38" s="42"/>
    </row>
    <row r="40" spans="2:6" x14ac:dyDescent="0.25">
      <c r="B40" s="1" t="s">
        <v>45</v>
      </c>
    </row>
    <row r="41" spans="2:6" x14ac:dyDescent="0.25">
      <c r="C41" s="1" t="s">
        <v>47</v>
      </c>
    </row>
    <row r="42" spans="2:6" x14ac:dyDescent="0.25">
      <c r="D42" t="s">
        <v>46</v>
      </c>
    </row>
    <row r="43" spans="2:6" x14ac:dyDescent="0.25">
      <c r="D43" t="s">
        <v>214</v>
      </c>
    </row>
    <row r="44" spans="2:6" x14ac:dyDescent="0.25">
      <c r="C44" s="1" t="s">
        <v>48</v>
      </c>
    </row>
    <row r="45" spans="2:6" x14ac:dyDescent="0.25">
      <c r="D45" t="s">
        <v>49</v>
      </c>
    </row>
    <row r="46" spans="2:6" x14ac:dyDescent="0.25">
      <c r="D46" t="s">
        <v>50</v>
      </c>
    </row>
  </sheetData>
  <customSheetViews>
    <customSheetView guid="{250915DF-0B97-45D7-B29D-7EED4C89C1C1}" scale="85">
      <selection activeCell="K21" sqref="K21"/>
      <pageMargins left="0.7" right="0.7" top="0.75" bottom="0.75" header="0.3" footer="0.3"/>
      <pageSetup orientation="portrait" horizontalDpi="300" verticalDpi="0" r:id="rId1"/>
    </customSheetView>
    <customSheetView guid="{D33AC7AF-C8AB-4CE9-94C7-9237011A5FC3}" scale="85">
      <selection activeCell="K21" sqref="K21"/>
      <pageMargins left="0.7" right="0.7" top="0.75" bottom="0.75" header="0.3" footer="0.3"/>
      <pageSetup orientation="portrait" horizontalDpi="300" verticalDpi="0" r:id="rId2"/>
    </customSheetView>
    <customSheetView guid="{336B6883-2145-4B58-921E-CEC7185A847E}" scale="85">
      <selection activeCell="K21" sqref="K21"/>
      <pageMargins left="0.7" right="0.7" top="0.75" bottom="0.75" header="0.3" footer="0.3"/>
      <pageSetup orientation="portrait" horizontalDpi="300" verticalDpi="0" r:id="rId3"/>
    </customSheetView>
    <customSheetView guid="{A2C66332-A809-458E-971B-FDB6D62C74C3}" scale="85">
      <selection activeCell="K21" sqref="K21"/>
      <pageMargins left="0.7" right="0.7" top="0.75" bottom="0.75" header="0.3" footer="0.3"/>
      <pageSetup orientation="portrait" horizontalDpi="300" verticalDpi="0" r:id="rId4"/>
    </customSheetView>
    <customSheetView guid="{7ECC2B8E-6A82-42F5-8AB0-4A51C54EA5EC}" scale="85">
      <selection activeCell="K21" sqref="K21"/>
      <pageMargins left="0.7" right="0.7" top="0.75" bottom="0.75" header="0.3" footer="0.3"/>
      <pageSetup orientation="portrait" horizontalDpi="300" verticalDpi="0" r:id="rId5"/>
    </customSheetView>
    <customSheetView guid="{72A6EB0A-84D5-4B8A-AC51-54CCD061630B}" scale="85">
      <selection sqref="A1:H46"/>
      <pageMargins left="0.7" right="0.7" top="0.75" bottom="0.75" header="0.3" footer="0.3"/>
      <pageSetup orientation="portrait" horizontalDpi="300" verticalDpi="0" r:id="rId6"/>
    </customSheetView>
    <customSheetView guid="{3B3E6719-EACB-4D2C-89C1-05FFAB6020FD}" scale="85">
      <selection activeCell="K21" sqref="K21"/>
      <pageMargins left="0.7" right="0.7" top="0.75" bottom="0.75" header="0.3" footer="0.3"/>
      <pageSetup orientation="portrait" horizontalDpi="300" verticalDpi="0" r:id="rId7"/>
    </customSheetView>
  </customSheetViews>
  <conditionalFormatting sqref="H8:H9">
    <cfRule type="cellIs" dxfId="107" priority="5" operator="equal">
      <formula>1</formula>
    </cfRule>
    <cfRule type="cellIs" dxfId="106" priority="6" operator="lessThan">
      <formula>1</formula>
    </cfRule>
  </conditionalFormatting>
  <conditionalFormatting sqref="O8:O9">
    <cfRule type="cellIs" dxfId="105" priority="3" operator="equal">
      <formula>1</formula>
    </cfRule>
    <cfRule type="cellIs" dxfId="104" priority="4" operator="lessThan">
      <formula>1</formula>
    </cfRule>
  </conditionalFormatting>
  <conditionalFormatting sqref="V8:V9">
    <cfRule type="cellIs" dxfId="103" priority="1" operator="equal">
      <formula>1</formula>
    </cfRule>
    <cfRule type="cellIs" dxfId="102" priority="2" operator="lessThan">
      <formula>1</formula>
    </cfRule>
  </conditionalFormatting>
  <pageMargins left="0.7" right="0.7" top="0.75" bottom="0.75" header="0.3" footer="0.3"/>
  <pageSetup orientation="portrait" horizontalDpi="300" verticalDpi="0" r:id="rId8"/>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2:E38"/>
  <sheetViews>
    <sheetView workbookViewId="0">
      <selection activeCell="D3" sqref="D3"/>
    </sheetView>
  </sheetViews>
  <sheetFormatPr defaultRowHeight="15" x14ac:dyDescent="0.25"/>
  <cols>
    <col min="2" max="2" width="11.7109375" bestFit="1" customWidth="1"/>
    <col min="3" max="3" width="18.7109375" bestFit="1" customWidth="1"/>
    <col min="4" max="4" width="20.140625" customWidth="1"/>
    <col min="5" max="5" width="33.85546875" customWidth="1"/>
  </cols>
  <sheetData>
    <row r="2" spans="2:5" x14ac:dyDescent="0.25">
      <c r="B2" s="11" t="s">
        <v>11</v>
      </c>
    </row>
    <row r="3" spans="2:5" x14ac:dyDescent="0.25">
      <c r="B3" s="2" t="s">
        <v>4</v>
      </c>
      <c r="C3" s="12" t="s">
        <v>2</v>
      </c>
      <c r="D3" s="12" t="s">
        <v>3</v>
      </c>
    </row>
    <row r="4" spans="2:5" x14ac:dyDescent="0.25">
      <c r="B4" s="12">
        <v>1</v>
      </c>
      <c r="C4" s="13">
        <v>130</v>
      </c>
      <c r="D4" s="13">
        <v>450</v>
      </c>
    </row>
    <row r="6" spans="2:5" x14ac:dyDescent="0.25">
      <c r="B6" s="1" t="s">
        <v>51</v>
      </c>
    </row>
    <row r="7" spans="2:5" x14ac:dyDescent="0.25">
      <c r="B7" s="2" t="s">
        <v>0</v>
      </c>
      <c r="C7" s="2" t="s">
        <v>1</v>
      </c>
      <c r="D7" s="2" t="s">
        <v>56</v>
      </c>
      <c r="E7" s="4" t="s">
        <v>53</v>
      </c>
    </row>
    <row r="8" spans="2:5" ht="60" x14ac:dyDescent="0.25">
      <c r="B8" s="14">
        <v>1</v>
      </c>
      <c r="C8" s="14" t="s">
        <v>2</v>
      </c>
      <c r="D8" s="14" t="s">
        <v>54</v>
      </c>
      <c r="E8" s="15" t="s">
        <v>9</v>
      </c>
    </row>
    <row r="9" spans="2:5" ht="75" x14ac:dyDescent="0.25">
      <c r="B9" s="14">
        <v>2</v>
      </c>
      <c r="C9" s="14" t="s">
        <v>3</v>
      </c>
      <c r="D9" s="14" t="s">
        <v>55</v>
      </c>
      <c r="E9" s="15" t="s">
        <v>10</v>
      </c>
    </row>
    <row r="11" spans="2:5" x14ac:dyDescent="0.25">
      <c r="B11" s="1" t="s">
        <v>52</v>
      </c>
    </row>
    <row r="12" spans="2:5" x14ac:dyDescent="0.25">
      <c r="B12" s="2" t="s">
        <v>0</v>
      </c>
      <c r="C12" s="2" t="s">
        <v>5</v>
      </c>
      <c r="D12" s="2" t="s">
        <v>494</v>
      </c>
    </row>
    <row r="13" spans="2:5" x14ac:dyDescent="0.25">
      <c r="B13" s="3">
        <v>1</v>
      </c>
      <c r="C13" s="3" t="s">
        <v>6</v>
      </c>
      <c r="D13" s="2"/>
    </row>
    <row r="14" spans="2:5" x14ac:dyDescent="0.25">
      <c r="B14" s="3">
        <v>2</v>
      </c>
      <c r="C14" s="3" t="s">
        <v>70</v>
      </c>
      <c r="D14" s="3"/>
    </row>
    <row r="15" spans="2:5" x14ac:dyDescent="0.25">
      <c r="B15" s="3">
        <v>3</v>
      </c>
      <c r="C15" s="3" t="s">
        <v>71</v>
      </c>
      <c r="D15" s="3"/>
    </row>
    <row r="16" spans="2:5" x14ac:dyDescent="0.25">
      <c r="B16" s="3">
        <v>4</v>
      </c>
      <c r="C16" s="3" t="s">
        <v>72</v>
      </c>
      <c r="D16" s="3"/>
    </row>
    <row r="17" spans="2:5" x14ac:dyDescent="0.25">
      <c r="B17" s="3">
        <v>5</v>
      </c>
      <c r="C17" s="3" t="s">
        <v>73</v>
      </c>
      <c r="D17" s="3"/>
    </row>
    <row r="18" spans="2:5" x14ac:dyDescent="0.25">
      <c r="B18" s="3">
        <v>6</v>
      </c>
      <c r="C18" s="3" t="s">
        <v>74</v>
      </c>
      <c r="D18" s="3"/>
    </row>
    <row r="19" spans="2:5" x14ac:dyDescent="0.25">
      <c r="B19" s="3">
        <v>7</v>
      </c>
      <c r="C19" s="3" t="s">
        <v>75</v>
      </c>
      <c r="D19" s="3"/>
    </row>
    <row r="20" spans="2:5" x14ac:dyDescent="0.25">
      <c r="B20" s="3">
        <v>8</v>
      </c>
      <c r="C20" s="3" t="s">
        <v>76</v>
      </c>
      <c r="D20" s="3"/>
    </row>
    <row r="21" spans="2:5" x14ac:dyDescent="0.25">
      <c r="B21" s="3">
        <v>9</v>
      </c>
      <c r="C21" s="3" t="s">
        <v>931</v>
      </c>
      <c r="D21" s="3"/>
    </row>
    <row r="22" spans="2:5" x14ac:dyDescent="0.25">
      <c r="B22" s="3">
        <v>10</v>
      </c>
      <c r="C22" s="3" t="s">
        <v>932</v>
      </c>
      <c r="D22" s="3"/>
    </row>
    <row r="24" spans="2:5" x14ac:dyDescent="0.25">
      <c r="B24" s="11" t="s">
        <v>20</v>
      </c>
    </row>
    <row r="25" spans="2:5" x14ac:dyDescent="0.25">
      <c r="B25" s="2" t="s">
        <v>0</v>
      </c>
      <c r="C25" s="2" t="s">
        <v>18</v>
      </c>
    </row>
    <row r="26" spans="2:5" x14ac:dyDescent="0.25">
      <c r="B26" s="2">
        <v>1</v>
      </c>
      <c r="C26" s="3" t="s">
        <v>21</v>
      </c>
      <c r="E26" s="35"/>
    </row>
    <row r="27" spans="2:5" x14ac:dyDescent="0.25">
      <c r="B27" s="2">
        <v>2</v>
      </c>
      <c r="C27" s="3" t="s">
        <v>24</v>
      </c>
    </row>
    <row r="28" spans="2:5" x14ac:dyDescent="0.25">
      <c r="B28" s="2">
        <v>3</v>
      </c>
      <c r="C28" s="3" t="s">
        <v>19</v>
      </c>
    </row>
    <row r="29" spans="2:5" x14ac:dyDescent="0.25">
      <c r="B29" s="2">
        <v>4</v>
      </c>
      <c r="C29" s="3" t="s">
        <v>79</v>
      </c>
    </row>
    <row r="30" spans="2:5" x14ac:dyDescent="0.25">
      <c r="B30" s="2">
        <v>5</v>
      </c>
      <c r="C30" s="3" t="s">
        <v>22</v>
      </c>
    </row>
    <row r="31" spans="2:5" x14ac:dyDescent="0.25">
      <c r="B31" s="2">
        <v>6</v>
      </c>
      <c r="C31" s="3" t="s">
        <v>99</v>
      </c>
    </row>
    <row r="32" spans="2:5" x14ac:dyDescent="0.25">
      <c r="B32" s="2">
        <v>7</v>
      </c>
      <c r="C32" s="3" t="s">
        <v>80</v>
      </c>
    </row>
    <row r="34" spans="2:3" x14ac:dyDescent="0.25">
      <c r="B34" s="11" t="s">
        <v>1075</v>
      </c>
    </row>
    <row r="35" spans="2:3" x14ac:dyDescent="0.25">
      <c r="B35" s="2" t="s">
        <v>0</v>
      </c>
      <c r="C35" s="2" t="s">
        <v>18</v>
      </c>
    </row>
    <row r="36" spans="2:3" x14ac:dyDescent="0.25">
      <c r="B36" s="2">
        <v>1</v>
      </c>
      <c r="C36" s="3" t="s">
        <v>852</v>
      </c>
    </row>
    <row r="37" spans="2:3" x14ac:dyDescent="0.25">
      <c r="B37" s="2">
        <v>2</v>
      </c>
      <c r="C37" s="3" t="s">
        <v>1076</v>
      </c>
    </row>
    <row r="38" spans="2:3" x14ac:dyDescent="0.25">
      <c r="B38" s="2">
        <v>3</v>
      </c>
      <c r="C38" s="3" t="s">
        <v>1077</v>
      </c>
    </row>
  </sheetData>
  <customSheetViews>
    <customSheetView guid="{250915DF-0B97-45D7-B29D-7EED4C89C1C1}">
      <selection activeCell="D3" sqref="D3"/>
      <pageMargins left="0.7" right="0.7" top="0.75" bottom="0.75" header="0.3" footer="0.3"/>
    </customSheetView>
    <customSheetView guid="{D33AC7AF-C8AB-4CE9-94C7-9237011A5FC3}">
      <selection activeCell="C12" sqref="C12"/>
      <pageMargins left="0.7" right="0.7" top="0.75" bottom="0.75" header="0.3" footer="0.3"/>
    </customSheetView>
    <customSheetView guid="{336B6883-2145-4B58-921E-CEC7185A847E}" topLeftCell="A13">
      <selection activeCell="B24" sqref="B24:C29"/>
      <pageMargins left="0.7" right="0.7" top="0.75" bottom="0.75" header="0.3" footer="0.3"/>
    </customSheetView>
    <customSheetView guid="{A2C66332-A809-458E-971B-FDB6D62C74C3}">
      <selection activeCell="D3" sqref="D3"/>
      <pageMargins left="0.7" right="0.7" top="0.75" bottom="0.75" header="0.3" footer="0.3"/>
    </customSheetView>
    <customSheetView guid="{7ECC2B8E-6A82-42F5-8AB0-4A51C54EA5EC}" topLeftCell="A19">
      <selection activeCell="C39" sqref="C39"/>
      <pageMargins left="0.7" right="0.7" top="0.75" bottom="0.75" header="0.3" footer="0.3"/>
    </customSheetView>
    <customSheetView guid="{4E06BDBF-2CED-473B-850B-2A6C7311FF41}" topLeftCell="A13">
      <selection activeCell="B24" sqref="B24:C29"/>
      <pageMargins left="0.7" right="0.7" top="0.75" bottom="0.75" header="0.3" footer="0.3"/>
    </customSheetView>
    <customSheetView guid="{7E0EA425-A420-4443-B9E0-CDF0AA9E5D09}" topLeftCell="A13">
      <selection activeCell="B24" sqref="B24:C29"/>
      <pageMargins left="0.7" right="0.7" top="0.75" bottom="0.75" header="0.3" footer="0.3"/>
    </customSheetView>
    <customSheetView guid="{60D2C030-4E31-4E07-8E1C-44D2EE84B177}" topLeftCell="A19">
      <selection activeCell="B24" sqref="B24:C29"/>
      <pageMargins left="0.7" right="0.7" top="0.75" bottom="0.75" header="0.3" footer="0.3"/>
    </customSheetView>
    <customSheetView guid="{72A6EB0A-84D5-4B8A-AC51-54CCD061630B}" topLeftCell="A13">
      <selection activeCell="B24" sqref="B24:C29"/>
      <pageMargins left="0.7" right="0.7" top="0.75" bottom="0.75" header="0.3" footer="0.3"/>
    </customSheetView>
    <customSheetView guid="{3B3E6719-EACB-4D2C-89C1-05FFAB6020FD}">
      <selection activeCell="C12" sqref="C12"/>
      <pageMargins left="0.7" right="0.7" top="0.75" bottom="0.75" header="0.3" footer="0.3"/>
    </customSheetView>
  </customSheetView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39"/>
  <sheetViews>
    <sheetView workbookViewId="0">
      <selection activeCell="D14" sqref="D14"/>
    </sheetView>
  </sheetViews>
  <sheetFormatPr defaultRowHeight="15" x14ac:dyDescent="0.25"/>
  <cols>
    <col min="2" max="2" width="33.42578125" customWidth="1"/>
    <col min="3" max="3" width="82.140625" bestFit="1" customWidth="1"/>
    <col min="4" max="4" width="11.28515625" bestFit="1" customWidth="1"/>
    <col min="5" max="5" width="11.5703125" bestFit="1" customWidth="1"/>
  </cols>
  <sheetData>
    <row r="1" spans="1:6" x14ac:dyDescent="0.25">
      <c r="A1" s="1" t="s">
        <v>90</v>
      </c>
    </row>
    <row r="2" spans="1:6" x14ac:dyDescent="0.25">
      <c r="B2" s="32" t="s">
        <v>92</v>
      </c>
      <c r="C2" t="s">
        <v>93</v>
      </c>
    </row>
    <row r="3" spans="1:6" x14ac:dyDescent="0.25">
      <c r="B3" s="32" t="s">
        <v>95</v>
      </c>
      <c r="C3" t="s">
        <v>94</v>
      </c>
    </row>
    <row r="4" spans="1:6" x14ac:dyDescent="0.25">
      <c r="B4" s="32"/>
    </row>
    <row r="5" spans="1:6" x14ac:dyDescent="0.25">
      <c r="B5" s="31" t="s">
        <v>88</v>
      </c>
    </row>
    <row r="6" spans="1:6" x14ac:dyDescent="0.25">
      <c r="B6" s="32" t="s">
        <v>96</v>
      </c>
      <c r="C6" t="s">
        <v>97</v>
      </c>
    </row>
    <row r="7" spans="1:6" x14ac:dyDescent="0.25">
      <c r="B7" s="32"/>
    </row>
    <row r="8" spans="1:6" x14ac:dyDescent="0.25">
      <c r="B8" s="31" t="s">
        <v>89</v>
      </c>
      <c r="C8" t="s">
        <v>91</v>
      </c>
    </row>
    <row r="11" spans="1:6" x14ac:dyDescent="0.25">
      <c r="B11" s="37" t="s">
        <v>62</v>
      </c>
      <c r="C11" s="37" t="s">
        <v>8</v>
      </c>
      <c r="D11" s="37" t="s">
        <v>225</v>
      </c>
      <c r="E11" s="37" t="s">
        <v>226</v>
      </c>
      <c r="F11" s="37" t="s">
        <v>227</v>
      </c>
    </row>
    <row r="12" spans="1:6" x14ac:dyDescent="0.25">
      <c r="B12" s="38" t="s">
        <v>929</v>
      </c>
      <c r="C12" s="3" t="s">
        <v>228</v>
      </c>
      <c r="D12" s="3" t="s">
        <v>199</v>
      </c>
      <c r="E12" s="3">
        <v>0.65</v>
      </c>
      <c r="F12" s="3" t="s">
        <v>229</v>
      </c>
    </row>
    <row r="13" spans="1:6" x14ac:dyDescent="0.25">
      <c r="B13" s="39"/>
      <c r="C13" s="3" t="s">
        <v>230</v>
      </c>
      <c r="D13" s="17" t="s">
        <v>200</v>
      </c>
      <c r="E13" s="3">
        <v>1.6</v>
      </c>
      <c r="F13" s="3" t="s">
        <v>229</v>
      </c>
    </row>
    <row r="14" spans="1:6" x14ac:dyDescent="0.25">
      <c r="B14" s="39"/>
      <c r="C14" s="3" t="s">
        <v>231</v>
      </c>
      <c r="D14" s="17" t="s">
        <v>198</v>
      </c>
      <c r="E14" s="3">
        <v>0.75</v>
      </c>
      <c r="F14" s="3" t="s">
        <v>229</v>
      </c>
    </row>
    <row r="15" spans="1:6" x14ac:dyDescent="0.25">
      <c r="B15" s="40"/>
      <c r="C15" s="3" t="s">
        <v>232</v>
      </c>
      <c r="D15" s="17" t="s">
        <v>651</v>
      </c>
      <c r="E15" s="3">
        <v>1.2</v>
      </c>
      <c r="F15" s="3" t="s">
        <v>229</v>
      </c>
    </row>
    <row r="18" spans="1:1" x14ac:dyDescent="0.25">
      <c r="A18" s="1" t="s">
        <v>309</v>
      </c>
    </row>
    <row r="38" spans="2:2" x14ac:dyDescent="0.25">
      <c r="B38" t="s">
        <v>310</v>
      </c>
    </row>
    <row r="39" spans="2:2" x14ac:dyDescent="0.25">
      <c r="B39" t="s">
        <v>311</v>
      </c>
    </row>
  </sheetData>
  <customSheetViews>
    <customSheetView guid="{250915DF-0B97-45D7-B29D-7EED4C89C1C1}">
      <selection activeCell="D14" sqref="D14"/>
      <pageMargins left="0.7" right="0.7" top="0.75" bottom="0.75" header="0.3" footer="0.3"/>
    </customSheetView>
    <customSheetView guid="{D33AC7AF-C8AB-4CE9-94C7-9237011A5FC3}">
      <selection activeCell="D14" sqref="D14"/>
      <pageMargins left="0.7" right="0.7" top="0.75" bottom="0.75" header="0.3" footer="0.3"/>
    </customSheetView>
    <customSheetView guid="{336B6883-2145-4B58-921E-CEC7185A847E}">
      <selection activeCell="B6" sqref="B6:C6"/>
      <pageMargins left="0.7" right="0.7" top="0.75" bottom="0.75" header="0.3" footer="0.3"/>
    </customSheetView>
    <customSheetView guid="{A2C66332-A809-458E-971B-FDB6D62C74C3}">
      <selection activeCell="D14" sqref="D14"/>
      <pageMargins left="0.7" right="0.7" top="0.75" bottom="0.75" header="0.3" footer="0.3"/>
    </customSheetView>
    <customSheetView guid="{7ECC2B8E-6A82-42F5-8AB0-4A51C54EA5EC}">
      <selection activeCell="C12" sqref="C12"/>
      <pageMargins left="0.7" right="0.7" top="0.75" bottom="0.75" header="0.3" footer="0.3"/>
    </customSheetView>
    <customSheetView guid="{4E06BDBF-2CED-473B-850B-2A6C7311FF41}">
      <selection activeCell="B6" sqref="B6:C6"/>
      <pageMargins left="0.7" right="0.7" top="0.75" bottom="0.75" header="0.3" footer="0.3"/>
    </customSheetView>
    <customSheetView guid="{7E0EA425-A420-4443-B9E0-CDF0AA9E5D09}">
      <selection activeCell="B6" sqref="B6:C6"/>
      <pageMargins left="0.7" right="0.7" top="0.75" bottom="0.75" header="0.3" footer="0.3"/>
    </customSheetView>
    <customSheetView guid="{60D2C030-4E31-4E07-8E1C-44D2EE84B177}">
      <pageMargins left="0.7" right="0.7" top="0.75" bottom="0.75" header="0.3" footer="0.3"/>
    </customSheetView>
    <customSheetView guid="{72A6EB0A-84D5-4B8A-AC51-54CCD061630B}">
      <selection activeCell="B6" sqref="B6:C6"/>
      <pageMargins left="0.7" right="0.7" top="0.75" bottom="0.75" header="0.3" footer="0.3"/>
    </customSheetView>
    <customSheetView guid="{3B3E6719-EACB-4D2C-89C1-05FFAB6020FD}">
      <selection activeCell="D14" sqref="D14"/>
      <pageMargins left="0.7" right="0.7" top="0.75" bottom="0.75" header="0.3" footer="0.3"/>
    </customSheetView>
  </customSheetView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election activeCell="P30" sqref="P30"/>
    </sheetView>
  </sheetViews>
  <sheetFormatPr defaultRowHeight="15" x14ac:dyDescent="0.25"/>
  <sheetData/>
  <customSheetViews>
    <customSheetView guid="{250915DF-0B97-45D7-B29D-7EED4C89C1C1}">
      <selection activeCell="P30" sqref="P30"/>
      <pageMargins left="0.7" right="0.7" top="0.75" bottom="0.75" header="0.3" footer="0.3"/>
    </customSheetView>
    <customSheetView guid="{D33AC7AF-C8AB-4CE9-94C7-9237011A5FC3}">
      <selection activeCell="P30" sqref="P30"/>
      <pageMargins left="0.7" right="0.7" top="0.75" bottom="0.75" header="0.3" footer="0.3"/>
    </customSheetView>
    <customSheetView guid="{336B6883-2145-4B58-921E-CEC7185A847E}">
      <selection activeCell="P30" sqref="P30"/>
      <pageMargins left="0.7" right="0.7" top="0.75" bottom="0.75" header="0.3" footer="0.3"/>
    </customSheetView>
    <customSheetView guid="{A2C66332-A809-458E-971B-FDB6D62C74C3}">
      <selection activeCell="P30" sqref="P30"/>
      <pageMargins left="0.7" right="0.7" top="0.75" bottom="0.75" header="0.3" footer="0.3"/>
    </customSheetView>
    <customSheetView guid="{7ECC2B8E-6A82-42F5-8AB0-4A51C54EA5EC}">
      <selection activeCell="P30" sqref="P30"/>
      <pageMargins left="0.7" right="0.7" top="0.75" bottom="0.75" header="0.3" footer="0.3"/>
    </customSheetView>
    <customSheetView guid="{72A6EB0A-84D5-4B8A-AC51-54CCD061630B}">
      <selection activeCell="P30" sqref="P30"/>
      <pageMargins left="0.7" right="0.7" top="0.75" bottom="0.75" header="0.3" footer="0.3"/>
    </customSheetView>
    <customSheetView guid="{3B3E6719-EACB-4D2C-89C1-05FFAB6020FD}">
      <selection activeCell="P30" sqref="P30"/>
      <pageMargins left="0.7" right="0.7" top="0.75" bottom="0.75" header="0.3" footer="0.3"/>
    </customSheetView>
  </customSheetView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0000"/>
  </sheetPr>
  <dimension ref="A1:AK219"/>
  <sheetViews>
    <sheetView zoomScale="85" zoomScaleNormal="85" workbookViewId="0">
      <selection activeCell="J2" sqref="J2:P32"/>
    </sheetView>
  </sheetViews>
  <sheetFormatPr defaultRowHeight="15" x14ac:dyDescent="0.25"/>
  <cols>
    <col min="3" max="3" width="19.85546875" customWidth="1"/>
    <col min="4" max="4" width="11.5703125" customWidth="1"/>
    <col min="5" max="5" width="27.85546875" customWidth="1"/>
    <col min="6" max="6" width="19.5703125" customWidth="1"/>
    <col min="7" max="7" width="12.28515625" bestFit="1" customWidth="1"/>
    <col min="8" max="8" width="48.140625" bestFit="1" customWidth="1"/>
    <col min="9" max="9" width="16.7109375" customWidth="1"/>
    <col min="10" max="10" width="16.85546875" customWidth="1"/>
    <col min="11" max="11" width="19" customWidth="1"/>
    <col min="12" max="12" width="18" customWidth="1"/>
    <col min="13" max="13" width="27.5703125" customWidth="1"/>
    <col min="14" max="14" width="12.85546875" customWidth="1"/>
    <col min="15" max="15" width="8.42578125" customWidth="1"/>
    <col min="16" max="16" width="19.28515625" customWidth="1"/>
    <col min="17" max="17" width="18.28515625" customWidth="1"/>
    <col min="18" max="18" width="16" customWidth="1"/>
    <col min="19" max="19" width="13.5703125" customWidth="1"/>
    <col min="20" max="20" width="14.85546875" customWidth="1"/>
    <col min="21" max="21" width="12.85546875" bestFit="1" customWidth="1"/>
    <col min="22" max="22" width="14" customWidth="1"/>
    <col min="23" max="23" width="11.140625" bestFit="1" customWidth="1"/>
    <col min="24" max="24" width="19.28515625" bestFit="1" customWidth="1"/>
    <col min="25" max="25" width="18.28515625" bestFit="1" customWidth="1"/>
    <col min="26" max="26" width="16.5703125" bestFit="1" customWidth="1"/>
    <col min="27" max="27" width="14.28515625" bestFit="1" customWidth="1"/>
    <col min="28" max="28" width="13.85546875" bestFit="1" customWidth="1"/>
    <col min="29" max="29" width="17.140625" bestFit="1" customWidth="1"/>
    <col min="30" max="30" width="7.7109375" bestFit="1" customWidth="1"/>
    <col min="31" max="31" width="4.42578125" bestFit="1" customWidth="1"/>
    <col min="32" max="32" width="18.42578125" customWidth="1"/>
    <col min="33" max="33" width="12" bestFit="1" customWidth="1"/>
    <col min="34" max="34" width="13.5703125" bestFit="1" customWidth="1"/>
    <col min="35" max="36" width="44.42578125" bestFit="1" customWidth="1"/>
    <col min="37" max="37" width="39.85546875" customWidth="1"/>
  </cols>
  <sheetData>
    <row r="1" spans="1:8" x14ac:dyDescent="0.25">
      <c r="A1" s="1" t="s">
        <v>853</v>
      </c>
    </row>
    <row r="2" spans="1:8" x14ac:dyDescent="0.25">
      <c r="B2" s="1" t="s">
        <v>58</v>
      </c>
    </row>
    <row r="3" spans="1:8" x14ac:dyDescent="0.25">
      <c r="B3" s="2" t="s">
        <v>0</v>
      </c>
      <c r="C3" s="2" t="s">
        <v>8</v>
      </c>
      <c r="D3" s="2" t="s">
        <v>464</v>
      </c>
      <c r="E3" s="2" t="s">
        <v>59</v>
      </c>
      <c r="F3" s="2" t="s">
        <v>491</v>
      </c>
      <c r="G3" s="2" t="s">
        <v>23</v>
      </c>
      <c r="H3" s="4" t="s">
        <v>25</v>
      </c>
    </row>
    <row r="4" spans="1:8" x14ac:dyDescent="0.25">
      <c r="B4" s="3">
        <v>1</v>
      </c>
      <c r="C4" s="34" t="s">
        <v>6</v>
      </c>
      <c r="D4" s="73">
        <f>SUMIFS($T$50:$T$218,$D$50:$D$218,Table!$D$3,$P$50:$P$218,C4)</f>
        <v>1696.5</v>
      </c>
      <c r="E4" s="73">
        <f>SUMIFS($T$50:$T$218,$D$50:$D$218,Table!$D$3,$P$50:$P$218,C4)-SUM(SUMIFS($T$50:$T$218,$D$50:$D$218,Table!$D$3,$P$50:$P$218,C4,$X$50:$X$218,{"Ongoing","N/A",""}))</f>
        <v>1696.5</v>
      </c>
      <c r="F4" s="73">
        <f>1/8*(SUMIFS($W$50:$W$218,$D$50:$D$218,Table!$D$3,$P$50:$P$218,C4)-SUM(SUMIFS($W$50:$W$218,$D$50:$D$218,Table!$D$3,$P$50:$P$218,C4,$X$50:$X$218,{"Ongoing","N/A",""})))</f>
        <v>4.625</v>
      </c>
      <c r="G4" s="73">
        <f>IF(ISERROR(E4/(F4)),"N/A",E4/F4)</f>
        <v>366.81081081081084</v>
      </c>
      <c r="H4" s="74">
        <f>IF(ISERROR(E4/D4),"N/A",E4/D4)</f>
        <v>1</v>
      </c>
    </row>
    <row r="5" spans="1:8" x14ac:dyDescent="0.25">
      <c r="B5" s="3">
        <v>2</v>
      </c>
      <c r="C5" s="34" t="s">
        <v>70</v>
      </c>
      <c r="D5" s="73">
        <f>SUMIFS($T$50:$T$218,$D$50:$D$218,Table!$D$3,$P$50:$P$218,C5)</f>
        <v>2351.25</v>
      </c>
      <c r="E5" s="73">
        <f>SUMIFS($T$50:$T$218,$D$50:$D$218,Table!$D$3,$P$50:$P$218,C5)-SUM(SUMIFS($T$50:$T$218,$D$50:$D$218,Table!$D$3,$P$50:$P$218,C5,$X$50:$X$218,{"Ongoing","N/A",""}))</f>
        <v>2351.25</v>
      </c>
      <c r="F5" s="73">
        <f>1/8*(SUMIFS($W$50:$W$218,$D$50:$D$218,Table!$D$3,$P$50:$P$218,C5)-SUM(SUMIFS($W$50:$W$218,$D$50:$D$218,Table!$D$3,$P$50:$P$218,C5,$X$50:$X$218,{"Ongoing","N/A",""})))</f>
        <v>4</v>
      </c>
      <c r="G5" s="73">
        <f t="shared" ref="G5:G7" si="0">IF(ISERROR(E5/(F5)),"N/A",E5/F5)</f>
        <v>587.8125</v>
      </c>
      <c r="H5" s="74">
        <f t="shared" ref="H5:H10" si="1">IF(ISERROR(E5/D5),"N/A",E5/D5)</f>
        <v>1</v>
      </c>
    </row>
    <row r="6" spans="1:8" x14ac:dyDescent="0.25">
      <c r="B6" s="3">
        <v>3</v>
      </c>
      <c r="C6" s="34" t="s">
        <v>71</v>
      </c>
      <c r="D6" s="73">
        <f>SUMIFS($T$50:$T$218,$D$50:$D$218,Table!$D$3,$P$50:$P$218,C6)</f>
        <v>2119.5</v>
      </c>
      <c r="E6" s="73">
        <f>SUMIFS($T$50:$T$218,$D$50:$D$218,Table!$D$3,$P$50:$P$218,C6)-SUM(SUMIFS($T$50:$T$218,$D$50:$D$218,Table!$D$3,$P$50:$P$218,C6,$X$50:$X$218,{"Ongoing","N/A",""}))</f>
        <v>2119.5</v>
      </c>
      <c r="F6" s="73">
        <f>1/8*(SUMIFS($W$50:$W$218,$D$50:$D$218,Table!$D$3,$P$50:$P$218,C6)-SUM(SUMIFS($W$50:$W$218,$D$50:$D$218,Table!$D$3,$P$50:$P$218,C6,$X$50:$X$218,{"Ongoing","N/A",""})))</f>
        <v>4.75</v>
      </c>
      <c r="G6" s="73">
        <f t="shared" si="0"/>
        <v>446.21052631578948</v>
      </c>
      <c r="H6" s="74">
        <f t="shared" si="1"/>
        <v>1</v>
      </c>
    </row>
    <row r="7" spans="1:8" x14ac:dyDescent="0.25">
      <c r="B7" s="3">
        <v>4</v>
      </c>
      <c r="C7" s="34" t="s">
        <v>72</v>
      </c>
      <c r="D7" s="73">
        <f>SUMIFS($T$50:$T$218,$D$50:$D$218,Table!$D$3,$P$50:$P$218,C7)</f>
        <v>2155.5</v>
      </c>
      <c r="E7" s="73">
        <f>SUMIFS($T$50:$T$218,$D$50:$D$218,Table!$D$3,$P$50:$P$218,C7)-SUM(SUMIFS($T$50:$T$218,$D$50:$D$218,Table!$D$3,$P$50:$P$218,C7,$X$50:$X$218,{"Ongoing","N/A",""}))</f>
        <v>1683</v>
      </c>
      <c r="F7" s="73">
        <f>1/8*(SUMIFS($W$50:$W$218,$D$50:$D$218,Table!$D$3,$P$50:$P$218,C7)-SUM(SUMIFS($W$50:$W$218,$D$50:$D$218,Table!$D$3,$P$50:$P$218,C7,$X$50:$X$218,{"Ongoing","N/A",""})))</f>
        <v>3.25</v>
      </c>
      <c r="G7" s="73">
        <f t="shared" si="0"/>
        <v>517.84615384615381</v>
      </c>
      <c r="H7" s="74">
        <f t="shared" si="1"/>
        <v>0.78079331941544883</v>
      </c>
    </row>
    <row r="8" spans="1:8" x14ac:dyDescent="0.25">
      <c r="B8" s="3">
        <v>5</v>
      </c>
      <c r="C8" s="34" t="s">
        <v>931</v>
      </c>
      <c r="D8" s="73">
        <f>SUMIFS($T$50:$T$218,$D$50:$D$218,Table!$D$3,$P$50:$P$218,C8)</f>
        <v>292.5</v>
      </c>
      <c r="E8" s="73">
        <f>SUMIFS($T$50:$T$218,$D$50:$D$218,Table!$D$3,$P$50:$P$218,C8)-SUM(SUMIFS($T$50:$T$218,$D$50:$D$218,Table!$D$3,$P$50:$P$218,C8,$X$50:$X$218,{"Ongoing","N/A",""}))</f>
        <v>292.5</v>
      </c>
      <c r="F8" s="73">
        <f>1/8*(SUMIFS($W$50:$W$218,$D$50:$D$218,Table!$D$3,$P$50:$P$218,C8)-SUM(SUMIFS($W$50:$W$218,$D$50:$D$218,Table!$D$3,$P$50:$P$218,C8,$X$50:$X$218,{"Ongoing","N/A",""})))</f>
        <v>0.625</v>
      </c>
      <c r="G8" s="73">
        <f t="shared" ref="G8:G9" si="2">IF(ISERROR(E8/(F8)),"N/A",E8/F8)</f>
        <v>468</v>
      </c>
      <c r="H8" s="74">
        <f t="shared" ref="H8:H9" si="3">IF(ISERROR(E8/D8),"N/A",E8/D8)</f>
        <v>1</v>
      </c>
    </row>
    <row r="9" spans="1:8" x14ac:dyDescent="0.25">
      <c r="B9" s="3">
        <v>6</v>
      </c>
      <c r="C9" s="34" t="s">
        <v>932</v>
      </c>
      <c r="D9" s="73">
        <f>SUMIFS($T$50:$T$218,$D$50:$D$218,Table!$D$3,$P$50:$P$218,C9)</f>
        <v>247.5</v>
      </c>
      <c r="E9" s="73">
        <f>SUMIFS($T$50:$T$218,$D$50:$D$218,Table!$D$3,$P$50:$P$218,C9)-SUM(SUMIFS($T$50:$T$218,$D$50:$D$218,Table!$D$3,$P$50:$P$218,C9,$X$50:$X$218,{"Ongoing","N/A",""}))</f>
        <v>0</v>
      </c>
      <c r="F9" s="73">
        <f>1/8*(SUMIFS($W$50:$W$218,$D$50:$D$218,Table!$D$3,$P$50:$P$218,C9)-SUM(SUMIFS($W$50:$W$218,$D$50:$D$218,Table!$D$3,$P$50:$P$218,C9,$X$50:$X$218,{"Ongoing","N/A",""})))</f>
        <v>0</v>
      </c>
      <c r="G9" s="73" t="str">
        <f t="shared" si="2"/>
        <v>N/A</v>
      </c>
      <c r="H9" s="74">
        <f t="shared" si="3"/>
        <v>0</v>
      </c>
    </row>
    <row r="10" spans="1:8" x14ac:dyDescent="0.25">
      <c r="B10" s="2" t="s">
        <v>284</v>
      </c>
      <c r="C10" s="33"/>
      <c r="D10" s="75">
        <f>SUMIFS($T$50:$T$218,$D$50:$D$218,Table!$D$3)</f>
        <v>8862.75</v>
      </c>
      <c r="E10" s="75">
        <f>SUMIFS($T$50:$T$218,$D$50:$D$218,Table!$D$3)-SUM(SUMIFS($T$50:$T$218,$D$50:$D$218,Table!$D$3,$X$50:$X$218,{"Ongoing","N/A",""}))</f>
        <v>8142.75</v>
      </c>
      <c r="F10" s="75">
        <f>1/8*(SUMIFS($W$50:$W$218,$D$50:$D$218,Table!$D$3)-SUM(SUMIFS($W$50:$W$218,$D$50:$D$218,Table!$D$3,$X$50:$X$218,{"Ongoing","N/A",""})))</f>
        <v>17.25</v>
      </c>
      <c r="G10" s="73">
        <f>IF(ISERROR(E10/(F10)),"N/A",E10/F10)</f>
        <v>472.04347826086956</v>
      </c>
      <c r="H10" s="74">
        <f t="shared" si="1"/>
        <v>0.91876110687991874</v>
      </c>
    </row>
    <row r="13" spans="1:8" x14ac:dyDescent="0.25">
      <c r="B13" s="1" t="s">
        <v>57</v>
      </c>
    </row>
    <row r="14" spans="1:8" x14ac:dyDescent="0.25">
      <c r="B14" s="2" t="s">
        <v>0</v>
      </c>
      <c r="C14" s="2" t="s">
        <v>8</v>
      </c>
      <c r="D14" s="2" t="s">
        <v>464</v>
      </c>
      <c r="E14" s="2" t="s">
        <v>59</v>
      </c>
      <c r="F14" s="2" t="s">
        <v>491</v>
      </c>
      <c r="G14" s="2" t="s">
        <v>23</v>
      </c>
      <c r="H14" s="4" t="s">
        <v>25</v>
      </c>
    </row>
    <row r="15" spans="1:8" x14ac:dyDescent="0.25">
      <c r="B15" s="3">
        <v>1</v>
      </c>
      <c r="C15" s="34" t="s">
        <v>6</v>
      </c>
      <c r="D15" s="73">
        <f>SUMIFS($T$50:$T$218,$D$50:$D$218,Table!$C$3,$P$50:$P$218,C15)</f>
        <v>1063.2420000000002</v>
      </c>
      <c r="E15" s="73">
        <f>SUMIFS($U$50:$U$218,$D$50:$D$218,Table!$C$3,$P$50:$P$218,C15)-SUM(SUMIFS($U$50:$U$218,$D$50:$D$218,Table!$C$3,$P$50:$P$218,C15,$X$50:$X$218,{"Ongoing","N/A",""}))</f>
        <v>1063.2420000000002</v>
      </c>
      <c r="F15" s="73">
        <f>1/8*(SUMIFS($W$50:$W$218,$D$50:$D$218,Table!$C$3,$P$50:$P$218,C15)-SUM(SUMIFS($W$50:$W$218,$D$50:$D$218,Table!$C$3,$P$50:$P$218,C15,$X$50:$X$218,{"Ongoing","N/A",""})))</f>
        <v>8</v>
      </c>
      <c r="G15" s="73">
        <f>IF(ISERROR(E15/(F15)),"N/A",E15/F15)</f>
        <v>132.90525000000002</v>
      </c>
      <c r="H15" s="74">
        <f>IF(ISERROR(E15/D15),"N/A",E15/D15)</f>
        <v>1</v>
      </c>
    </row>
    <row r="16" spans="1:8" x14ac:dyDescent="0.25">
      <c r="B16" s="3">
        <v>2</v>
      </c>
      <c r="C16" s="34" t="s">
        <v>70</v>
      </c>
      <c r="D16" s="73">
        <f>SUMIFS($T$50:$T$218,$D$50:$D$218,Table!$C$3,$P$50:$P$218,C16)</f>
        <v>1122.6370000000002</v>
      </c>
      <c r="E16" s="73">
        <f>SUMIFS($U$50:$U$218,$D$50:$D$218,Table!$C$3,$P$50:$P$218,C16)-SUM(SUMIFS($U$50:$U$218,$D$50:$D$218,Table!$C$3,$P$50:$P$218,C16,$X$50:$X$218,{"Ongoing","N/A",""}))</f>
        <v>1122.6370000000002</v>
      </c>
      <c r="F16" s="73">
        <f>1/8*(SUMIFS($W$50:$W$218,$D$50:$D$218,Table!$C$3,$P$50:$P$218,C16)-SUM(SUMIFS($W$50:$W$218,$D$50:$D$218,Table!$C$3,$P$50:$P$218,C16,$X$50:$X$218,{"Ongoing","N/A",""})))</f>
        <v>6.3250000000000002</v>
      </c>
      <c r="G16" s="73">
        <f t="shared" ref="G16:G21" si="4">IF(ISERROR(E16/(F16)),"N/A",E16/F16)</f>
        <v>177.49201581027671</v>
      </c>
      <c r="H16" s="74">
        <f t="shared" ref="H16:H21" si="5">IF(ISERROR(E16/D16),"N/A",E16/D16)</f>
        <v>1</v>
      </c>
    </row>
    <row r="17" spans="2:20" x14ac:dyDescent="0.25">
      <c r="B17" s="3">
        <v>3</v>
      </c>
      <c r="C17" s="34" t="s">
        <v>71</v>
      </c>
      <c r="D17" s="73">
        <f>SUMIFS($T$50:$T$218,$D$50:$D$218,Table!$C$3,$P$50:$P$218,C17)</f>
        <v>1061.6160000000002</v>
      </c>
      <c r="E17" s="73">
        <f>SUMIFS($U$50:$U$218,$D$50:$D$218,Table!$C$3,$P$50:$P$218,C17)-SUM(SUMIFS($U$50:$U$218,$D$50:$D$218,Table!$C$3,$P$50:$P$218,C17,$X$50:$X$218,{"Ongoing","N/A",""}))</f>
        <v>1061.6160000000002</v>
      </c>
      <c r="F17" s="73">
        <f>1/8*(SUMIFS($W$50:$W$218,$D$50:$D$218,Table!$C$3,$P$50:$P$218,C17)-SUM(SUMIFS($W$50:$W$218,$D$50:$D$218,Table!$C$3,$P$50:$P$218,C17,$X$50:$X$218,{"Ongoing","N/A",""})))</f>
        <v>10.25</v>
      </c>
      <c r="G17" s="73">
        <f t="shared" si="4"/>
        <v>103.57229268292684</v>
      </c>
      <c r="H17" s="74">
        <f t="shared" si="5"/>
        <v>1</v>
      </c>
      <c r="T17" s="6"/>
    </row>
    <row r="18" spans="2:20" x14ac:dyDescent="0.25">
      <c r="B18" s="3">
        <v>4</v>
      </c>
      <c r="C18" s="34" t="s">
        <v>72</v>
      </c>
      <c r="D18" s="73">
        <f>SUMIFS($T$50:$T$218,$D$50:$D$218,Table!$C$3,$P$50:$P$218,C18)</f>
        <v>1072.3410000000001</v>
      </c>
      <c r="E18" s="73">
        <f>SUMIFS($U$50:$U$218,$D$50:$D$218,Table!$C$3,$P$50:$P$218,C18)-SUM(SUMIFS($U$50:$U$218,$D$50:$D$218,Table!$C$3,$P$50:$P$218,C18,$X$50:$X$218,{"Ongoing","N/A",""}))</f>
        <v>1072.3410000000001</v>
      </c>
      <c r="F18" s="73">
        <f>1/8*(SUMIFS($W$50:$W$218,$D$50:$D$218,Table!$C$3,$P$50:$P$218,C18)-SUM(SUMIFS($W$50:$W$218,$D$50:$D$218,Table!$C$3,$P$50:$P$218,C18,$X$50:$X$218,{"Ongoing","N/A",""})))</f>
        <v>5.5</v>
      </c>
      <c r="G18" s="73">
        <f t="shared" si="4"/>
        <v>194.97109090909092</v>
      </c>
      <c r="H18" s="74">
        <f t="shared" si="5"/>
        <v>1</v>
      </c>
      <c r="T18" s="6"/>
    </row>
    <row r="19" spans="2:20" x14ac:dyDescent="0.25">
      <c r="B19" s="3">
        <v>5</v>
      </c>
      <c r="C19" s="34" t="s">
        <v>931</v>
      </c>
      <c r="D19" s="73">
        <f>SUMIFS($T$50:$T$218,$D$50:$D$218,Table!$C$3,$P$50:$P$218,C19)</f>
        <v>0</v>
      </c>
      <c r="E19" s="73">
        <f>SUMIFS($U$50:$U$218,$D$50:$D$218,Table!$C$3,$P$50:$P$218,C19)-SUM(SUMIFS($U$50:$U$218,$D$50:$D$218,Table!$C$3,$P$50:$P$218,C19,$X$50:$X$218,{"Ongoing","N/A",""}))</f>
        <v>0</v>
      </c>
      <c r="F19" s="73">
        <f>1/8*(SUMIFS($W$50:$W$218,$D$50:$D$218,Table!$C$3,$P$50:$P$218,C19)-SUM(SUMIFS($W$50:$W$218,$D$50:$D$218,Table!$C$3,$P$50:$P$218,C19,$X$50:$X$218,{"Ongoing","N/A",""})))</f>
        <v>0</v>
      </c>
      <c r="G19" s="73" t="str">
        <f t="shared" ref="G19:G20" si="6">IF(ISERROR(E19/(F19)),"N/A",E19/F19)</f>
        <v>N/A</v>
      </c>
      <c r="H19" s="74" t="str">
        <f t="shared" ref="H19:H20" si="7">IF(ISERROR(E19/D19),"N/A",E19/D19)</f>
        <v>N/A</v>
      </c>
      <c r="T19" s="6"/>
    </row>
    <row r="20" spans="2:20" x14ac:dyDescent="0.25">
      <c r="B20" s="3">
        <v>6</v>
      </c>
      <c r="C20" s="34" t="s">
        <v>932</v>
      </c>
      <c r="D20" s="73">
        <f>SUMIFS($T$50:$T$218,$D$50:$D$218,Table!$C$3,$P$50:$P$218,C20)</f>
        <v>0</v>
      </c>
      <c r="E20" s="73">
        <f>SUMIFS($U$50:$U$218,$D$50:$D$218,Table!$C$3,$P$50:$P$218,C20)-SUM(SUMIFS($U$50:$U$218,$D$50:$D$218,Table!$C$3,$P$50:$P$218,C20,$X$50:$X$218,{"Ongoing","N/A",""}))</f>
        <v>0</v>
      </c>
      <c r="F20" s="73">
        <f>1/8*(SUMIFS($W$50:$W$218,$D$50:$D$218,Table!$C$3,$P$50:$P$218,C20)-SUM(SUMIFS($W$50:$W$218,$D$50:$D$218,Table!$C$3,$P$50:$P$218,C20,$X$50:$X$218,{"Ongoing","N/A",""})))</f>
        <v>0</v>
      </c>
      <c r="G20" s="73" t="str">
        <f t="shared" si="6"/>
        <v>N/A</v>
      </c>
      <c r="H20" s="74" t="str">
        <f t="shared" si="7"/>
        <v>N/A</v>
      </c>
      <c r="T20" s="6"/>
    </row>
    <row r="21" spans="2:20" x14ac:dyDescent="0.25">
      <c r="B21" s="2" t="s">
        <v>284</v>
      </c>
      <c r="C21" s="33"/>
      <c r="D21" s="75">
        <f>ROUND(SUMIFS($T$50:$T$218,$D$50:$D$218,Table!$C$3),3)</f>
        <v>4319.8360000000002</v>
      </c>
      <c r="E21" s="75">
        <f>ROUND(SUMIFS($T$50:$T$218,$D$50:$D$218,Table!$C$3)-SUM(SUMIFS($T$50:$T$218,$D$50:$D$218,Table!$C$3,$X$50:$X$218,{"Ongoing","N/A",""})),3)</f>
        <v>4319.8360000000002</v>
      </c>
      <c r="F21" s="75">
        <f>1/8*(SUMIFS($W$50:$W$218,$D$50:$D$218,Table!$C$3)-SUM(SUMIFS($W$50:$W$218,$D$50:$D$218,Table!$C$3,$X$50:$X$218,{"Ongoing","N/A",""})))</f>
        <v>30.074999999999999</v>
      </c>
      <c r="G21" s="73">
        <f t="shared" si="4"/>
        <v>143.63544472152952</v>
      </c>
      <c r="H21" s="74">
        <f t="shared" si="5"/>
        <v>1</v>
      </c>
      <c r="T21" s="6"/>
    </row>
    <row r="24" spans="2:20" x14ac:dyDescent="0.25">
      <c r="B24" s="1" t="s">
        <v>285</v>
      </c>
    </row>
    <row r="25" spans="2:20" x14ac:dyDescent="0.25">
      <c r="B25" s="2" t="s">
        <v>0</v>
      </c>
      <c r="C25" s="2" t="s">
        <v>8</v>
      </c>
      <c r="D25" s="2" t="s">
        <v>464</v>
      </c>
      <c r="E25" s="2" t="s">
        <v>59</v>
      </c>
      <c r="F25" s="2" t="s">
        <v>226</v>
      </c>
      <c r="G25" s="2" t="s">
        <v>23</v>
      </c>
      <c r="H25" s="4" t="s">
        <v>25</v>
      </c>
    </row>
    <row r="26" spans="2:20" x14ac:dyDescent="0.25">
      <c r="B26" s="3">
        <v>1</v>
      </c>
      <c r="C26" s="34" t="s">
        <v>6</v>
      </c>
      <c r="D26" s="73">
        <f>SUM(D15*Table!$D$4/Table!$C$4,D4)</f>
        <v>5376.9530769230769</v>
      </c>
      <c r="E26" s="73">
        <f>SUM(E15*Table!$D$4/Table!$C$4,E4)</f>
        <v>5376.9530769230769</v>
      </c>
      <c r="F26" s="73">
        <f ca="1">$C$47</f>
        <v>20</v>
      </c>
      <c r="G26" s="73">
        <f t="shared" ref="G26" ca="1" si="8">IF(ISERROR(E26/(F26)),"N/A",E26/F26)</f>
        <v>268.84765384615383</v>
      </c>
      <c r="H26" s="74">
        <f t="shared" ref="H26:H32" si="9">IF(ISERROR(E26/D26),"N/A",E26/D26)</f>
        <v>1</v>
      </c>
    </row>
    <row r="27" spans="2:20" x14ac:dyDescent="0.25">
      <c r="B27" s="3">
        <v>2</v>
      </c>
      <c r="C27" s="34" t="s">
        <v>70</v>
      </c>
      <c r="D27" s="73">
        <f>SUM(D16*Table!$D$4/Table!$C$4,D5)</f>
        <v>6237.3011538461542</v>
      </c>
      <c r="E27" s="73">
        <f>SUM(E16*Table!$D$4/Table!$C$4,E5)</f>
        <v>6237.3011538461542</v>
      </c>
      <c r="F27" s="73">
        <f ca="1">$C$47</f>
        <v>20</v>
      </c>
      <c r="G27" s="73">
        <f ca="1">IF(ISERROR(E27/(F27)),"N/A",E27/F27)</f>
        <v>311.86505769230769</v>
      </c>
      <c r="H27" s="74">
        <f t="shared" si="9"/>
        <v>1</v>
      </c>
    </row>
    <row r="28" spans="2:20" x14ac:dyDescent="0.25">
      <c r="B28" s="3">
        <v>3</v>
      </c>
      <c r="C28" s="34" t="s">
        <v>71</v>
      </c>
      <c r="D28" s="73">
        <f>SUM(D17*Table!$D$4/Table!$C$4,D6)</f>
        <v>5794.3246153846158</v>
      </c>
      <c r="E28" s="73">
        <f>SUM(E17*Table!$D$4/Table!$C$4,E6)</f>
        <v>5794.3246153846158</v>
      </c>
      <c r="F28" s="73">
        <f ca="1">$C$47</f>
        <v>20</v>
      </c>
      <c r="G28" s="73">
        <f t="shared" ref="G28" ca="1" si="10">IF(ISERROR(E28/(F28)),"N/A",E28/F28)</f>
        <v>289.71623076923078</v>
      </c>
      <c r="H28" s="74">
        <f t="shared" si="9"/>
        <v>1</v>
      </c>
    </row>
    <row r="29" spans="2:20" x14ac:dyDescent="0.25">
      <c r="B29" s="3">
        <v>4</v>
      </c>
      <c r="C29" s="34" t="s">
        <v>72</v>
      </c>
      <c r="D29" s="73">
        <f>SUM(D18*Table!$D$4/Table!$C$4,D7)</f>
        <v>5867.4496153846158</v>
      </c>
      <c r="E29" s="73">
        <f>SUM(E18*Table!$D$4/Table!$C$4,E7)</f>
        <v>5394.9496153846158</v>
      </c>
      <c r="F29" s="73">
        <f ca="1">$C$47</f>
        <v>20</v>
      </c>
      <c r="G29" s="73">
        <f ca="1">IF(ISERROR(E29/(F29)),"N/A",E29/F29)</f>
        <v>269.74748076923078</v>
      </c>
      <c r="H29" s="74">
        <f t="shared" si="9"/>
        <v>0.91947097444840564</v>
      </c>
    </row>
    <row r="30" spans="2:20" x14ac:dyDescent="0.25">
      <c r="B30" s="3">
        <v>5</v>
      </c>
      <c r="C30" s="34" t="s">
        <v>931</v>
      </c>
      <c r="D30" s="73">
        <f>SUM(D19*Table!$D$4/Table!$C$4,D8)</f>
        <v>292.5</v>
      </c>
      <c r="E30" s="73">
        <f>SUM(E19*Table!$D$4/Table!$C$4,E8)</f>
        <v>292.5</v>
      </c>
      <c r="F30" s="73">
        <f t="shared" ref="F30:F31" ca="1" si="11">$C$47</f>
        <v>20</v>
      </c>
      <c r="G30" s="73">
        <f t="shared" ref="G30:G31" ca="1" si="12">IF(ISERROR(E30/(F30)),"N/A",E30/F30)</f>
        <v>14.625</v>
      </c>
      <c r="H30" s="74">
        <f t="shared" ref="H30:H31" si="13">IF(ISERROR(E30/D30),"N/A",E30/D30)</f>
        <v>1</v>
      </c>
    </row>
    <row r="31" spans="2:20" x14ac:dyDescent="0.25">
      <c r="B31" s="3">
        <v>6</v>
      </c>
      <c r="C31" s="34" t="s">
        <v>932</v>
      </c>
      <c r="D31" s="73">
        <f>SUM(D20*Table!$D$4/Table!$C$4,D9)</f>
        <v>247.5</v>
      </c>
      <c r="E31" s="73">
        <f>SUM(E20*Table!$D$4/Table!$C$4,E9)</f>
        <v>0</v>
      </c>
      <c r="F31" s="73">
        <f t="shared" ca="1" si="11"/>
        <v>20</v>
      </c>
      <c r="G31" s="73">
        <f t="shared" ca="1" si="12"/>
        <v>0</v>
      </c>
      <c r="H31" s="74">
        <f t="shared" si="13"/>
        <v>0</v>
      </c>
    </row>
    <row r="32" spans="2:20" x14ac:dyDescent="0.25">
      <c r="B32" s="2" t="s">
        <v>284</v>
      </c>
      <c r="C32" s="33"/>
      <c r="D32" s="73">
        <f>SUM(D26:D29)</f>
        <v>23276.028461538463</v>
      </c>
      <c r="E32" s="73">
        <f>SUM(E26:E29)</f>
        <v>22803.528461538463</v>
      </c>
      <c r="F32" s="73">
        <f ca="1">$C$47*4</f>
        <v>80</v>
      </c>
      <c r="G32" s="73">
        <f ca="1">IF(ISERROR(E32/(F32)),"N/A",E32/F32)</f>
        <v>285.04410576923078</v>
      </c>
      <c r="H32" s="74">
        <f t="shared" si="9"/>
        <v>0.9797001451179369</v>
      </c>
    </row>
    <row r="35" spans="2:5" x14ac:dyDescent="0.25">
      <c r="B35" s="1" t="s">
        <v>45</v>
      </c>
    </row>
    <row r="36" spans="2:5" x14ac:dyDescent="0.25">
      <c r="C36" s="1" t="s">
        <v>47</v>
      </c>
    </row>
    <row r="37" spans="2:5" x14ac:dyDescent="0.25">
      <c r="D37" t="s">
        <v>46</v>
      </c>
    </row>
    <row r="38" spans="2:5" x14ac:dyDescent="0.25">
      <c r="D38" t="s">
        <v>214</v>
      </c>
    </row>
    <row r="39" spans="2:5" x14ac:dyDescent="0.25">
      <c r="C39" s="1" t="s">
        <v>48</v>
      </c>
    </row>
    <row r="40" spans="2:5" x14ac:dyDescent="0.25">
      <c r="D40" t="s">
        <v>49</v>
      </c>
    </row>
    <row r="41" spans="2:5" x14ac:dyDescent="0.25">
      <c r="D41" t="s">
        <v>50</v>
      </c>
    </row>
    <row r="44" spans="2:5" x14ac:dyDescent="0.25">
      <c r="B44" s="1" t="s">
        <v>44</v>
      </c>
      <c r="C44" s="65">
        <v>43911</v>
      </c>
      <c r="E44" s="65">
        <f ca="1">TODAY()</f>
        <v>43938</v>
      </c>
    </row>
    <row r="45" spans="2:5" x14ac:dyDescent="0.25">
      <c r="B45" s="1" t="s">
        <v>31</v>
      </c>
      <c r="C45" s="7">
        <f ca="1">SUM(INT((WEEKDAY(C44-{2,3,4,5,6}) +E44-C44)/7))</f>
        <v>20</v>
      </c>
    </row>
    <row r="46" spans="2:5" x14ac:dyDescent="0.25">
      <c r="B46" s="1" t="s">
        <v>739</v>
      </c>
      <c r="C46" s="7">
        <v>1</v>
      </c>
    </row>
    <row r="47" spans="2:5" x14ac:dyDescent="0.25">
      <c r="B47" s="1" t="s">
        <v>286</v>
      </c>
      <c r="C47">
        <f ca="1">IF(TODAY()&lt;E44,SUM(INT((WEEKDAY(C44-{2,3,4,5,6})+TODAY()-C44)/7)),SUM(INT((WEEKDAY(C44-{2,3,4,5,6})+E44-C44)/7)))</f>
        <v>20</v>
      </c>
    </row>
    <row r="49" spans="2:37" x14ac:dyDescent="0.25">
      <c r="B49" s="2" t="s">
        <v>0</v>
      </c>
      <c r="C49" s="2" t="s">
        <v>69</v>
      </c>
      <c r="D49" s="2" t="s">
        <v>1</v>
      </c>
      <c r="E49" s="2" t="s">
        <v>62</v>
      </c>
      <c r="F49" s="2" t="s">
        <v>63</v>
      </c>
      <c r="G49" s="2" t="s">
        <v>288</v>
      </c>
      <c r="H49" s="2" t="s">
        <v>64</v>
      </c>
      <c r="I49" s="2" t="s">
        <v>287</v>
      </c>
      <c r="J49" s="2" t="s">
        <v>78</v>
      </c>
      <c r="K49" s="2" t="s">
        <v>77</v>
      </c>
      <c r="L49" s="2" t="s">
        <v>68</v>
      </c>
      <c r="M49" s="2" t="s">
        <v>86</v>
      </c>
      <c r="N49" s="16" t="s">
        <v>61</v>
      </c>
      <c r="O49" s="4" t="s">
        <v>7</v>
      </c>
      <c r="P49" s="4" t="s">
        <v>8</v>
      </c>
      <c r="Q49" s="4" t="s">
        <v>84</v>
      </c>
      <c r="R49" s="4" t="s">
        <v>98</v>
      </c>
      <c r="S49" s="4" t="s">
        <v>81</v>
      </c>
      <c r="T49" s="4" t="s">
        <v>82</v>
      </c>
      <c r="U49" s="4" t="s">
        <v>59</v>
      </c>
      <c r="V49" s="4" t="s">
        <v>85</v>
      </c>
      <c r="W49" s="4" t="s">
        <v>60</v>
      </c>
      <c r="X49" s="4" t="s">
        <v>18</v>
      </c>
      <c r="Y49" s="4" t="s">
        <v>65</v>
      </c>
      <c r="Z49" s="4" t="s">
        <v>66</v>
      </c>
      <c r="AA49" s="2" t="s">
        <v>12</v>
      </c>
      <c r="AB49" s="2" t="s">
        <v>13</v>
      </c>
      <c r="AC49" s="2" t="s">
        <v>83</v>
      </c>
      <c r="AD49" s="2" t="s">
        <v>851</v>
      </c>
      <c r="AE49" s="2" t="s">
        <v>852</v>
      </c>
      <c r="AF49" s="2" t="s">
        <v>14</v>
      </c>
      <c r="AG49" s="2" t="s">
        <v>15</v>
      </c>
      <c r="AH49" s="4" t="s">
        <v>16</v>
      </c>
      <c r="AI49" s="4" t="s">
        <v>742</v>
      </c>
      <c r="AJ49" s="4" t="s">
        <v>741</v>
      </c>
      <c r="AK49" s="2" t="s">
        <v>87</v>
      </c>
    </row>
    <row r="50" spans="2:37" x14ac:dyDescent="0.25">
      <c r="B50" s="59">
        <v>70</v>
      </c>
      <c r="C50" s="23">
        <v>20200319</v>
      </c>
      <c r="D50" s="22" t="s">
        <v>2</v>
      </c>
      <c r="E50" s="22" t="s">
        <v>452</v>
      </c>
      <c r="F50" s="24" t="s">
        <v>67</v>
      </c>
      <c r="G50" s="22" t="s">
        <v>129</v>
      </c>
      <c r="H50" s="22" t="s">
        <v>341</v>
      </c>
      <c r="I50" s="22" t="s">
        <v>331</v>
      </c>
      <c r="J50" s="22" t="s">
        <v>67</v>
      </c>
      <c r="K50" s="22" t="s">
        <v>812</v>
      </c>
      <c r="L50" s="24" t="s">
        <v>411</v>
      </c>
      <c r="M50" s="24" t="s">
        <v>473</v>
      </c>
      <c r="N50" s="25" t="s">
        <v>570</v>
      </c>
      <c r="O50" s="23" t="s">
        <v>199</v>
      </c>
      <c r="P50" s="22" t="s">
        <v>6</v>
      </c>
      <c r="Q50" s="22"/>
      <c r="R50" s="22"/>
      <c r="S50" s="22"/>
      <c r="T50" s="22">
        <v>26.244</v>
      </c>
      <c r="U50" s="22">
        <v>26.244</v>
      </c>
      <c r="V50" s="22">
        <v>1.615</v>
      </c>
      <c r="W50" s="22">
        <v>4</v>
      </c>
      <c r="X50" s="22" t="s">
        <v>80</v>
      </c>
      <c r="Y50" s="26">
        <v>43910</v>
      </c>
      <c r="Z50" s="26">
        <v>43920</v>
      </c>
      <c r="AA50" s="26">
        <v>43910</v>
      </c>
      <c r="AB50" s="26">
        <v>43910</v>
      </c>
      <c r="AC50" s="26" t="s">
        <v>201</v>
      </c>
      <c r="AD50" s="28"/>
      <c r="AE50" s="28"/>
      <c r="AF50" s="52">
        <v>1</v>
      </c>
      <c r="AG50" s="52">
        <v>1</v>
      </c>
      <c r="AH50" s="52">
        <v>1</v>
      </c>
      <c r="AI50" s="22"/>
      <c r="AJ50" s="22"/>
      <c r="AK50" s="22"/>
    </row>
    <row r="51" spans="2:37" x14ac:dyDescent="0.25">
      <c r="B51" s="59">
        <v>71</v>
      </c>
      <c r="C51" s="23">
        <v>20200319</v>
      </c>
      <c r="D51" s="22" t="s">
        <v>2</v>
      </c>
      <c r="E51" s="22" t="s">
        <v>452</v>
      </c>
      <c r="F51" s="24" t="s">
        <v>67</v>
      </c>
      <c r="G51" s="22" t="s">
        <v>130</v>
      </c>
      <c r="H51" s="22" t="s">
        <v>342</v>
      </c>
      <c r="I51" s="22" t="s">
        <v>331</v>
      </c>
      <c r="J51" s="22" t="s">
        <v>67</v>
      </c>
      <c r="K51" s="22" t="s">
        <v>812</v>
      </c>
      <c r="L51" s="24" t="s">
        <v>412</v>
      </c>
      <c r="M51" s="24" t="s">
        <v>473</v>
      </c>
      <c r="N51" s="25" t="s">
        <v>571</v>
      </c>
      <c r="O51" s="23" t="s">
        <v>199</v>
      </c>
      <c r="P51" s="22" t="s">
        <v>6</v>
      </c>
      <c r="Q51" s="22"/>
      <c r="R51" s="22"/>
      <c r="S51" s="22"/>
      <c r="T51" s="22">
        <v>26.244</v>
      </c>
      <c r="U51" s="22">
        <v>26.244</v>
      </c>
      <c r="V51" s="22">
        <v>1.615</v>
      </c>
      <c r="W51" s="22">
        <v>2</v>
      </c>
      <c r="X51" s="22" t="s">
        <v>80</v>
      </c>
      <c r="Y51" s="26">
        <v>43910</v>
      </c>
      <c r="Z51" s="26">
        <v>43920</v>
      </c>
      <c r="AA51" s="26">
        <v>43910</v>
      </c>
      <c r="AB51" s="26">
        <v>43910</v>
      </c>
      <c r="AC51" s="26" t="s">
        <v>201</v>
      </c>
      <c r="AD51" s="28"/>
      <c r="AE51" s="28"/>
      <c r="AF51" s="52">
        <v>1</v>
      </c>
      <c r="AG51" s="52">
        <v>1</v>
      </c>
      <c r="AH51" s="52">
        <v>1</v>
      </c>
      <c r="AI51" s="22"/>
      <c r="AJ51" s="22"/>
      <c r="AK51" s="22"/>
    </row>
    <row r="52" spans="2:37" x14ac:dyDescent="0.25">
      <c r="B52" s="59">
        <v>72</v>
      </c>
      <c r="C52" s="23">
        <v>20200319</v>
      </c>
      <c r="D52" s="22" t="s">
        <v>2</v>
      </c>
      <c r="E52" s="22" t="s">
        <v>452</v>
      </c>
      <c r="F52" s="24" t="s">
        <v>67</v>
      </c>
      <c r="G52" s="22" t="s">
        <v>131</v>
      </c>
      <c r="H52" s="22" t="s">
        <v>343</v>
      </c>
      <c r="I52" s="22" t="s">
        <v>331</v>
      </c>
      <c r="J52" s="22" t="s">
        <v>67</v>
      </c>
      <c r="K52" s="22" t="s">
        <v>812</v>
      </c>
      <c r="L52" s="24" t="s">
        <v>412</v>
      </c>
      <c r="M52" s="24" t="s">
        <v>473</v>
      </c>
      <c r="N52" s="25" t="s">
        <v>572</v>
      </c>
      <c r="O52" s="23" t="s">
        <v>199</v>
      </c>
      <c r="P52" s="22" t="s">
        <v>6</v>
      </c>
      <c r="Q52" s="22"/>
      <c r="R52" s="22"/>
      <c r="S52" s="22"/>
      <c r="T52" s="22">
        <v>26.244</v>
      </c>
      <c r="U52" s="22">
        <v>26.244</v>
      </c>
      <c r="V52" s="22">
        <v>1.615</v>
      </c>
      <c r="W52" s="22">
        <v>2</v>
      </c>
      <c r="X52" s="22" t="s">
        <v>80</v>
      </c>
      <c r="Y52" s="26">
        <v>43910</v>
      </c>
      <c r="Z52" s="26">
        <v>43920</v>
      </c>
      <c r="AA52" s="26">
        <v>43910</v>
      </c>
      <c r="AB52" s="26">
        <v>43910</v>
      </c>
      <c r="AC52" s="26" t="s">
        <v>201</v>
      </c>
      <c r="AD52" s="28"/>
      <c r="AE52" s="28"/>
      <c r="AF52" s="52">
        <v>1</v>
      </c>
      <c r="AG52" s="52">
        <v>1</v>
      </c>
      <c r="AH52" s="52" t="s">
        <v>216</v>
      </c>
      <c r="AI52" s="22"/>
      <c r="AJ52" s="22"/>
      <c r="AK52" s="22"/>
    </row>
    <row r="53" spans="2:37" x14ac:dyDescent="0.25">
      <c r="B53" s="59">
        <v>73</v>
      </c>
      <c r="C53" s="23">
        <v>20200319</v>
      </c>
      <c r="D53" s="22" t="s">
        <v>2</v>
      </c>
      <c r="E53" s="22" t="s">
        <v>452</v>
      </c>
      <c r="F53" s="24" t="s">
        <v>67</v>
      </c>
      <c r="G53" s="22" t="s">
        <v>425</v>
      </c>
      <c r="H53" s="22" t="s">
        <v>344</v>
      </c>
      <c r="I53" s="22" t="s">
        <v>331</v>
      </c>
      <c r="J53" s="22" t="s">
        <v>67</v>
      </c>
      <c r="K53" s="22" t="s">
        <v>812</v>
      </c>
      <c r="L53" s="24" t="s">
        <v>412</v>
      </c>
      <c r="M53" s="24" t="s">
        <v>473</v>
      </c>
      <c r="N53" s="25" t="s">
        <v>573</v>
      </c>
      <c r="O53" s="23" t="s">
        <v>199</v>
      </c>
      <c r="P53" s="22" t="s">
        <v>6</v>
      </c>
      <c r="Q53" s="22"/>
      <c r="R53" s="22"/>
      <c r="S53" s="22"/>
      <c r="T53" s="22">
        <v>26.244</v>
      </c>
      <c r="U53" s="22">
        <v>26.244</v>
      </c>
      <c r="V53" s="22">
        <v>1.615</v>
      </c>
      <c r="W53" s="22">
        <v>4</v>
      </c>
      <c r="X53" s="22" t="s">
        <v>80</v>
      </c>
      <c r="Y53" s="26">
        <v>43910</v>
      </c>
      <c r="Z53" s="26">
        <v>43920</v>
      </c>
      <c r="AA53" s="26">
        <v>43913</v>
      </c>
      <c r="AB53" s="26">
        <v>43913</v>
      </c>
      <c r="AC53" s="26" t="s">
        <v>201</v>
      </c>
      <c r="AD53" s="28"/>
      <c r="AE53" s="28"/>
      <c r="AF53" s="52">
        <v>1</v>
      </c>
      <c r="AG53" s="52">
        <v>1</v>
      </c>
      <c r="AH53" s="52" t="s">
        <v>216</v>
      </c>
      <c r="AI53" s="22"/>
      <c r="AJ53" s="22"/>
      <c r="AK53" s="22"/>
    </row>
    <row r="54" spans="2:37" x14ac:dyDescent="0.25">
      <c r="B54" s="59">
        <v>74</v>
      </c>
      <c r="C54" s="23">
        <v>20200319</v>
      </c>
      <c r="D54" s="22" t="s">
        <v>2</v>
      </c>
      <c r="E54" s="22" t="s">
        <v>452</v>
      </c>
      <c r="F54" s="24" t="s">
        <v>67</v>
      </c>
      <c r="G54" s="22" t="s">
        <v>132</v>
      </c>
      <c r="H54" s="22" t="s">
        <v>345</v>
      </c>
      <c r="I54" s="22" t="s">
        <v>331</v>
      </c>
      <c r="J54" s="22" t="s">
        <v>67</v>
      </c>
      <c r="K54" s="22" t="s">
        <v>812</v>
      </c>
      <c r="L54" s="24" t="s">
        <v>412</v>
      </c>
      <c r="M54" s="24" t="s">
        <v>473</v>
      </c>
      <c r="N54" s="25" t="s">
        <v>574</v>
      </c>
      <c r="O54" s="23" t="s">
        <v>199</v>
      </c>
      <c r="P54" s="22" t="s">
        <v>6</v>
      </c>
      <c r="Q54" s="22"/>
      <c r="R54" s="22"/>
      <c r="S54" s="22"/>
      <c r="T54" s="22">
        <v>26.244</v>
      </c>
      <c r="U54" s="22">
        <v>26.244</v>
      </c>
      <c r="V54" s="22">
        <v>1.615</v>
      </c>
      <c r="W54" s="22">
        <v>2</v>
      </c>
      <c r="X54" s="22" t="s">
        <v>80</v>
      </c>
      <c r="Y54" s="26">
        <v>43910</v>
      </c>
      <c r="Z54" s="26">
        <v>43920</v>
      </c>
      <c r="AA54" s="26">
        <v>43913</v>
      </c>
      <c r="AB54" s="26">
        <v>43913</v>
      </c>
      <c r="AC54" s="26" t="s">
        <v>201</v>
      </c>
      <c r="AD54" s="28"/>
      <c r="AE54" s="28"/>
      <c r="AF54" s="52">
        <v>0.78900000000000003</v>
      </c>
      <c r="AG54" s="52">
        <v>0.82599999999999996</v>
      </c>
      <c r="AH54" s="52" t="s">
        <v>216</v>
      </c>
      <c r="AI54" s="22" t="s">
        <v>497</v>
      </c>
      <c r="AJ54" s="22"/>
      <c r="AK54" s="22"/>
    </row>
    <row r="55" spans="2:37" x14ac:dyDescent="0.25">
      <c r="B55" s="59">
        <v>75</v>
      </c>
      <c r="C55" s="23">
        <v>20200319</v>
      </c>
      <c r="D55" s="22" t="s">
        <v>2</v>
      </c>
      <c r="E55" s="22" t="s">
        <v>452</v>
      </c>
      <c r="F55" s="24" t="s">
        <v>67</v>
      </c>
      <c r="G55" s="22" t="s">
        <v>133</v>
      </c>
      <c r="H55" s="22" t="s">
        <v>346</v>
      </c>
      <c r="I55" s="22" t="s">
        <v>331</v>
      </c>
      <c r="J55" s="22" t="s">
        <v>67</v>
      </c>
      <c r="K55" s="22" t="s">
        <v>812</v>
      </c>
      <c r="L55" s="24" t="s">
        <v>412</v>
      </c>
      <c r="M55" s="24" t="s">
        <v>473</v>
      </c>
      <c r="N55" s="25" t="s">
        <v>575</v>
      </c>
      <c r="O55" s="23" t="s">
        <v>199</v>
      </c>
      <c r="P55" s="22" t="s">
        <v>6</v>
      </c>
      <c r="Q55" s="22"/>
      <c r="R55" s="22"/>
      <c r="S55" s="22"/>
      <c r="T55" s="22">
        <v>26.244</v>
      </c>
      <c r="U55" s="22">
        <v>26.244</v>
      </c>
      <c r="V55" s="22">
        <v>1.615</v>
      </c>
      <c r="W55" s="22">
        <v>2</v>
      </c>
      <c r="X55" s="22" t="s">
        <v>80</v>
      </c>
      <c r="Y55" s="26">
        <v>43910</v>
      </c>
      <c r="Z55" s="26">
        <v>43920</v>
      </c>
      <c r="AA55" s="26">
        <v>43913</v>
      </c>
      <c r="AB55" s="26">
        <v>43913</v>
      </c>
      <c r="AC55" s="26" t="s">
        <v>201</v>
      </c>
      <c r="AD55" s="28"/>
      <c r="AE55" s="28"/>
      <c r="AF55" s="52">
        <v>1</v>
      </c>
      <c r="AG55" s="52">
        <v>1</v>
      </c>
      <c r="AH55" s="52" t="s">
        <v>216</v>
      </c>
      <c r="AI55" s="22"/>
      <c r="AJ55" s="22"/>
      <c r="AK55" s="22"/>
    </row>
    <row r="56" spans="2:37" x14ac:dyDescent="0.25">
      <c r="B56" s="59">
        <v>76</v>
      </c>
      <c r="C56" s="23">
        <v>20200319</v>
      </c>
      <c r="D56" s="22" t="s">
        <v>2</v>
      </c>
      <c r="E56" s="22" t="s">
        <v>452</v>
      </c>
      <c r="F56" s="24" t="s">
        <v>67</v>
      </c>
      <c r="G56" s="22" t="s">
        <v>134</v>
      </c>
      <c r="H56" s="22" t="s">
        <v>347</v>
      </c>
      <c r="I56" s="22" t="s">
        <v>331</v>
      </c>
      <c r="J56" s="22" t="s">
        <v>67</v>
      </c>
      <c r="K56" s="22" t="s">
        <v>812</v>
      </c>
      <c r="L56" s="24" t="s">
        <v>412</v>
      </c>
      <c r="M56" s="24" t="s">
        <v>473</v>
      </c>
      <c r="N56" s="25" t="s">
        <v>576</v>
      </c>
      <c r="O56" s="23" t="s">
        <v>199</v>
      </c>
      <c r="P56" s="22" t="s">
        <v>6</v>
      </c>
      <c r="Q56" s="22"/>
      <c r="R56" s="22"/>
      <c r="S56" s="22"/>
      <c r="T56" s="22">
        <v>48.344000000000001</v>
      </c>
      <c r="U56" s="22">
        <v>48.344000000000001</v>
      </c>
      <c r="V56" s="22">
        <v>2.9750000000000001</v>
      </c>
      <c r="W56" s="22">
        <v>4</v>
      </c>
      <c r="X56" s="22" t="s">
        <v>80</v>
      </c>
      <c r="Y56" s="26">
        <v>43910</v>
      </c>
      <c r="Z56" s="26">
        <v>43920</v>
      </c>
      <c r="AA56" s="26">
        <v>43914</v>
      </c>
      <c r="AB56" s="26">
        <v>43914</v>
      </c>
      <c r="AC56" s="26" t="s">
        <v>201</v>
      </c>
      <c r="AD56" s="28"/>
      <c r="AE56" s="28"/>
      <c r="AF56" s="52">
        <v>1</v>
      </c>
      <c r="AG56" s="52">
        <v>1</v>
      </c>
      <c r="AH56" s="52">
        <v>1</v>
      </c>
      <c r="AI56" s="22"/>
      <c r="AJ56" s="22"/>
      <c r="AK56" s="22"/>
    </row>
    <row r="57" spans="2:37" x14ac:dyDescent="0.25">
      <c r="B57" s="59">
        <v>77</v>
      </c>
      <c r="C57" s="23">
        <v>20200319</v>
      </c>
      <c r="D57" s="22" t="s">
        <v>2</v>
      </c>
      <c r="E57" s="22" t="s">
        <v>452</v>
      </c>
      <c r="F57" s="24" t="s">
        <v>67</v>
      </c>
      <c r="G57" s="22" t="s">
        <v>135</v>
      </c>
      <c r="H57" s="22" t="s">
        <v>348</v>
      </c>
      <c r="I57" s="22" t="s">
        <v>331</v>
      </c>
      <c r="J57" s="22" t="s">
        <v>67</v>
      </c>
      <c r="K57" s="22" t="s">
        <v>812</v>
      </c>
      <c r="L57" s="24" t="s">
        <v>412</v>
      </c>
      <c r="M57" s="24" t="s">
        <v>473</v>
      </c>
      <c r="N57" s="25" t="s">
        <v>577</v>
      </c>
      <c r="O57" s="23" t="s">
        <v>199</v>
      </c>
      <c r="P57" s="22" t="s">
        <v>6</v>
      </c>
      <c r="Q57" s="22"/>
      <c r="R57" s="22"/>
      <c r="S57" s="22"/>
      <c r="T57" s="22">
        <v>70.444000000000003</v>
      </c>
      <c r="U57" s="22">
        <v>70.444000000000003</v>
      </c>
      <c r="V57" s="22">
        <v>4.335</v>
      </c>
      <c r="W57" s="22">
        <v>4</v>
      </c>
      <c r="X57" s="22" t="s">
        <v>80</v>
      </c>
      <c r="Y57" s="26">
        <v>43910</v>
      </c>
      <c r="Z57" s="26">
        <v>43920</v>
      </c>
      <c r="AA57" s="26">
        <v>43914</v>
      </c>
      <c r="AB57" s="26">
        <v>43914</v>
      </c>
      <c r="AC57" s="26" t="s">
        <v>201</v>
      </c>
      <c r="AD57" s="28"/>
      <c r="AE57" s="28"/>
      <c r="AF57" s="52">
        <v>0.872</v>
      </c>
      <c r="AG57" s="52">
        <v>0.88500000000000001</v>
      </c>
      <c r="AH57" s="52">
        <v>1</v>
      </c>
      <c r="AI57" s="22" t="s">
        <v>715</v>
      </c>
      <c r="AJ57" s="22"/>
      <c r="AK57" s="22"/>
    </row>
    <row r="58" spans="2:37" x14ac:dyDescent="0.25">
      <c r="B58" s="59">
        <v>78</v>
      </c>
      <c r="C58" s="23">
        <v>20200319</v>
      </c>
      <c r="D58" s="22" t="s">
        <v>2</v>
      </c>
      <c r="E58" s="22" t="s">
        <v>452</v>
      </c>
      <c r="F58" s="24" t="s">
        <v>67</v>
      </c>
      <c r="G58" s="22" t="s">
        <v>136</v>
      </c>
      <c r="H58" s="22" t="s">
        <v>349</v>
      </c>
      <c r="I58" s="22" t="s">
        <v>331</v>
      </c>
      <c r="J58" s="22" t="s">
        <v>67</v>
      </c>
      <c r="K58" s="22" t="s">
        <v>812</v>
      </c>
      <c r="L58" s="24" t="s">
        <v>412</v>
      </c>
      <c r="M58" s="24" t="s">
        <v>473</v>
      </c>
      <c r="N58" s="25" t="s">
        <v>578</v>
      </c>
      <c r="O58" s="23" t="s">
        <v>199</v>
      </c>
      <c r="P58" s="22" t="s">
        <v>6</v>
      </c>
      <c r="Q58" s="22"/>
      <c r="R58" s="22"/>
      <c r="S58" s="22"/>
      <c r="T58" s="22">
        <v>65</v>
      </c>
      <c r="U58" s="22">
        <v>65</v>
      </c>
      <c r="V58" s="78">
        <v>4</v>
      </c>
      <c r="W58" s="22">
        <v>4</v>
      </c>
      <c r="X58" s="22" t="s">
        <v>80</v>
      </c>
      <c r="Y58" s="26">
        <v>43910</v>
      </c>
      <c r="Z58" s="26">
        <v>43920</v>
      </c>
      <c r="AA58" s="26">
        <v>43915</v>
      </c>
      <c r="AB58" s="26">
        <v>43915</v>
      </c>
      <c r="AC58" s="26" t="s">
        <v>201</v>
      </c>
      <c r="AD58" s="28"/>
      <c r="AE58" s="28"/>
      <c r="AF58" s="52">
        <v>0.81</v>
      </c>
      <c r="AG58" s="52">
        <v>0.82</v>
      </c>
      <c r="AH58" s="52" t="s">
        <v>216</v>
      </c>
      <c r="AI58" s="22" t="s">
        <v>645</v>
      </c>
      <c r="AJ58" s="22"/>
      <c r="AK58" s="78" t="s">
        <v>644</v>
      </c>
    </row>
    <row r="59" spans="2:37" x14ac:dyDescent="0.25">
      <c r="B59" s="59">
        <v>79</v>
      </c>
      <c r="C59" s="23">
        <v>20200319</v>
      </c>
      <c r="D59" s="22" t="s">
        <v>2</v>
      </c>
      <c r="E59" s="22" t="s">
        <v>452</v>
      </c>
      <c r="F59" s="24" t="s">
        <v>67</v>
      </c>
      <c r="G59" s="22" t="s">
        <v>426</v>
      </c>
      <c r="H59" s="22" t="s">
        <v>350</v>
      </c>
      <c r="I59" s="22" t="s">
        <v>331</v>
      </c>
      <c r="J59" s="22" t="s">
        <v>67</v>
      </c>
      <c r="K59" s="22" t="s">
        <v>812</v>
      </c>
      <c r="L59" s="24" t="s">
        <v>413</v>
      </c>
      <c r="M59" s="24" t="s">
        <v>473</v>
      </c>
      <c r="N59" s="25" t="s">
        <v>579</v>
      </c>
      <c r="O59" s="23" t="s">
        <v>199</v>
      </c>
      <c r="P59" s="22" t="s">
        <v>6</v>
      </c>
      <c r="Q59" s="22"/>
      <c r="R59" s="22"/>
      <c r="S59" s="22"/>
      <c r="T59" s="22">
        <v>26.244</v>
      </c>
      <c r="U59" s="22">
        <v>26.244</v>
      </c>
      <c r="V59" s="22">
        <v>1.615</v>
      </c>
      <c r="W59" s="22">
        <v>2</v>
      </c>
      <c r="X59" s="22" t="s">
        <v>99</v>
      </c>
      <c r="Y59" s="26">
        <v>43910</v>
      </c>
      <c r="Z59" s="26">
        <v>43920</v>
      </c>
      <c r="AA59" s="26">
        <v>43915</v>
      </c>
      <c r="AB59" s="26">
        <v>43915</v>
      </c>
      <c r="AC59" s="26" t="s">
        <v>202</v>
      </c>
      <c r="AD59" s="28"/>
      <c r="AE59" s="28"/>
      <c r="AF59" s="52">
        <v>0.73299999999999998</v>
      </c>
      <c r="AG59" s="52">
        <v>0.73299999999999998</v>
      </c>
      <c r="AH59" s="52" t="s">
        <v>216</v>
      </c>
      <c r="AI59" s="22" t="s">
        <v>646</v>
      </c>
      <c r="AJ59" s="22"/>
      <c r="AK59" s="78" t="s">
        <v>647</v>
      </c>
    </row>
    <row r="60" spans="2:37" x14ac:dyDescent="0.25">
      <c r="B60" s="59">
        <v>80</v>
      </c>
      <c r="C60" s="23">
        <v>20200319</v>
      </c>
      <c r="D60" s="22" t="s">
        <v>2</v>
      </c>
      <c r="E60" s="22" t="s">
        <v>452</v>
      </c>
      <c r="F60" s="24" t="s">
        <v>67</v>
      </c>
      <c r="G60" s="22" t="s">
        <v>137</v>
      </c>
      <c r="H60" s="22" t="s">
        <v>351</v>
      </c>
      <c r="I60" s="22" t="s">
        <v>331</v>
      </c>
      <c r="J60" s="22" t="s">
        <v>67</v>
      </c>
      <c r="K60" s="22" t="s">
        <v>812</v>
      </c>
      <c r="L60" s="24" t="s">
        <v>412</v>
      </c>
      <c r="M60" s="24" t="s">
        <v>473</v>
      </c>
      <c r="N60" s="25" t="s">
        <v>580</v>
      </c>
      <c r="O60" s="23" t="s">
        <v>199</v>
      </c>
      <c r="P60" s="22" t="s">
        <v>6</v>
      </c>
      <c r="Q60" s="22"/>
      <c r="R60" s="22"/>
      <c r="S60" s="22"/>
      <c r="T60" s="22">
        <v>26.244</v>
      </c>
      <c r="U60" s="22">
        <v>26.244</v>
      </c>
      <c r="V60" s="22">
        <v>1.615</v>
      </c>
      <c r="W60" s="22">
        <v>2</v>
      </c>
      <c r="X60" s="22" t="s">
        <v>99</v>
      </c>
      <c r="Y60" s="26">
        <v>43910</v>
      </c>
      <c r="Z60" s="26">
        <v>43920</v>
      </c>
      <c r="AA60" s="26">
        <v>43915</v>
      </c>
      <c r="AB60" s="26">
        <v>43915</v>
      </c>
      <c r="AC60" s="26" t="s">
        <v>201</v>
      </c>
      <c r="AD60" s="28"/>
      <c r="AE60" s="28"/>
      <c r="AF60" s="52">
        <v>1</v>
      </c>
      <c r="AG60" s="52">
        <v>1</v>
      </c>
      <c r="AH60" s="52" t="s">
        <v>216</v>
      </c>
      <c r="AI60" s="22"/>
      <c r="AJ60" s="22"/>
      <c r="AK60" s="22"/>
    </row>
    <row r="61" spans="2:37" x14ac:dyDescent="0.25">
      <c r="B61" s="59">
        <v>81</v>
      </c>
      <c r="C61" s="23">
        <v>20200319</v>
      </c>
      <c r="D61" s="22" t="s">
        <v>2</v>
      </c>
      <c r="E61" s="22" t="s">
        <v>452</v>
      </c>
      <c r="F61" s="24" t="s">
        <v>67</v>
      </c>
      <c r="G61" s="22" t="s">
        <v>427</v>
      </c>
      <c r="H61" s="22" t="s">
        <v>352</v>
      </c>
      <c r="I61" s="22" t="s">
        <v>331</v>
      </c>
      <c r="J61" s="22" t="s">
        <v>67</v>
      </c>
      <c r="K61" s="22" t="s">
        <v>812</v>
      </c>
      <c r="L61" s="24" t="s">
        <v>412</v>
      </c>
      <c r="M61" s="24" t="s">
        <v>473</v>
      </c>
      <c r="N61" s="25" t="s">
        <v>581</v>
      </c>
      <c r="O61" s="23" t="s">
        <v>199</v>
      </c>
      <c r="P61" s="22" t="s">
        <v>6</v>
      </c>
      <c r="Q61" s="22"/>
      <c r="R61" s="22"/>
      <c r="S61" s="22"/>
      <c r="T61" s="22">
        <v>26.244</v>
      </c>
      <c r="U61" s="22">
        <v>26.244</v>
      </c>
      <c r="V61" s="22">
        <v>1.615</v>
      </c>
      <c r="W61" s="22">
        <v>3</v>
      </c>
      <c r="X61" s="22" t="s">
        <v>80</v>
      </c>
      <c r="Y61" s="26">
        <v>43910</v>
      </c>
      <c r="Z61" s="26">
        <v>43920</v>
      </c>
      <c r="AA61" s="26">
        <v>43916</v>
      </c>
      <c r="AB61" s="26">
        <v>43916</v>
      </c>
      <c r="AC61" s="26" t="s">
        <v>201</v>
      </c>
      <c r="AD61" s="28"/>
      <c r="AE61" s="28"/>
      <c r="AF61" s="52">
        <v>1</v>
      </c>
      <c r="AG61" s="52">
        <v>1</v>
      </c>
      <c r="AH61" s="52" t="s">
        <v>216</v>
      </c>
      <c r="AI61" s="22"/>
      <c r="AJ61" s="22"/>
      <c r="AK61" s="22"/>
    </row>
    <row r="62" spans="2:37" x14ac:dyDescent="0.25">
      <c r="B62" s="59">
        <v>82</v>
      </c>
      <c r="C62" s="23">
        <v>20200319</v>
      </c>
      <c r="D62" s="22" t="s">
        <v>2</v>
      </c>
      <c r="E62" s="22" t="s">
        <v>452</v>
      </c>
      <c r="F62" s="24" t="s">
        <v>67</v>
      </c>
      <c r="G62" s="22" t="s">
        <v>292</v>
      </c>
      <c r="H62" s="22" t="s">
        <v>353</v>
      </c>
      <c r="I62" s="22" t="s">
        <v>331</v>
      </c>
      <c r="J62" s="22" t="s">
        <v>67</v>
      </c>
      <c r="K62" s="22" t="s">
        <v>812</v>
      </c>
      <c r="L62" s="24" t="s">
        <v>412</v>
      </c>
      <c r="M62" s="24" t="s">
        <v>473</v>
      </c>
      <c r="N62" s="25" t="s">
        <v>582</v>
      </c>
      <c r="O62" s="23" t="s">
        <v>199</v>
      </c>
      <c r="P62" s="22" t="s">
        <v>6</v>
      </c>
      <c r="Q62" s="22"/>
      <c r="R62" s="22"/>
      <c r="S62" s="22"/>
      <c r="T62" s="22">
        <v>26.244</v>
      </c>
      <c r="U62" s="22">
        <v>26.244</v>
      </c>
      <c r="V62" s="22">
        <v>1.615</v>
      </c>
      <c r="W62" s="22">
        <v>1</v>
      </c>
      <c r="X62" s="22" t="s">
        <v>80</v>
      </c>
      <c r="Y62" s="26">
        <v>43910</v>
      </c>
      <c r="Z62" s="26">
        <v>43920</v>
      </c>
      <c r="AA62" s="26">
        <v>43916</v>
      </c>
      <c r="AB62" s="26">
        <v>43916</v>
      </c>
      <c r="AC62" s="26" t="s">
        <v>201</v>
      </c>
      <c r="AD62" s="28"/>
      <c r="AE62" s="28"/>
      <c r="AF62" s="52">
        <v>1</v>
      </c>
      <c r="AG62" s="52">
        <v>1</v>
      </c>
      <c r="AH62" s="52" t="s">
        <v>216</v>
      </c>
      <c r="AI62" s="22"/>
      <c r="AJ62" s="22"/>
      <c r="AK62" s="22"/>
    </row>
    <row r="63" spans="2:37" x14ac:dyDescent="0.25">
      <c r="B63" s="59">
        <v>83</v>
      </c>
      <c r="C63" s="23">
        <v>20200319</v>
      </c>
      <c r="D63" s="22" t="s">
        <v>2</v>
      </c>
      <c r="E63" s="22" t="s">
        <v>452</v>
      </c>
      <c r="F63" s="24" t="s">
        <v>67</v>
      </c>
      <c r="G63" s="22" t="s">
        <v>138</v>
      </c>
      <c r="H63" s="22" t="s">
        <v>354</v>
      </c>
      <c r="I63" s="22" t="s">
        <v>331</v>
      </c>
      <c r="J63" s="22" t="s">
        <v>67</v>
      </c>
      <c r="K63" s="22" t="s">
        <v>812</v>
      </c>
      <c r="L63" s="24" t="s">
        <v>412</v>
      </c>
      <c r="M63" s="24" t="s">
        <v>473</v>
      </c>
      <c r="N63" s="25" t="s">
        <v>583</v>
      </c>
      <c r="O63" s="23" t="s">
        <v>199</v>
      </c>
      <c r="P63" s="22" t="s">
        <v>6</v>
      </c>
      <c r="Q63" s="22"/>
      <c r="R63" s="22"/>
      <c r="S63" s="22"/>
      <c r="T63" s="22">
        <v>81.494</v>
      </c>
      <c r="U63" s="22">
        <v>81.494</v>
      </c>
      <c r="V63" s="22">
        <v>5.0150000000000006</v>
      </c>
      <c r="W63" s="22">
        <v>4</v>
      </c>
      <c r="X63" s="22" t="s">
        <v>80</v>
      </c>
      <c r="Y63" s="26">
        <v>43910</v>
      </c>
      <c r="Z63" s="26">
        <v>43920</v>
      </c>
      <c r="AA63" s="26">
        <v>43917</v>
      </c>
      <c r="AB63" s="26">
        <v>43917</v>
      </c>
      <c r="AC63" s="26" t="s">
        <v>201</v>
      </c>
      <c r="AD63" s="28"/>
      <c r="AE63" s="28"/>
      <c r="AF63" s="52">
        <v>0.95</v>
      </c>
      <c r="AG63" s="52">
        <v>0.95699999999999996</v>
      </c>
      <c r="AH63" s="52">
        <v>1</v>
      </c>
      <c r="AI63" s="22" t="s">
        <v>654</v>
      </c>
      <c r="AJ63" s="22"/>
      <c r="AK63" s="22"/>
    </row>
    <row r="64" spans="2:37" x14ac:dyDescent="0.25">
      <c r="B64" s="59">
        <v>84</v>
      </c>
      <c r="C64" s="23">
        <v>20200319</v>
      </c>
      <c r="D64" s="22" t="s">
        <v>2</v>
      </c>
      <c r="E64" s="22" t="s">
        <v>452</v>
      </c>
      <c r="F64" s="24" t="s">
        <v>67</v>
      </c>
      <c r="G64" s="22" t="s">
        <v>139</v>
      </c>
      <c r="H64" s="22" t="s">
        <v>355</v>
      </c>
      <c r="I64" s="22" t="s">
        <v>331</v>
      </c>
      <c r="J64" s="22" t="s">
        <v>67</v>
      </c>
      <c r="K64" s="22" t="s">
        <v>812</v>
      </c>
      <c r="L64" s="24" t="s">
        <v>412</v>
      </c>
      <c r="M64" s="24" t="s">
        <v>473</v>
      </c>
      <c r="N64" s="25" t="s">
        <v>584</v>
      </c>
      <c r="O64" s="23" t="s">
        <v>199</v>
      </c>
      <c r="P64" s="22" t="s">
        <v>6</v>
      </c>
      <c r="Q64" s="22"/>
      <c r="R64" s="22"/>
      <c r="S64" s="22"/>
      <c r="T64" s="22">
        <v>26.244</v>
      </c>
      <c r="U64" s="22">
        <v>26.244</v>
      </c>
      <c r="V64" s="22">
        <v>1.615</v>
      </c>
      <c r="W64" s="22">
        <v>1</v>
      </c>
      <c r="X64" s="22" t="s">
        <v>80</v>
      </c>
      <c r="Y64" s="26">
        <v>43910</v>
      </c>
      <c r="Z64" s="26">
        <v>43920</v>
      </c>
      <c r="AA64" s="26">
        <v>43916</v>
      </c>
      <c r="AB64" s="26">
        <v>43916</v>
      </c>
      <c r="AC64" s="26" t="s">
        <v>201</v>
      </c>
      <c r="AD64" s="28"/>
      <c r="AE64" s="28"/>
      <c r="AF64" s="52">
        <v>1</v>
      </c>
      <c r="AG64" s="52">
        <v>1</v>
      </c>
      <c r="AH64" s="52">
        <v>1</v>
      </c>
      <c r="AI64" s="22"/>
      <c r="AJ64" s="22"/>
      <c r="AK64" s="22"/>
    </row>
    <row r="65" spans="2:37" x14ac:dyDescent="0.25">
      <c r="B65" s="59">
        <v>85</v>
      </c>
      <c r="C65" s="23">
        <v>20200319</v>
      </c>
      <c r="D65" s="22" t="s">
        <v>2</v>
      </c>
      <c r="E65" s="22" t="s">
        <v>452</v>
      </c>
      <c r="F65" s="24" t="s">
        <v>67</v>
      </c>
      <c r="G65" s="22" t="s">
        <v>293</v>
      </c>
      <c r="H65" s="22" t="s">
        <v>356</v>
      </c>
      <c r="I65" s="22" t="s">
        <v>331</v>
      </c>
      <c r="J65" s="22" t="s">
        <v>67</v>
      </c>
      <c r="K65" s="22" t="s">
        <v>812</v>
      </c>
      <c r="L65" s="24" t="s">
        <v>412</v>
      </c>
      <c r="M65" s="24" t="s">
        <v>473</v>
      </c>
      <c r="N65" s="25" t="s">
        <v>585</v>
      </c>
      <c r="O65" s="23" t="s">
        <v>199</v>
      </c>
      <c r="P65" s="22" t="s">
        <v>6</v>
      </c>
      <c r="Q65" s="22"/>
      <c r="R65" s="22"/>
      <c r="S65" s="22"/>
      <c r="T65" s="22">
        <v>26.244</v>
      </c>
      <c r="U65" s="22">
        <v>26.244</v>
      </c>
      <c r="V65" s="22">
        <v>1.615</v>
      </c>
      <c r="W65" s="22">
        <v>1</v>
      </c>
      <c r="X65" s="22" t="s">
        <v>80</v>
      </c>
      <c r="Y65" s="26">
        <v>43910</v>
      </c>
      <c r="Z65" s="26">
        <v>43920</v>
      </c>
      <c r="AA65" s="26">
        <v>43916</v>
      </c>
      <c r="AB65" s="26">
        <v>43916</v>
      </c>
      <c r="AC65" s="26" t="s">
        <v>201</v>
      </c>
      <c r="AD65" s="28"/>
      <c r="AE65" s="28"/>
      <c r="AF65" s="52">
        <v>1</v>
      </c>
      <c r="AG65" s="52">
        <v>1</v>
      </c>
      <c r="AH65" s="52">
        <v>1</v>
      </c>
      <c r="AI65" s="22"/>
      <c r="AJ65" s="22"/>
      <c r="AK65" s="22"/>
    </row>
    <row r="66" spans="2:37" x14ac:dyDescent="0.25">
      <c r="B66" s="59">
        <v>86</v>
      </c>
      <c r="C66" s="23">
        <v>20200319</v>
      </c>
      <c r="D66" s="22" t="s">
        <v>2</v>
      </c>
      <c r="E66" s="22" t="s">
        <v>452</v>
      </c>
      <c r="F66" s="24" t="s">
        <v>67</v>
      </c>
      <c r="G66" s="22" t="s">
        <v>428</v>
      </c>
      <c r="H66" s="22" t="s">
        <v>357</v>
      </c>
      <c r="I66" s="22" t="s">
        <v>331</v>
      </c>
      <c r="J66" s="22" t="s">
        <v>67</v>
      </c>
      <c r="K66" s="22" t="s">
        <v>812</v>
      </c>
      <c r="L66" s="24" t="s">
        <v>412</v>
      </c>
      <c r="M66" s="24" t="s">
        <v>473</v>
      </c>
      <c r="N66" s="25" t="s">
        <v>586</v>
      </c>
      <c r="O66" s="23" t="s">
        <v>199</v>
      </c>
      <c r="P66" s="22" t="s">
        <v>6</v>
      </c>
      <c r="Q66" s="22"/>
      <c r="R66" s="22"/>
      <c r="S66" s="22"/>
      <c r="T66" s="22">
        <v>37.293999999999997</v>
      </c>
      <c r="U66" s="22">
        <v>37.293999999999997</v>
      </c>
      <c r="V66" s="22">
        <v>2.2949999999999999</v>
      </c>
      <c r="W66" s="22">
        <v>1</v>
      </c>
      <c r="X66" s="22" t="s">
        <v>80</v>
      </c>
      <c r="Y66" s="26">
        <v>43910</v>
      </c>
      <c r="Z66" s="26">
        <v>43920</v>
      </c>
      <c r="AA66" s="26">
        <v>43916</v>
      </c>
      <c r="AB66" s="26">
        <v>43916</v>
      </c>
      <c r="AC66" s="26" t="s">
        <v>201</v>
      </c>
      <c r="AD66" s="28"/>
      <c r="AE66" s="28"/>
      <c r="AF66" s="52">
        <v>0.94399999999999995</v>
      </c>
      <c r="AG66" s="52">
        <v>0.94699999999999995</v>
      </c>
      <c r="AH66" s="52" t="s">
        <v>216</v>
      </c>
      <c r="AI66" s="22" t="s">
        <v>652</v>
      </c>
      <c r="AJ66" s="22"/>
      <c r="AK66" s="22"/>
    </row>
    <row r="67" spans="2:37" x14ac:dyDescent="0.25">
      <c r="B67" s="59">
        <v>87</v>
      </c>
      <c r="C67" s="23">
        <v>20200319</v>
      </c>
      <c r="D67" s="22" t="s">
        <v>2</v>
      </c>
      <c r="E67" s="22" t="s">
        <v>452</v>
      </c>
      <c r="F67" s="24" t="s">
        <v>67</v>
      </c>
      <c r="G67" s="22" t="s">
        <v>140</v>
      </c>
      <c r="H67" s="22" t="s">
        <v>358</v>
      </c>
      <c r="I67" s="22" t="s">
        <v>332</v>
      </c>
      <c r="J67" s="22" t="s">
        <v>67</v>
      </c>
      <c r="K67" s="22" t="s">
        <v>812</v>
      </c>
      <c r="L67" s="24" t="s">
        <v>412</v>
      </c>
      <c r="M67" s="24" t="s">
        <v>473</v>
      </c>
      <c r="N67" s="25" t="s">
        <v>587</v>
      </c>
      <c r="O67" s="23" t="s">
        <v>199</v>
      </c>
      <c r="P67" s="22" t="s">
        <v>6</v>
      </c>
      <c r="Q67" s="22"/>
      <c r="R67" s="22"/>
      <c r="S67" s="22"/>
      <c r="T67" s="22">
        <v>70.444000000000003</v>
      </c>
      <c r="U67" s="22">
        <v>70.444000000000003</v>
      </c>
      <c r="V67" s="22">
        <v>4.335</v>
      </c>
      <c r="W67" s="22">
        <v>4</v>
      </c>
      <c r="X67" s="22" t="s">
        <v>80</v>
      </c>
      <c r="Y67" s="26">
        <v>43910</v>
      </c>
      <c r="Z67" s="26">
        <v>43920</v>
      </c>
      <c r="AA67" s="26">
        <v>43917</v>
      </c>
      <c r="AB67" s="26">
        <v>43917</v>
      </c>
      <c r="AC67" s="26" t="s">
        <v>202</v>
      </c>
      <c r="AD67" s="28"/>
      <c r="AE67" s="28"/>
      <c r="AF67" s="52">
        <v>0.88900000000000001</v>
      </c>
      <c r="AG67" s="52">
        <v>0.90800000000000003</v>
      </c>
      <c r="AH67" s="52">
        <v>1</v>
      </c>
      <c r="AI67" s="22" t="s">
        <v>656</v>
      </c>
      <c r="AJ67" s="22"/>
      <c r="AK67" s="22" t="s">
        <v>655</v>
      </c>
    </row>
    <row r="68" spans="2:37" x14ac:dyDescent="0.25">
      <c r="B68" s="59">
        <v>88</v>
      </c>
      <c r="C68" s="23">
        <v>20200319</v>
      </c>
      <c r="D68" s="22" t="s">
        <v>2</v>
      </c>
      <c r="E68" s="22" t="s">
        <v>452</v>
      </c>
      <c r="F68" s="24" t="s">
        <v>67</v>
      </c>
      <c r="G68" s="22" t="s">
        <v>294</v>
      </c>
      <c r="H68" s="22" t="s">
        <v>359</v>
      </c>
      <c r="I68" s="22" t="s">
        <v>331</v>
      </c>
      <c r="J68" s="22" t="s">
        <v>67</v>
      </c>
      <c r="K68" s="22" t="s">
        <v>812</v>
      </c>
      <c r="L68" s="24" t="s">
        <v>412</v>
      </c>
      <c r="M68" s="24" t="s">
        <v>473</v>
      </c>
      <c r="N68" s="25" t="s">
        <v>588</v>
      </c>
      <c r="O68" s="23" t="s">
        <v>199</v>
      </c>
      <c r="P68" s="22" t="s">
        <v>6</v>
      </c>
      <c r="Q68" s="22"/>
      <c r="R68" s="22"/>
      <c r="S68" s="22"/>
      <c r="T68" s="22">
        <v>26.244</v>
      </c>
      <c r="U68" s="22">
        <v>26.244</v>
      </c>
      <c r="V68" s="22">
        <v>1.615</v>
      </c>
      <c r="W68" s="22">
        <v>1</v>
      </c>
      <c r="X68" s="22" t="s">
        <v>80</v>
      </c>
      <c r="Y68" s="26">
        <v>43910</v>
      </c>
      <c r="Z68" s="26">
        <v>43920</v>
      </c>
      <c r="AA68" s="26">
        <v>43916</v>
      </c>
      <c r="AB68" s="26">
        <v>43916</v>
      </c>
      <c r="AC68" s="26" t="s">
        <v>201</v>
      </c>
      <c r="AD68" s="28"/>
      <c r="AE68" s="28"/>
      <c r="AF68" s="52">
        <v>0.83299999999999996</v>
      </c>
      <c r="AG68" s="52">
        <v>0.84599999999999997</v>
      </c>
      <c r="AH68" s="52">
        <v>1</v>
      </c>
      <c r="AI68" s="22" t="s">
        <v>653</v>
      </c>
      <c r="AJ68" s="22"/>
      <c r="AK68" s="22"/>
    </row>
    <row r="69" spans="2:37" x14ac:dyDescent="0.25">
      <c r="B69" s="59">
        <v>89</v>
      </c>
      <c r="C69" s="23">
        <v>20200319</v>
      </c>
      <c r="D69" s="22" t="s">
        <v>2</v>
      </c>
      <c r="E69" s="22" t="s">
        <v>452</v>
      </c>
      <c r="F69" s="24" t="s">
        <v>67</v>
      </c>
      <c r="G69" s="22" t="s">
        <v>295</v>
      </c>
      <c r="H69" s="22" t="s">
        <v>360</v>
      </c>
      <c r="I69" s="22" t="s">
        <v>331</v>
      </c>
      <c r="J69" s="22" t="s">
        <v>67</v>
      </c>
      <c r="K69" s="22" t="s">
        <v>812</v>
      </c>
      <c r="L69" s="24" t="s">
        <v>412</v>
      </c>
      <c r="M69" s="24" t="s">
        <v>473</v>
      </c>
      <c r="N69" s="25" t="s">
        <v>589</v>
      </c>
      <c r="O69" s="23" t="s">
        <v>198</v>
      </c>
      <c r="P69" s="22" t="s">
        <v>70</v>
      </c>
      <c r="Q69" s="22"/>
      <c r="R69" s="22"/>
      <c r="S69" s="22"/>
      <c r="T69" s="22">
        <v>26.244</v>
      </c>
      <c r="U69" s="22">
        <v>26.244</v>
      </c>
      <c r="V69" s="22">
        <v>1.615</v>
      </c>
      <c r="W69" s="22">
        <v>2</v>
      </c>
      <c r="X69" s="22" t="s">
        <v>80</v>
      </c>
      <c r="Y69" s="26">
        <v>43910</v>
      </c>
      <c r="Z69" s="26">
        <v>43920</v>
      </c>
      <c r="AA69" s="26">
        <v>43910</v>
      </c>
      <c r="AB69" s="26">
        <v>43910</v>
      </c>
      <c r="AC69" s="26" t="s">
        <v>201</v>
      </c>
      <c r="AD69" s="28"/>
      <c r="AE69" s="28"/>
      <c r="AF69" s="52">
        <v>1</v>
      </c>
      <c r="AG69" s="52">
        <v>1</v>
      </c>
      <c r="AH69" s="52">
        <v>1</v>
      </c>
      <c r="AI69" s="22"/>
      <c r="AJ69" s="22"/>
      <c r="AK69" s="22"/>
    </row>
    <row r="70" spans="2:37" x14ac:dyDescent="0.25">
      <c r="B70" s="59">
        <v>90</v>
      </c>
      <c r="C70" s="23">
        <v>20200319</v>
      </c>
      <c r="D70" s="22" t="s">
        <v>2</v>
      </c>
      <c r="E70" s="22" t="s">
        <v>452</v>
      </c>
      <c r="F70" s="24" t="s">
        <v>67</v>
      </c>
      <c r="G70" s="22" t="s">
        <v>141</v>
      </c>
      <c r="H70" s="22" t="s">
        <v>361</v>
      </c>
      <c r="I70" s="22" t="s">
        <v>331</v>
      </c>
      <c r="J70" s="22" t="s">
        <v>67</v>
      </c>
      <c r="K70" s="22" t="s">
        <v>812</v>
      </c>
      <c r="L70" s="24" t="s">
        <v>412</v>
      </c>
      <c r="M70" s="24" t="s">
        <v>473</v>
      </c>
      <c r="N70" s="25" t="s">
        <v>590</v>
      </c>
      <c r="O70" s="23" t="s">
        <v>198</v>
      </c>
      <c r="P70" s="22" t="s">
        <v>70</v>
      </c>
      <c r="Q70" s="22"/>
      <c r="R70" s="22"/>
      <c r="S70" s="22"/>
      <c r="T70" s="22">
        <v>37.293999999999997</v>
      </c>
      <c r="U70" s="22">
        <v>37.293999999999997</v>
      </c>
      <c r="V70" s="22">
        <v>2.2949999999999999</v>
      </c>
      <c r="W70" s="22">
        <v>2</v>
      </c>
      <c r="X70" s="22" t="s">
        <v>80</v>
      </c>
      <c r="Y70" s="26">
        <v>43910</v>
      </c>
      <c r="Z70" s="26">
        <v>43920</v>
      </c>
      <c r="AA70" s="26">
        <v>43913</v>
      </c>
      <c r="AB70" s="26">
        <v>43913</v>
      </c>
      <c r="AC70" s="26" t="s">
        <v>202</v>
      </c>
      <c r="AD70" s="28"/>
      <c r="AE70" s="28"/>
      <c r="AF70" s="52">
        <v>0.70299999999999996</v>
      </c>
      <c r="AG70" s="52">
        <v>0.70299999999999996</v>
      </c>
      <c r="AH70" s="52">
        <v>1</v>
      </c>
      <c r="AI70" s="22" t="s">
        <v>498</v>
      </c>
      <c r="AJ70" s="22"/>
      <c r="AK70" s="22"/>
    </row>
    <row r="71" spans="2:37" x14ac:dyDescent="0.25">
      <c r="B71" s="59">
        <v>91</v>
      </c>
      <c r="C71" s="23">
        <v>20200319</v>
      </c>
      <c r="D71" s="22" t="s">
        <v>2</v>
      </c>
      <c r="E71" s="22" t="s">
        <v>452</v>
      </c>
      <c r="F71" s="24" t="s">
        <v>67</v>
      </c>
      <c r="G71" s="22" t="s">
        <v>429</v>
      </c>
      <c r="H71" s="22" t="s">
        <v>362</v>
      </c>
      <c r="I71" s="22" t="s">
        <v>331</v>
      </c>
      <c r="J71" s="22" t="s">
        <v>67</v>
      </c>
      <c r="K71" s="22" t="s">
        <v>812</v>
      </c>
      <c r="L71" s="24" t="s">
        <v>413</v>
      </c>
      <c r="M71" s="24" t="s">
        <v>473</v>
      </c>
      <c r="N71" s="25" t="s">
        <v>591</v>
      </c>
      <c r="O71" s="23" t="s">
        <v>198</v>
      </c>
      <c r="P71" s="22" t="s">
        <v>70</v>
      </c>
      <c r="Q71" s="22"/>
      <c r="R71" s="22"/>
      <c r="S71" s="22"/>
      <c r="T71" s="22">
        <v>26.244</v>
      </c>
      <c r="U71" s="22">
        <v>26.244</v>
      </c>
      <c r="V71" s="22">
        <v>1.615</v>
      </c>
      <c r="W71" s="22">
        <v>0.5</v>
      </c>
      <c r="X71" s="22" t="s">
        <v>80</v>
      </c>
      <c r="Y71" s="26">
        <v>43910</v>
      </c>
      <c r="Z71" s="26">
        <v>43920</v>
      </c>
      <c r="AA71" s="26">
        <v>43914</v>
      </c>
      <c r="AB71" s="26">
        <v>43914</v>
      </c>
      <c r="AC71" s="26" t="s">
        <v>201</v>
      </c>
      <c r="AD71" s="28"/>
      <c r="AE71" s="28"/>
      <c r="AF71" s="52">
        <v>1</v>
      </c>
      <c r="AG71" s="52">
        <v>1</v>
      </c>
      <c r="AH71" s="52">
        <v>1</v>
      </c>
      <c r="AI71" s="22"/>
      <c r="AJ71" s="22"/>
      <c r="AK71" s="22"/>
    </row>
    <row r="72" spans="2:37" x14ac:dyDescent="0.25">
      <c r="B72" s="59">
        <v>92</v>
      </c>
      <c r="C72" s="23">
        <v>20200319</v>
      </c>
      <c r="D72" s="22" t="s">
        <v>2</v>
      </c>
      <c r="E72" s="22" t="s">
        <v>452</v>
      </c>
      <c r="F72" s="24" t="s">
        <v>67</v>
      </c>
      <c r="G72" s="22" t="s">
        <v>142</v>
      </c>
      <c r="H72" s="22" t="s">
        <v>363</v>
      </c>
      <c r="I72" s="22" t="s">
        <v>331</v>
      </c>
      <c r="J72" s="22" t="s">
        <v>67</v>
      </c>
      <c r="K72" s="22" t="s">
        <v>812</v>
      </c>
      <c r="L72" s="24" t="s">
        <v>413</v>
      </c>
      <c r="M72" s="24" t="s">
        <v>473</v>
      </c>
      <c r="N72" s="25" t="s">
        <v>592</v>
      </c>
      <c r="O72" s="23" t="s">
        <v>198</v>
      </c>
      <c r="P72" s="22" t="s">
        <v>70</v>
      </c>
      <c r="Q72" s="22"/>
      <c r="R72" s="22"/>
      <c r="S72" s="22"/>
      <c r="T72" s="22">
        <v>26.244</v>
      </c>
      <c r="U72" s="22">
        <v>26.244</v>
      </c>
      <c r="V72" s="22">
        <v>1.615</v>
      </c>
      <c r="W72" s="22">
        <v>1</v>
      </c>
      <c r="X72" s="22" t="s">
        <v>80</v>
      </c>
      <c r="Y72" s="26">
        <v>43910</v>
      </c>
      <c r="Z72" s="26">
        <v>43920</v>
      </c>
      <c r="AA72" s="26">
        <v>43913</v>
      </c>
      <c r="AB72" s="26">
        <v>43913</v>
      </c>
      <c r="AC72" s="26" t="s">
        <v>201</v>
      </c>
      <c r="AD72" s="28"/>
      <c r="AE72" s="28"/>
      <c r="AF72" s="52">
        <v>1</v>
      </c>
      <c r="AG72" s="52">
        <v>1</v>
      </c>
      <c r="AH72" s="52">
        <v>1</v>
      </c>
      <c r="AI72" s="22"/>
      <c r="AJ72" s="22"/>
      <c r="AK72" s="22"/>
    </row>
    <row r="73" spans="2:37" x14ac:dyDescent="0.25">
      <c r="B73" s="59">
        <v>93</v>
      </c>
      <c r="C73" s="23">
        <v>20200319</v>
      </c>
      <c r="D73" s="22" t="s">
        <v>2</v>
      </c>
      <c r="E73" s="22" t="s">
        <v>452</v>
      </c>
      <c r="F73" s="24" t="s">
        <v>67</v>
      </c>
      <c r="G73" s="22" t="s">
        <v>143</v>
      </c>
      <c r="H73" s="22" t="s">
        <v>364</v>
      </c>
      <c r="I73" s="22" t="s">
        <v>331</v>
      </c>
      <c r="J73" s="22" t="s">
        <v>67</v>
      </c>
      <c r="K73" s="22" t="s">
        <v>812</v>
      </c>
      <c r="L73" s="24" t="s">
        <v>413</v>
      </c>
      <c r="M73" s="24" t="s">
        <v>473</v>
      </c>
      <c r="N73" s="25" t="s">
        <v>593</v>
      </c>
      <c r="O73" s="23" t="s">
        <v>198</v>
      </c>
      <c r="P73" s="22" t="s">
        <v>70</v>
      </c>
      <c r="Q73" s="22"/>
      <c r="R73" s="22"/>
      <c r="S73" s="22"/>
      <c r="T73" s="22">
        <v>26.244</v>
      </c>
      <c r="U73" s="22">
        <v>26.244</v>
      </c>
      <c r="V73" s="22">
        <v>1.615</v>
      </c>
      <c r="W73" s="22">
        <v>1</v>
      </c>
      <c r="X73" s="22" t="s">
        <v>80</v>
      </c>
      <c r="Y73" s="26">
        <v>43910</v>
      </c>
      <c r="Z73" s="26">
        <v>43920</v>
      </c>
      <c r="AA73" s="26">
        <v>43913</v>
      </c>
      <c r="AB73" s="26">
        <v>43913</v>
      </c>
      <c r="AC73" s="26" t="s">
        <v>201</v>
      </c>
      <c r="AD73" s="28"/>
      <c r="AE73" s="28"/>
      <c r="AF73" s="52">
        <v>1</v>
      </c>
      <c r="AG73" s="52">
        <v>1</v>
      </c>
      <c r="AH73" s="52" t="s">
        <v>216</v>
      </c>
      <c r="AI73" s="22"/>
      <c r="AJ73" s="22"/>
      <c r="AK73" s="22"/>
    </row>
    <row r="74" spans="2:37" x14ac:dyDescent="0.25">
      <c r="B74" s="59">
        <v>94</v>
      </c>
      <c r="C74" s="23">
        <v>20200319</v>
      </c>
      <c r="D74" s="22" t="s">
        <v>2</v>
      </c>
      <c r="E74" s="22" t="s">
        <v>452</v>
      </c>
      <c r="F74" s="24" t="s">
        <v>67</v>
      </c>
      <c r="G74" s="22" t="s">
        <v>144</v>
      </c>
      <c r="H74" s="22" t="s">
        <v>365</v>
      </c>
      <c r="I74" s="22" t="s">
        <v>331</v>
      </c>
      <c r="J74" s="22" t="s">
        <v>67</v>
      </c>
      <c r="K74" s="22" t="s">
        <v>812</v>
      </c>
      <c r="L74" s="24" t="s">
        <v>412</v>
      </c>
      <c r="M74" s="24" t="s">
        <v>473</v>
      </c>
      <c r="N74" s="25" t="s">
        <v>594</v>
      </c>
      <c r="O74" s="23" t="s">
        <v>198</v>
      </c>
      <c r="P74" s="22" t="s">
        <v>70</v>
      </c>
      <c r="Q74" s="22"/>
      <c r="R74" s="22"/>
      <c r="S74" s="22"/>
      <c r="T74" s="22">
        <v>26.244</v>
      </c>
      <c r="U74" s="22">
        <v>26.244</v>
      </c>
      <c r="V74" s="22">
        <v>1.615</v>
      </c>
      <c r="W74" s="22">
        <v>2</v>
      </c>
      <c r="X74" s="22" t="s">
        <v>80</v>
      </c>
      <c r="Y74" s="26">
        <v>43910</v>
      </c>
      <c r="Z74" s="26">
        <v>43920</v>
      </c>
      <c r="AA74" s="26">
        <v>43913</v>
      </c>
      <c r="AB74" s="26">
        <v>43913</v>
      </c>
      <c r="AC74" s="26" t="s">
        <v>201</v>
      </c>
      <c r="AD74" s="28"/>
      <c r="AE74" s="28"/>
      <c r="AF74" s="52">
        <v>1</v>
      </c>
      <c r="AG74" s="52">
        <v>1</v>
      </c>
      <c r="AH74" s="52">
        <v>1</v>
      </c>
      <c r="AI74" s="22"/>
      <c r="AJ74" s="22"/>
      <c r="AK74" s="22"/>
    </row>
    <row r="75" spans="2:37" x14ac:dyDescent="0.25">
      <c r="B75" s="59">
        <v>95</v>
      </c>
      <c r="C75" s="23">
        <v>20200319</v>
      </c>
      <c r="D75" s="22" t="s">
        <v>2</v>
      </c>
      <c r="E75" s="22" t="s">
        <v>452</v>
      </c>
      <c r="F75" s="24" t="s">
        <v>67</v>
      </c>
      <c r="G75" s="22" t="s">
        <v>145</v>
      </c>
      <c r="H75" s="22" t="s">
        <v>366</v>
      </c>
      <c r="I75" s="22" t="s">
        <v>331</v>
      </c>
      <c r="J75" s="22" t="s">
        <v>67</v>
      </c>
      <c r="K75" s="22" t="s">
        <v>812</v>
      </c>
      <c r="L75" s="24" t="s">
        <v>413</v>
      </c>
      <c r="M75" s="24" t="s">
        <v>473</v>
      </c>
      <c r="N75" s="25" t="s">
        <v>595</v>
      </c>
      <c r="O75" s="23" t="s">
        <v>198</v>
      </c>
      <c r="P75" s="22" t="s">
        <v>70</v>
      </c>
      <c r="Q75" s="22"/>
      <c r="R75" s="22"/>
      <c r="S75" s="22"/>
      <c r="T75" s="22">
        <v>26.244</v>
      </c>
      <c r="U75" s="22">
        <v>26.244</v>
      </c>
      <c r="V75" s="22">
        <v>1.615</v>
      </c>
      <c r="W75" s="22">
        <v>2</v>
      </c>
      <c r="X75" s="22" t="s">
        <v>80</v>
      </c>
      <c r="Y75" s="26">
        <v>43910</v>
      </c>
      <c r="Z75" s="26">
        <v>43920</v>
      </c>
      <c r="AA75" s="26">
        <v>43913</v>
      </c>
      <c r="AB75" s="26">
        <v>43913</v>
      </c>
      <c r="AC75" s="26" t="s">
        <v>201</v>
      </c>
      <c r="AD75" s="28"/>
      <c r="AE75" s="28"/>
      <c r="AF75" s="52">
        <v>1</v>
      </c>
      <c r="AG75" s="52">
        <v>1</v>
      </c>
      <c r="AH75" s="52" t="s">
        <v>216</v>
      </c>
      <c r="AI75" s="22"/>
      <c r="AJ75" s="22"/>
      <c r="AK75" s="22"/>
    </row>
    <row r="76" spans="2:37" x14ac:dyDescent="0.25">
      <c r="B76" s="59">
        <v>96</v>
      </c>
      <c r="C76" s="23">
        <v>20200319</v>
      </c>
      <c r="D76" s="22" t="s">
        <v>2</v>
      </c>
      <c r="E76" s="22" t="s">
        <v>452</v>
      </c>
      <c r="F76" s="24" t="s">
        <v>67</v>
      </c>
      <c r="G76" s="22" t="s">
        <v>146</v>
      </c>
      <c r="H76" s="22" t="s">
        <v>367</v>
      </c>
      <c r="I76" s="22" t="s">
        <v>331</v>
      </c>
      <c r="J76" s="22" t="s">
        <v>67</v>
      </c>
      <c r="K76" s="22" t="s">
        <v>812</v>
      </c>
      <c r="L76" s="24" t="s">
        <v>412</v>
      </c>
      <c r="M76" s="24" t="s">
        <v>473</v>
      </c>
      <c r="N76" s="25" t="s">
        <v>596</v>
      </c>
      <c r="O76" s="23" t="s">
        <v>198</v>
      </c>
      <c r="P76" s="22" t="s">
        <v>70</v>
      </c>
      <c r="Q76" s="22"/>
      <c r="R76" s="22"/>
      <c r="S76" s="22"/>
      <c r="T76" s="22">
        <v>26.244</v>
      </c>
      <c r="U76" s="22">
        <v>26.244</v>
      </c>
      <c r="V76" s="22">
        <v>1.615</v>
      </c>
      <c r="W76" s="22">
        <v>2</v>
      </c>
      <c r="X76" s="22" t="s">
        <v>80</v>
      </c>
      <c r="Y76" s="26">
        <v>43910</v>
      </c>
      <c r="Z76" s="26">
        <v>43920</v>
      </c>
      <c r="AA76" s="26">
        <v>43913</v>
      </c>
      <c r="AB76" s="26">
        <v>43913</v>
      </c>
      <c r="AC76" s="26" t="s">
        <v>202</v>
      </c>
      <c r="AD76" s="28"/>
      <c r="AE76" s="28"/>
      <c r="AF76" s="52">
        <v>0.94599999999999995</v>
      </c>
      <c r="AG76" s="52">
        <v>0.95199999999999996</v>
      </c>
      <c r="AH76" s="52">
        <v>1</v>
      </c>
      <c r="AI76" s="22" t="s">
        <v>499</v>
      </c>
      <c r="AJ76" s="22"/>
      <c r="AK76" s="22"/>
    </row>
    <row r="77" spans="2:37" x14ac:dyDescent="0.25">
      <c r="B77" s="59">
        <v>97</v>
      </c>
      <c r="C77" s="23">
        <v>20200319</v>
      </c>
      <c r="D77" s="22" t="s">
        <v>2</v>
      </c>
      <c r="E77" s="22" t="s">
        <v>452</v>
      </c>
      <c r="F77" s="24" t="s">
        <v>67</v>
      </c>
      <c r="G77" s="22" t="s">
        <v>147</v>
      </c>
      <c r="H77" s="22" t="s">
        <v>368</v>
      </c>
      <c r="I77" s="22" t="s">
        <v>331</v>
      </c>
      <c r="J77" s="22" t="s">
        <v>67</v>
      </c>
      <c r="K77" s="22" t="s">
        <v>812</v>
      </c>
      <c r="L77" s="24" t="s">
        <v>412</v>
      </c>
      <c r="M77" s="24" t="s">
        <v>473</v>
      </c>
      <c r="N77" s="25" t="s">
        <v>597</v>
      </c>
      <c r="O77" s="23" t="s">
        <v>198</v>
      </c>
      <c r="P77" s="22" t="s">
        <v>70</v>
      </c>
      <c r="Q77" s="22"/>
      <c r="R77" s="22"/>
      <c r="S77" s="22"/>
      <c r="T77" s="22">
        <v>37.293999999999997</v>
      </c>
      <c r="U77" s="22">
        <v>37.293999999999997</v>
      </c>
      <c r="V77" s="22">
        <v>2.2949999999999999</v>
      </c>
      <c r="W77" s="22">
        <v>2</v>
      </c>
      <c r="X77" s="22" t="s">
        <v>80</v>
      </c>
      <c r="Y77" s="26">
        <v>43910</v>
      </c>
      <c r="Z77" s="26">
        <v>43920</v>
      </c>
      <c r="AA77" s="26">
        <v>43913</v>
      </c>
      <c r="AB77" s="26">
        <v>43913</v>
      </c>
      <c r="AC77" s="26" t="s">
        <v>202</v>
      </c>
      <c r="AD77" s="28"/>
      <c r="AE77" s="28"/>
      <c r="AF77" s="52">
        <v>0.84599999999999997</v>
      </c>
      <c r="AG77" s="52">
        <v>0.85699999999999998</v>
      </c>
      <c r="AH77" s="52" t="s">
        <v>216</v>
      </c>
      <c r="AI77" s="22" t="s">
        <v>500</v>
      </c>
      <c r="AJ77" s="22"/>
      <c r="AK77" s="22"/>
    </row>
    <row r="78" spans="2:37" x14ac:dyDescent="0.25">
      <c r="B78" s="59">
        <v>98</v>
      </c>
      <c r="C78" s="23">
        <v>20200319</v>
      </c>
      <c r="D78" s="22" t="s">
        <v>2</v>
      </c>
      <c r="E78" s="22" t="s">
        <v>452</v>
      </c>
      <c r="F78" s="24" t="s">
        <v>67</v>
      </c>
      <c r="G78" s="22" t="s">
        <v>148</v>
      </c>
      <c r="H78" s="22" t="s">
        <v>369</v>
      </c>
      <c r="I78" s="22" t="s">
        <v>331</v>
      </c>
      <c r="J78" s="22" t="s">
        <v>67</v>
      </c>
      <c r="K78" s="22" t="s">
        <v>812</v>
      </c>
      <c r="L78" s="24" t="s">
        <v>414</v>
      </c>
      <c r="M78" s="24" t="s">
        <v>473</v>
      </c>
      <c r="N78" s="25" t="s">
        <v>598</v>
      </c>
      <c r="O78" s="23" t="s">
        <v>198</v>
      </c>
      <c r="P78" s="22" t="s">
        <v>70</v>
      </c>
      <c r="Q78" s="22"/>
      <c r="R78" s="22"/>
      <c r="S78" s="22"/>
      <c r="T78" s="22">
        <v>70.444000000000003</v>
      </c>
      <c r="U78" s="22">
        <v>70.444000000000003</v>
      </c>
      <c r="V78" s="22">
        <v>4.335</v>
      </c>
      <c r="W78" s="22">
        <v>4</v>
      </c>
      <c r="X78" s="22" t="s">
        <v>80</v>
      </c>
      <c r="Y78" s="26">
        <v>43910</v>
      </c>
      <c r="Z78" s="26">
        <v>43920</v>
      </c>
      <c r="AA78" s="26">
        <v>43915</v>
      </c>
      <c r="AB78" s="26">
        <v>43915</v>
      </c>
      <c r="AC78" s="26" t="s">
        <v>201</v>
      </c>
      <c r="AD78" s="28"/>
      <c r="AE78" s="28"/>
      <c r="AF78" s="52">
        <v>1</v>
      </c>
      <c r="AG78" s="52">
        <v>1</v>
      </c>
      <c r="AH78" s="52">
        <v>1</v>
      </c>
      <c r="AI78" s="22"/>
      <c r="AJ78" s="22"/>
      <c r="AK78" s="22"/>
    </row>
    <row r="79" spans="2:37" x14ac:dyDescent="0.25">
      <c r="B79" s="59">
        <v>99</v>
      </c>
      <c r="C79" s="23">
        <v>20200319</v>
      </c>
      <c r="D79" s="22" t="s">
        <v>2</v>
      </c>
      <c r="E79" s="22" t="s">
        <v>452</v>
      </c>
      <c r="F79" s="24" t="s">
        <v>67</v>
      </c>
      <c r="G79" s="22" t="s">
        <v>149</v>
      </c>
      <c r="H79" s="22" t="s">
        <v>370</v>
      </c>
      <c r="I79" s="22" t="s">
        <v>331</v>
      </c>
      <c r="J79" s="22" t="s">
        <v>67</v>
      </c>
      <c r="K79" s="22" t="s">
        <v>812</v>
      </c>
      <c r="L79" s="24" t="s">
        <v>413</v>
      </c>
      <c r="M79" s="24" t="s">
        <v>473</v>
      </c>
      <c r="N79" s="25" t="s">
        <v>599</v>
      </c>
      <c r="O79" s="23" t="s">
        <v>198</v>
      </c>
      <c r="P79" s="22" t="s">
        <v>70</v>
      </c>
      <c r="Q79" s="22"/>
      <c r="R79" s="22"/>
      <c r="S79" s="22"/>
      <c r="T79" s="22">
        <v>26.244</v>
      </c>
      <c r="U79" s="22">
        <v>26.244</v>
      </c>
      <c r="V79" s="22">
        <v>1.615</v>
      </c>
      <c r="W79" s="22">
        <v>2</v>
      </c>
      <c r="X79" s="22" t="s">
        <v>80</v>
      </c>
      <c r="Y79" s="26">
        <v>43910</v>
      </c>
      <c r="Z79" s="26">
        <v>43920</v>
      </c>
      <c r="AA79" s="26">
        <v>43913</v>
      </c>
      <c r="AB79" s="26">
        <v>43913</v>
      </c>
      <c r="AC79" s="26" t="s">
        <v>201</v>
      </c>
      <c r="AD79" s="28"/>
      <c r="AE79" s="28"/>
      <c r="AF79" s="52">
        <v>1</v>
      </c>
      <c r="AG79" s="52">
        <v>1</v>
      </c>
      <c r="AH79" s="52" t="s">
        <v>216</v>
      </c>
      <c r="AI79" s="22"/>
      <c r="AJ79" s="22"/>
      <c r="AK79" s="22"/>
    </row>
    <row r="80" spans="2:37" x14ac:dyDescent="0.25">
      <c r="B80" s="59">
        <v>100</v>
      </c>
      <c r="C80" s="23">
        <v>20200319</v>
      </c>
      <c r="D80" s="22" t="s">
        <v>2</v>
      </c>
      <c r="E80" s="22" t="s">
        <v>452</v>
      </c>
      <c r="F80" s="24" t="s">
        <v>67</v>
      </c>
      <c r="G80" s="22" t="s">
        <v>150</v>
      </c>
      <c r="H80" s="22" t="s">
        <v>371</v>
      </c>
      <c r="I80" s="22" t="s">
        <v>331</v>
      </c>
      <c r="J80" s="22" t="s">
        <v>67</v>
      </c>
      <c r="K80" s="22" t="s">
        <v>812</v>
      </c>
      <c r="L80" s="24" t="s">
        <v>413</v>
      </c>
      <c r="M80" s="24" t="s">
        <v>473</v>
      </c>
      <c r="N80" s="25" t="s">
        <v>600</v>
      </c>
      <c r="O80" s="23" t="s">
        <v>198</v>
      </c>
      <c r="P80" s="22" t="s">
        <v>70</v>
      </c>
      <c r="Q80" s="22"/>
      <c r="R80" s="22"/>
      <c r="S80" s="22"/>
      <c r="T80" s="22">
        <v>48.344000000000001</v>
      </c>
      <c r="U80" s="22">
        <v>48.344000000000001</v>
      </c>
      <c r="V80" s="22">
        <v>2.9750000000000001</v>
      </c>
      <c r="W80" s="22">
        <v>1</v>
      </c>
      <c r="X80" s="22" t="s">
        <v>80</v>
      </c>
      <c r="Y80" s="26">
        <v>43910</v>
      </c>
      <c r="Z80" s="26">
        <v>43920</v>
      </c>
      <c r="AA80" s="26">
        <v>43914</v>
      </c>
      <c r="AB80" s="26">
        <v>43914</v>
      </c>
      <c r="AC80" s="77" t="s">
        <v>201</v>
      </c>
      <c r="AD80" s="28"/>
      <c r="AE80" s="28"/>
      <c r="AF80" s="52">
        <v>1</v>
      </c>
      <c r="AG80" s="52">
        <v>1</v>
      </c>
      <c r="AH80" s="52">
        <v>1</v>
      </c>
      <c r="AI80" s="22"/>
      <c r="AJ80" s="22"/>
      <c r="AK80" s="22"/>
    </row>
    <row r="81" spans="2:37" x14ac:dyDescent="0.25">
      <c r="B81" s="59">
        <v>101</v>
      </c>
      <c r="C81" s="23">
        <v>20200319</v>
      </c>
      <c r="D81" s="22" t="s">
        <v>2</v>
      </c>
      <c r="E81" s="22" t="s">
        <v>452</v>
      </c>
      <c r="F81" s="24" t="s">
        <v>67</v>
      </c>
      <c r="G81" s="22" t="s">
        <v>151</v>
      </c>
      <c r="H81" s="22" t="s">
        <v>372</v>
      </c>
      <c r="I81" s="22" t="s">
        <v>331</v>
      </c>
      <c r="J81" s="22" t="s">
        <v>67</v>
      </c>
      <c r="K81" s="22" t="s">
        <v>812</v>
      </c>
      <c r="L81" s="24" t="s">
        <v>412</v>
      </c>
      <c r="M81" s="24" t="s">
        <v>473</v>
      </c>
      <c r="N81" s="25" t="s">
        <v>601</v>
      </c>
      <c r="O81" s="23" t="s">
        <v>198</v>
      </c>
      <c r="P81" s="22" t="s">
        <v>70</v>
      </c>
      <c r="Q81" s="22"/>
      <c r="R81" s="22"/>
      <c r="S81" s="22"/>
      <c r="T81" s="22">
        <v>26.244</v>
      </c>
      <c r="U81" s="22">
        <v>26.244</v>
      </c>
      <c r="V81" s="22">
        <v>1.615</v>
      </c>
      <c r="W81" s="22">
        <v>0.5</v>
      </c>
      <c r="X81" s="22" t="s">
        <v>80</v>
      </c>
      <c r="Y81" s="26">
        <v>43910</v>
      </c>
      <c r="Z81" s="26">
        <v>43920</v>
      </c>
      <c r="AA81" s="26">
        <v>43914</v>
      </c>
      <c r="AB81" s="26">
        <v>43914</v>
      </c>
      <c r="AC81" s="77" t="s">
        <v>201</v>
      </c>
      <c r="AD81" s="28"/>
      <c r="AE81" s="28"/>
      <c r="AF81" s="52">
        <v>1</v>
      </c>
      <c r="AG81" s="52">
        <v>1</v>
      </c>
      <c r="AH81" s="52">
        <v>1</v>
      </c>
      <c r="AI81" s="22"/>
      <c r="AJ81" s="22"/>
      <c r="AK81" s="22"/>
    </row>
    <row r="82" spans="2:37" x14ac:dyDescent="0.25">
      <c r="B82" s="59">
        <v>102</v>
      </c>
      <c r="C82" s="23">
        <v>20200319</v>
      </c>
      <c r="D82" s="22" t="s">
        <v>2</v>
      </c>
      <c r="E82" s="22" t="s">
        <v>452</v>
      </c>
      <c r="F82" s="24" t="s">
        <v>67</v>
      </c>
      <c r="G82" s="22" t="s">
        <v>152</v>
      </c>
      <c r="H82" s="22" t="s">
        <v>373</v>
      </c>
      <c r="I82" s="22" t="s">
        <v>331</v>
      </c>
      <c r="J82" s="22" t="s">
        <v>67</v>
      </c>
      <c r="K82" s="22" t="s">
        <v>812</v>
      </c>
      <c r="L82" s="24" t="s">
        <v>412</v>
      </c>
      <c r="M82" s="24" t="s">
        <v>473</v>
      </c>
      <c r="N82" s="25" t="s">
        <v>602</v>
      </c>
      <c r="O82" s="23" t="s">
        <v>198</v>
      </c>
      <c r="P82" s="22" t="s">
        <v>70</v>
      </c>
      <c r="Q82" s="22"/>
      <c r="R82" s="22"/>
      <c r="S82" s="22"/>
      <c r="T82" s="22">
        <v>26.244</v>
      </c>
      <c r="U82" s="22">
        <v>26.244</v>
      </c>
      <c r="V82" s="22">
        <v>1.615</v>
      </c>
      <c r="W82" s="22">
        <v>0.5</v>
      </c>
      <c r="X82" s="22" t="s">
        <v>80</v>
      </c>
      <c r="Y82" s="26">
        <v>43910</v>
      </c>
      <c r="Z82" s="26">
        <v>43920</v>
      </c>
      <c r="AA82" s="26">
        <v>43914</v>
      </c>
      <c r="AB82" s="26">
        <v>43914</v>
      </c>
      <c r="AC82" s="77" t="s">
        <v>202</v>
      </c>
      <c r="AD82" s="28"/>
      <c r="AE82" s="28"/>
      <c r="AF82" s="52">
        <v>1</v>
      </c>
      <c r="AG82" s="52">
        <v>1</v>
      </c>
      <c r="AH82" s="52">
        <v>0.875</v>
      </c>
      <c r="AI82" s="22" t="s">
        <v>640</v>
      </c>
      <c r="AJ82" s="22"/>
      <c r="AK82" s="22"/>
    </row>
    <row r="83" spans="2:37" x14ac:dyDescent="0.25">
      <c r="B83" s="59">
        <v>103</v>
      </c>
      <c r="C83" s="23">
        <v>20200319</v>
      </c>
      <c r="D83" s="22" t="s">
        <v>2</v>
      </c>
      <c r="E83" s="22" t="s">
        <v>452</v>
      </c>
      <c r="F83" s="24" t="s">
        <v>67</v>
      </c>
      <c r="G83" s="22" t="s">
        <v>153</v>
      </c>
      <c r="H83" s="22" t="s">
        <v>374</v>
      </c>
      <c r="I83" s="22" t="s">
        <v>331</v>
      </c>
      <c r="J83" s="22" t="s">
        <v>67</v>
      </c>
      <c r="K83" s="22" t="s">
        <v>812</v>
      </c>
      <c r="L83" s="24" t="s">
        <v>414</v>
      </c>
      <c r="M83" s="24" t="s">
        <v>473</v>
      </c>
      <c r="N83" s="25" t="s">
        <v>603</v>
      </c>
      <c r="O83" s="23" t="s">
        <v>198</v>
      </c>
      <c r="P83" s="22" t="s">
        <v>70</v>
      </c>
      <c r="Q83" s="22"/>
      <c r="R83" s="22"/>
      <c r="S83" s="22"/>
      <c r="T83" s="22">
        <v>26.244</v>
      </c>
      <c r="U83" s="22">
        <v>26.244</v>
      </c>
      <c r="V83" s="22">
        <v>1.615</v>
      </c>
      <c r="W83" s="22">
        <v>0.5</v>
      </c>
      <c r="X83" s="22" t="s">
        <v>80</v>
      </c>
      <c r="Y83" s="26">
        <v>43910</v>
      </c>
      <c r="Z83" s="26">
        <v>43920</v>
      </c>
      <c r="AA83" s="26">
        <v>43914</v>
      </c>
      <c r="AB83" s="26">
        <v>43914</v>
      </c>
      <c r="AC83" s="77" t="s">
        <v>202</v>
      </c>
      <c r="AD83" s="28"/>
      <c r="AE83" s="28"/>
      <c r="AF83" s="52">
        <v>0.77300000000000002</v>
      </c>
      <c r="AG83" s="52">
        <v>0.77300000000000002</v>
      </c>
      <c r="AH83" s="52" t="s">
        <v>216</v>
      </c>
      <c r="AI83" s="22" t="s">
        <v>641</v>
      </c>
      <c r="AJ83" s="22"/>
      <c r="AK83" s="22"/>
    </row>
    <row r="84" spans="2:37" x14ac:dyDescent="0.25">
      <c r="B84" s="59">
        <v>104</v>
      </c>
      <c r="C84" s="23">
        <v>20200319</v>
      </c>
      <c r="D84" s="22" t="s">
        <v>2</v>
      </c>
      <c r="E84" s="22" t="s">
        <v>452</v>
      </c>
      <c r="F84" s="24" t="s">
        <v>67</v>
      </c>
      <c r="G84" s="22" t="s">
        <v>154</v>
      </c>
      <c r="H84" s="22" t="s">
        <v>375</v>
      </c>
      <c r="I84" s="22" t="s">
        <v>331</v>
      </c>
      <c r="J84" s="22" t="s">
        <v>67</v>
      </c>
      <c r="K84" s="22" t="s">
        <v>812</v>
      </c>
      <c r="L84" s="24" t="s">
        <v>412</v>
      </c>
      <c r="M84" s="24" t="s">
        <v>473</v>
      </c>
      <c r="N84" s="25" t="s">
        <v>604</v>
      </c>
      <c r="O84" s="23" t="s">
        <v>198</v>
      </c>
      <c r="P84" s="22" t="s">
        <v>70</v>
      </c>
      <c r="Q84" s="22"/>
      <c r="R84" s="22"/>
      <c r="S84" s="22"/>
      <c r="T84" s="22">
        <v>26.244</v>
      </c>
      <c r="U84" s="22">
        <v>26.244</v>
      </c>
      <c r="V84" s="22">
        <v>1.615</v>
      </c>
      <c r="W84" s="22">
        <v>1</v>
      </c>
      <c r="X84" s="22" t="s">
        <v>80</v>
      </c>
      <c r="Y84" s="26">
        <v>43910</v>
      </c>
      <c r="Z84" s="26">
        <v>43920</v>
      </c>
      <c r="AA84" s="26">
        <v>43914</v>
      </c>
      <c r="AB84" s="26">
        <v>43914</v>
      </c>
      <c r="AC84" s="77" t="s">
        <v>202</v>
      </c>
      <c r="AD84" s="28"/>
      <c r="AE84" s="28"/>
      <c r="AF84" s="52">
        <v>0.8</v>
      </c>
      <c r="AG84" s="52">
        <v>0.81799999999999995</v>
      </c>
      <c r="AH84" s="52">
        <v>1</v>
      </c>
      <c r="AI84" s="22" t="s">
        <v>642</v>
      </c>
      <c r="AJ84" s="22"/>
      <c r="AK84" s="22"/>
    </row>
    <row r="85" spans="2:37" x14ac:dyDescent="0.25">
      <c r="B85" s="59">
        <v>105</v>
      </c>
      <c r="C85" s="23">
        <v>20200319</v>
      </c>
      <c r="D85" s="22" t="s">
        <v>2</v>
      </c>
      <c r="E85" s="22" t="s">
        <v>452</v>
      </c>
      <c r="F85" s="24" t="s">
        <v>67</v>
      </c>
      <c r="G85" s="22" t="s">
        <v>296</v>
      </c>
      <c r="H85" s="22" t="s">
        <v>376</v>
      </c>
      <c r="I85" s="22" t="s">
        <v>331</v>
      </c>
      <c r="J85" s="22" t="s">
        <v>67</v>
      </c>
      <c r="K85" s="22" t="s">
        <v>812</v>
      </c>
      <c r="L85" s="24" t="s">
        <v>412</v>
      </c>
      <c r="M85" s="24" t="s">
        <v>473</v>
      </c>
      <c r="N85" s="25" t="s">
        <v>605</v>
      </c>
      <c r="O85" s="23" t="s">
        <v>198</v>
      </c>
      <c r="P85" s="22" t="s">
        <v>70</v>
      </c>
      <c r="Q85" s="22"/>
      <c r="R85" s="22"/>
      <c r="S85" s="22"/>
      <c r="T85" s="22">
        <v>26.244</v>
      </c>
      <c r="U85" s="22">
        <v>26.244</v>
      </c>
      <c r="V85" s="22">
        <v>1.615</v>
      </c>
      <c r="W85" s="22">
        <v>1</v>
      </c>
      <c r="X85" s="22" t="s">
        <v>80</v>
      </c>
      <c r="Y85" s="26">
        <v>43910</v>
      </c>
      <c r="Z85" s="26">
        <v>43920</v>
      </c>
      <c r="AA85" s="26">
        <v>43914</v>
      </c>
      <c r="AB85" s="26">
        <v>43914</v>
      </c>
      <c r="AC85" s="77" t="s">
        <v>201</v>
      </c>
      <c r="AD85" s="28"/>
      <c r="AE85" s="28"/>
      <c r="AF85" s="52">
        <v>1</v>
      </c>
      <c r="AG85" s="52">
        <v>1</v>
      </c>
      <c r="AH85" s="52">
        <v>1</v>
      </c>
      <c r="AI85" s="22"/>
      <c r="AJ85" s="22"/>
      <c r="AK85" s="22"/>
    </row>
    <row r="86" spans="2:37" x14ac:dyDescent="0.25">
      <c r="B86" s="59">
        <v>106</v>
      </c>
      <c r="C86" s="23">
        <v>20200319</v>
      </c>
      <c r="D86" s="22" t="s">
        <v>2</v>
      </c>
      <c r="E86" s="22" t="s">
        <v>452</v>
      </c>
      <c r="F86" s="24" t="s">
        <v>67</v>
      </c>
      <c r="G86" s="22" t="s">
        <v>155</v>
      </c>
      <c r="H86" s="22" t="s">
        <v>377</v>
      </c>
      <c r="I86" s="22" t="s">
        <v>331</v>
      </c>
      <c r="J86" s="22" t="s">
        <v>67</v>
      </c>
      <c r="K86" s="22" t="s">
        <v>812</v>
      </c>
      <c r="L86" s="24" t="s">
        <v>412</v>
      </c>
      <c r="M86" s="24" t="s">
        <v>473</v>
      </c>
      <c r="N86" s="25" t="s">
        <v>606</v>
      </c>
      <c r="O86" s="23" t="s">
        <v>198</v>
      </c>
      <c r="P86" s="22" t="s">
        <v>70</v>
      </c>
      <c r="Q86" s="22"/>
      <c r="R86" s="22"/>
      <c r="S86" s="22"/>
      <c r="T86" s="22">
        <v>64.918999999999997</v>
      </c>
      <c r="U86" s="22">
        <v>64.918999999999997</v>
      </c>
      <c r="V86" s="22">
        <v>3.9950000000000001</v>
      </c>
      <c r="W86" s="22">
        <v>2</v>
      </c>
      <c r="X86" s="22" t="s">
        <v>99</v>
      </c>
      <c r="Y86" s="26">
        <v>43910</v>
      </c>
      <c r="Z86" s="26">
        <v>43920</v>
      </c>
      <c r="AA86" s="26">
        <v>43916</v>
      </c>
      <c r="AB86" s="26">
        <v>43916</v>
      </c>
      <c r="AC86" s="26" t="s">
        <v>202</v>
      </c>
      <c r="AD86" s="28"/>
      <c r="AE86" s="28"/>
      <c r="AF86" s="52">
        <v>1</v>
      </c>
      <c r="AG86" s="52">
        <v>1</v>
      </c>
      <c r="AH86" s="52">
        <v>1</v>
      </c>
      <c r="AI86" s="22" t="s">
        <v>650</v>
      </c>
      <c r="AJ86" s="22"/>
      <c r="AK86" s="22"/>
    </row>
    <row r="87" spans="2:37" x14ac:dyDescent="0.25">
      <c r="B87" s="59">
        <v>107</v>
      </c>
      <c r="C87" s="23">
        <v>20200319</v>
      </c>
      <c r="D87" s="22" t="s">
        <v>2</v>
      </c>
      <c r="E87" s="22" t="s">
        <v>452</v>
      </c>
      <c r="F87" s="24" t="s">
        <v>67</v>
      </c>
      <c r="G87" s="22" t="s">
        <v>156</v>
      </c>
      <c r="H87" s="22" t="s">
        <v>378</v>
      </c>
      <c r="I87" s="22" t="s">
        <v>331</v>
      </c>
      <c r="J87" s="22" t="s">
        <v>67</v>
      </c>
      <c r="K87" s="22" t="s">
        <v>812</v>
      </c>
      <c r="L87" s="24" t="s">
        <v>412</v>
      </c>
      <c r="M87" s="24" t="s">
        <v>473</v>
      </c>
      <c r="N87" s="25" t="s">
        <v>607</v>
      </c>
      <c r="O87" s="23" t="s">
        <v>198</v>
      </c>
      <c r="P87" s="22" t="s">
        <v>70</v>
      </c>
      <c r="Q87" s="22"/>
      <c r="R87" s="22"/>
      <c r="S87" s="22"/>
      <c r="T87" s="22">
        <v>103.59399999999999</v>
      </c>
      <c r="U87" s="22">
        <v>103.59399999999999</v>
      </c>
      <c r="V87" s="22">
        <v>6.375</v>
      </c>
      <c r="W87" s="22">
        <v>1</v>
      </c>
      <c r="X87" s="22" t="s">
        <v>80</v>
      </c>
      <c r="Y87" s="26">
        <v>43910</v>
      </c>
      <c r="Z87" s="26">
        <v>43920</v>
      </c>
      <c r="AA87" s="26">
        <v>43914</v>
      </c>
      <c r="AB87" s="26">
        <v>43914</v>
      </c>
      <c r="AC87" s="77" t="s">
        <v>202</v>
      </c>
      <c r="AD87" s="28"/>
      <c r="AE87" s="28"/>
      <c r="AF87" s="52">
        <v>0.94599999999999995</v>
      </c>
      <c r="AG87" s="52">
        <v>0.95199999999999996</v>
      </c>
      <c r="AH87" s="52">
        <v>1</v>
      </c>
      <c r="AI87" s="22" t="s">
        <v>643</v>
      </c>
      <c r="AJ87" s="22"/>
      <c r="AK87" s="22"/>
    </row>
    <row r="88" spans="2:37" x14ac:dyDescent="0.25">
      <c r="B88" s="59">
        <v>108</v>
      </c>
      <c r="C88" s="23">
        <v>20200319</v>
      </c>
      <c r="D88" s="22" t="s">
        <v>2</v>
      </c>
      <c r="E88" s="22" t="s">
        <v>452</v>
      </c>
      <c r="F88" s="24" t="s">
        <v>67</v>
      </c>
      <c r="G88" s="22" t="s">
        <v>157</v>
      </c>
      <c r="H88" s="22" t="s">
        <v>379</v>
      </c>
      <c r="I88" s="22" t="s">
        <v>331</v>
      </c>
      <c r="J88" s="22" t="s">
        <v>67</v>
      </c>
      <c r="K88" s="22" t="s">
        <v>812</v>
      </c>
      <c r="L88" s="24" t="s">
        <v>412</v>
      </c>
      <c r="M88" s="24" t="s">
        <v>473</v>
      </c>
      <c r="N88" s="25" t="s">
        <v>608</v>
      </c>
      <c r="O88" s="23" t="s">
        <v>198</v>
      </c>
      <c r="P88" s="22" t="s">
        <v>70</v>
      </c>
      <c r="Q88" s="22"/>
      <c r="R88" s="22"/>
      <c r="S88" s="22"/>
      <c r="T88" s="22">
        <v>26.244</v>
      </c>
      <c r="U88" s="22">
        <v>26.244</v>
      </c>
      <c r="V88" s="22">
        <v>1.615</v>
      </c>
      <c r="W88" s="22">
        <v>1</v>
      </c>
      <c r="X88" s="22" t="s">
        <v>80</v>
      </c>
      <c r="Y88" s="26">
        <v>43910</v>
      </c>
      <c r="Z88" s="26">
        <v>43920</v>
      </c>
      <c r="AA88" s="26">
        <v>43914</v>
      </c>
      <c r="AB88" s="26">
        <v>43914</v>
      </c>
      <c r="AC88" s="77" t="s">
        <v>201</v>
      </c>
      <c r="AD88" s="28"/>
      <c r="AE88" s="28"/>
      <c r="AF88" s="52">
        <v>1</v>
      </c>
      <c r="AG88" s="52">
        <v>1</v>
      </c>
      <c r="AH88" s="52">
        <v>1</v>
      </c>
      <c r="AI88" s="22"/>
      <c r="AJ88" s="22"/>
      <c r="AK88" s="22"/>
    </row>
    <row r="89" spans="2:37" x14ac:dyDescent="0.25">
      <c r="B89" s="59">
        <v>109</v>
      </c>
      <c r="C89" s="23">
        <v>20200319</v>
      </c>
      <c r="D89" s="22" t="s">
        <v>2</v>
      </c>
      <c r="E89" s="22" t="s">
        <v>452</v>
      </c>
      <c r="F89" s="24" t="s">
        <v>67</v>
      </c>
      <c r="G89" s="22" t="s">
        <v>297</v>
      </c>
      <c r="H89" s="22" t="s">
        <v>380</v>
      </c>
      <c r="I89" s="22" t="s">
        <v>332</v>
      </c>
      <c r="J89" s="22" t="s">
        <v>67</v>
      </c>
      <c r="K89" s="22" t="s">
        <v>812</v>
      </c>
      <c r="L89" s="24" t="s">
        <v>412</v>
      </c>
      <c r="M89" s="24" t="s">
        <v>473</v>
      </c>
      <c r="N89" s="25" t="s">
        <v>609</v>
      </c>
      <c r="O89" s="23" t="s">
        <v>198</v>
      </c>
      <c r="P89" s="22" t="s">
        <v>70</v>
      </c>
      <c r="Q89" s="22"/>
      <c r="R89" s="22"/>
      <c r="S89" s="22"/>
      <c r="T89" s="22">
        <v>48.344000000000001</v>
      </c>
      <c r="U89" s="22">
        <v>48.344000000000001</v>
      </c>
      <c r="V89" s="22">
        <v>2.9750000000000001</v>
      </c>
      <c r="W89" s="22">
        <v>2</v>
      </c>
      <c r="X89" s="22" t="s">
        <v>80</v>
      </c>
      <c r="Y89" s="26">
        <v>43910</v>
      </c>
      <c r="Z89" s="26">
        <v>43920</v>
      </c>
      <c r="AA89" s="26">
        <v>43916</v>
      </c>
      <c r="AB89" s="26">
        <v>43916</v>
      </c>
      <c r="AC89" s="26" t="s">
        <v>202</v>
      </c>
      <c r="AD89" s="28"/>
      <c r="AE89" s="28"/>
      <c r="AF89" s="52">
        <v>0.879</v>
      </c>
      <c r="AG89" s="52">
        <v>0.89700000000000002</v>
      </c>
      <c r="AH89" s="52">
        <v>1</v>
      </c>
      <c r="AI89" s="22" t="s">
        <v>648</v>
      </c>
      <c r="AJ89" s="22"/>
      <c r="AK89" s="22"/>
    </row>
    <row r="90" spans="2:37" x14ac:dyDescent="0.25">
      <c r="B90" s="59">
        <v>110</v>
      </c>
      <c r="C90" s="23">
        <v>20200319</v>
      </c>
      <c r="D90" s="22" t="s">
        <v>2</v>
      </c>
      <c r="E90" s="22" t="s">
        <v>452</v>
      </c>
      <c r="F90" s="24" t="s">
        <v>67</v>
      </c>
      <c r="G90" s="22" t="s">
        <v>430</v>
      </c>
      <c r="H90" s="22" t="s">
        <v>381</v>
      </c>
      <c r="I90" s="22" t="s">
        <v>331</v>
      </c>
      <c r="J90" s="22" t="s">
        <v>67</v>
      </c>
      <c r="K90" s="22" t="s">
        <v>812</v>
      </c>
      <c r="L90" s="24" t="s">
        <v>412</v>
      </c>
      <c r="M90" s="24" t="s">
        <v>473</v>
      </c>
      <c r="N90" s="25" t="s">
        <v>610</v>
      </c>
      <c r="O90" s="23" t="s">
        <v>198</v>
      </c>
      <c r="P90" s="22" t="s">
        <v>70</v>
      </c>
      <c r="Q90" s="22"/>
      <c r="R90" s="22"/>
      <c r="S90" s="22"/>
      <c r="T90" s="22">
        <v>81.494</v>
      </c>
      <c r="U90" s="22">
        <v>81.494</v>
      </c>
      <c r="V90" s="22">
        <v>5.0150000000000006</v>
      </c>
      <c r="W90" s="22">
        <v>4</v>
      </c>
      <c r="X90" s="22" t="s">
        <v>80</v>
      </c>
      <c r="Y90" s="26">
        <v>43910</v>
      </c>
      <c r="Z90" s="26">
        <v>43920</v>
      </c>
      <c r="AA90" s="26">
        <v>43915</v>
      </c>
      <c r="AB90" s="26">
        <v>43915</v>
      </c>
      <c r="AC90" s="26" t="s">
        <v>202</v>
      </c>
      <c r="AD90" s="114"/>
      <c r="AE90" s="114"/>
      <c r="AF90" s="52">
        <v>0.879</v>
      </c>
      <c r="AG90" s="52">
        <v>0.88900000000000001</v>
      </c>
      <c r="AH90" s="52">
        <v>1</v>
      </c>
      <c r="AI90" s="22" t="s">
        <v>649</v>
      </c>
      <c r="AJ90" s="22"/>
      <c r="AK90" s="22"/>
    </row>
    <row r="91" spans="2:37" x14ac:dyDescent="0.25">
      <c r="B91" s="59">
        <v>111</v>
      </c>
      <c r="C91" s="23">
        <v>20200319</v>
      </c>
      <c r="D91" s="22" t="s">
        <v>2</v>
      </c>
      <c r="E91" s="22" t="s">
        <v>452</v>
      </c>
      <c r="F91" s="24" t="s">
        <v>67</v>
      </c>
      <c r="G91" s="22" t="s">
        <v>158</v>
      </c>
      <c r="H91" s="22" t="s">
        <v>382</v>
      </c>
      <c r="I91" s="22" t="s">
        <v>331</v>
      </c>
      <c r="J91" s="22" t="s">
        <v>67</v>
      </c>
      <c r="K91" s="22" t="s">
        <v>812</v>
      </c>
      <c r="L91" s="24" t="s">
        <v>412</v>
      </c>
      <c r="M91" s="24" t="s">
        <v>473</v>
      </c>
      <c r="N91" s="25" t="s">
        <v>611</v>
      </c>
      <c r="O91" s="23" t="s">
        <v>198</v>
      </c>
      <c r="P91" s="22" t="s">
        <v>70</v>
      </c>
      <c r="Q91" s="22"/>
      <c r="R91" s="22"/>
      <c r="S91" s="22"/>
      <c r="T91" s="22">
        <v>26.244</v>
      </c>
      <c r="U91" s="22">
        <v>26.244</v>
      </c>
      <c r="V91" s="22">
        <v>1.615</v>
      </c>
      <c r="W91" s="22">
        <v>1</v>
      </c>
      <c r="X91" s="22" t="s">
        <v>80</v>
      </c>
      <c r="Y91" s="26">
        <v>43910</v>
      </c>
      <c r="Z91" s="26">
        <v>43920</v>
      </c>
      <c r="AA91" s="26">
        <v>43914</v>
      </c>
      <c r="AB91" s="26">
        <v>43914</v>
      </c>
      <c r="AC91" s="77" t="s">
        <v>201</v>
      </c>
      <c r="AD91" s="114"/>
      <c r="AE91" s="114"/>
      <c r="AF91" s="52">
        <v>1</v>
      </c>
      <c r="AG91" s="52">
        <v>1</v>
      </c>
      <c r="AH91" s="52">
        <v>1</v>
      </c>
      <c r="AI91" s="22"/>
      <c r="AJ91" s="22"/>
      <c r="AK91" s="22"/>
    </row>
    <row r="92" spans="2:37" x14ac:dyDescent="0.25">
      <c r="B92" s="59">
        <v>112</v>
      </c>
      <c r="C92" s="23">
        <v>20200319</v>
      </c>
      <c r="D92" s="22" t="s">
        <v>2</v>
      </c>
      <c r="E92" s="22" t="s">
        <v>452</v>
      </c>
      <c r="F92" s="24" t="s">
        <v>67</v>
      </c>
      <c r="G92" s="22" t="s">
        <v>431</v>
      </c>
      <c r="H92" s="22" t="s">
        <v>383</v>
      </c>
      <c r="I92" s="22" t="s">
        <v>331</v>
      </c>
      <c r="J92" s="22" t="s">
        <v>67</v>
      </c>
      <c r="K92" s="22" t="s">
        <v>812</v>
      </c>
      <c r="L92" s="24" t="s">
        <v>415</v>
      </c>
      <c r="M92" s="24" t="s">
        <v>473</v>
      </c>
      <c r="N92" s="25" t="s">
        <v>612</v>
      </c>
      <c r="O92" s="23" t="s">
        <v>200</v>
      </c>
      <c r="P92" s="22" t="s">
        <v>72</v>
      </c>
      <c r="Q92" s="22"/>
      <c r="R92" s="22"/>
      <c r="S92" s="22"/>
      <c r="T92" s="22">
        <v>26.244</v>
      </c>
      <c r="U92" s="22">
        <v>26.244</v>
      </c>
      <c r="V92" s="22">
        <v>1.615</v>
      </c>
      <c r="W92" s="22">
        <v>1</v>
      </c>
      <c r="X92" s="22" t="s">
        <v>80</v>
      </c>
      <c r="Y92" s="26">
        <v>43910</v>
      </c>
      <c r="Z92" s="26">
        <v>43920</v>
      </c>
      <c r="AA92" s="26">
        <v>43917</v>
      </c>
      <c r="AB92" s="26">
        <v>43917</v>
      </c>
      <c r="AC92" s="26" t="s">
        <v>201</v>
      </c>
      <c r="AD92" s="114"/>
      <c r="AE92" s="114"/>
      <c r="AF92" s="52">
        <v>1</v>
      </c>
      <c r="AG92" s="52">
        <v>1</v>
      </c>
      <c r="AH92" s="52">
        <v>1</v>
      </c>
      <c r="AI92" s="22"/>
      <c r="AJ92" s="22"/>
      <c r="AK92" s="22"/>
    </row>
    <row r="93" spans="2:37" x14ac:dyDescent="0.25">
      <c r="B93" s="59">
        <v>113</v>
      </c>
      <c r="C93" s="23">
        <v>20200319</v>
      </c>
      <c r="D93" s="22" t="s">
        <v>2</v>
      </c>
      <c r="E93" s="22" t="s">
        <v>452</v>
      </c>
      <c r="F93" s="24" t="s">
        <v>67</v>
      </c>
      <c r="G93" s="22" t="s">
        <v>298</v>
      </c>
      <c r="H93" s="22" t="s">
        <v>384</v>
      </c>
      <c r="I93" s="22" t="s">
        <v>331</v>
      </c>
      <c r="J93" s="22" t="s">
        <v>67</v>
      </c>
      <c r="K93" s="22" t="s">
        <v>812</v>
      </c>
      <c r="L93" s="24" t="s">
        <v>412</v>
      </c>
      <c r="M93" s="24" t="s">
        <v>473</v>
      </c>
      <c r="N93" s="25" t="s">
        <v>613</v>
      </c>
      <c r="O93" s="23" t="s">
        <v>200</v>
      </c>
      <c r="P93" s="22" t="s">
        <v>72</v>
      </c>
      <c r="Q93" s="22"/>
      <c r="R93" s="22"/>
      <c r="S93" s="22"/>
      <c r="T93" s="22">
        <v>26.244</v>
      </c>
      <c r="U93" s="22">
        <v>26.244</v>
      </c>
      <c r="V93" s="22">
        <v>1.615</v>
      </c>
      <c r="W93" s="22">
        <v>1</v>
      </c>
      <c r="X93" s="22" t="s">
        <v>80</v>
      </c>
      <c r="Y93" s="26">
        <v>43910</v>
      </c>
      <c r="Z93" s="26">
        <v>43920</v>
      </c>
      <c r="AA93" s="26">
        <v>43917</v>
      </c>
      <c r="AB93" s="26">
        <v>43917</v>
      </c>
      <c r="AC93" s="26" t="s">
        <v>201</v>
      </c>
      <c r="AD93" s="114"/>
      <c r="AE93" s="114"/>
      <c r="AF93" s="52">
        <v>1</v>
      </c>
      <c r="AG93" s="52">
        <v>1</v>
      </c>
      <c r="AH93" s="52">
        <v>1</v>
      </c>
      <c r="AI93" s="22"/>
      <c r="AJ93" s="22"/>
      <c r="AK93" s="22"/>
    </row>
    <row r="94" spans="2:37" x14ac:dyDescent="0.25">
      <c r="B94" s="59">
        <v>114</v>
      </c>
      <c r="C94" s="23">
        <v>20200319</v>
      </c>
      <c r="D94" s="22" t="s">
        <v>2</v>
      </c>
      <c r="E94" s="22" t="s">
        <v>452</v>
      </c>
      <c r="F94" s="24" t="s">
        <v>67</v>
      </c>
      <c r="G94" s="22" t="s">
        <v>299</v>
      </c>
      <c r="H94" s="22" t="s">
        <v>385</v>
      </c>
      <c r="I94" s="22" t="s">
        <v>331</v>
      </c>
      <c r="J94" s="22" t="s">
        <v>67</v>
      </c>
      <c r="K94" s="22" t="s">
        <v>812</v>
      </c>
      <c r="L94" s="24" t="s">
        <v>412</v>
      </c>
      <c r="M94" s="24" t="s">
        <v>473</v>
      </c>
      <c r="N94" s="25" t="s">
        <v>614</v>
      </c>
      <c r="O94" s="23" t="s">
        <v>200</v>
      </c>
      <c r="P94" s="22" t="s">
        <v>72</v>
      </c>
      <c r="Q94" s="22"/>
      <c r="R94" s="22"/>
      <c r="S94" s="22"/>
      <c r="T94" s="22">
        <v>53.869</v>
      </c>
      <c r="U94" s="22">
        <v>53.869</v>
      </c>
      <c r="V94" s="22">
        <v>3.3150000000000004</v>
      </c>
      <c r="W94" s="22">
        <v>1</v>
      </c>
      <c r="X94" s="22" t="s">
        <v>80</v>
      </c>
      <c r="Y94" s="26">
        <v>43910</v>
      </c>
      <c r="Z94" s="26">
        <v>43920</v>
      </c>
      <c r="AA94" s="26">
        <v>43917</v>
      </c>
      <c r="AB94" s="26">
        <v>43917</v>
      </c>
      <c r="AC94" s="26" t="s">
        <v>201</v>
      </c>
      <c r="AD94" s="114"/>
      <c r="AE94" s="114"/>
      <c r="AF94" s="52">
        <v>1</v>
      </c>
      <c r="AG94" s="52">
        <v>1</v>
      </c>
      <c r="AH94" s="52">
        <v>1</v>
      </c>
      <c r="AI94" s="22"/>
      <c r="AJ94" s="22"/>
      <c r="AK94" s="22"/>
    </row>
    <row r="95" spans="2:37" x14ac:dyDescent="0.25">
      <c r="B95" s="59">
        <v>115</v>
      </c>
      <c r="C95" s="23">
        <v>20200319</v>
      </c>
      <c r="D95" s="22" t="s">
        <v>2</v>
      </c>
      <c r="E95" s="22" t="s">
        <v>452</v>
      </c>
      <c r="F95" s="24" t="s">
        <v>67</v>
      </c>
      <c r="G95" s="22" t="s">
        <v>432</v>
      </c>
      <c r="H95" s="22" t="s">
        <v>386</v>
      </c>
      <c r="I95" s="22" t="s">
        <v>331</v>
      </c>
      <c r="J95" s="22" t="s">
        <v>67</v>
      </c>
      <c r="K95" s="22" t="s">
        <v>812</v>
      </c>
      <c r="L95" s="24" t="s">
        <v>412</v>
      </c>
      <c r="M95" s="24" t="s">
        <v>473</v>
      </c>
      <c r="N95" s="25" t="s">
        <v>615</v>
      </c>
      <c r="O95" s="23" t="s">
        <v>200</v>
      </c>
      <c r="P95" s="22" t="s">
        <v>72</v>
      </c>
      <c r="Q95" s="22"/>
      <c r="R95" s="22"/>
      <c r="S95" s="22"/>
      <c r="T95" s="22">
        <v>26.244</v>
      </c>
      <c r="U95" s="22">
        <v>26.244</v>
      </c>
      <c r="V95" s="22">
        <v>1.615</v>
      </c>
      <c r="W95" s="22">
        <v>1</v>
      </c>
      <c r="X95" s="22" t="s">
        <v>80</v>
      </c>
      <c r="Y95" s="26">
        <v>43910</v>
      </c>
      <c r="Z95" s="26">
        <v>43920</v>
      </c>
      <c r="AA95" s="26">
        <v>43917</v>
      </c>
      <c r="AB95" s="26">
        <v>43917</v>
      </c>
      <c r="AC95" s="26" t="s">
        <v>201</v>
      </c>
      <c r="AD95" s="114"/>
      <c r="AE95" s="114"/>
      <c r="AF95" s="52">
        <v>1</v>
      </c>
      <c r="AG95" s="52">
        <v>1</v>
      </c>
      <c r="AH95" s="52">
        <v>1</v>
      </c>
      <c r="AI95" s="22"/>
      <c r="AJ95" s="22"/>
      <c r="AK95" s="22"/>
    </row>
    <row r="96" spans="2:37" x14ac:dyDescent="0.25">
      <c r="B96" s="59">
        <v>116</v>
      </c>
      <c r="C96" s="23">
        <v>20200319</v>
      </c>
      <c r="D96" s="22" t="s">
        <v>2</v>
      </c>
      <c r="E96" s="22" t="s">
        <v>452</v>
      </c>
      <c r="F96" s="24" t="s">
        <v>67</v>
      </c>
      <c r="G96" s="22" t="s">
        <v>433</v>
      </c>
      <c r="H96" s="22" t="s">
        <v>387</v>
      </c>
      <c r="I96" s="22" t="s">
        <v>331</v>
      </c>
      <c r="J96" s="22" t="s">
        <v>67</v>
      </c>
      <c r="K96" s="22" t="s">
        <v>812</v>
      </c>
      <c r="L96" s="24" t="s">
        <v>413</v>
      </c>
      <c r="M96" s="24" t="s">
        <v>473</v>
      </c>
      <c r="N96" s="25" t="s">
        <v>616</v>
      </c>
      <c r="O96" s="23" t="s">
        <v>200</v>
      </c>
      <c r="P96" s="22" t="s">
        <v>72</v>
      </c>
      <c r="Q96" s="22"/>
      <c r="R96" s="22"/>
      <c r="S96" s="22"/>
      <c r="T96" s="22">
        <v>26.244</v>
      </c>
      <c r="U96" s="22">
        <v>26.244</v>
      </c>
      <c r="V96" s="22">
        <v>1.615</v>
      </c>
      <c r="W96" s="22">
        <v>1</v>
      </c>
      <c r="X96" s="22" t="s">
        <v>80</v>
      </c>
      <c r="Y96" s="26">
        <v>43910</v>
      </c>
      <c r="Z96" s="26">
        <v>43920</v>
      </c>
      <c r="AA96" s="26">
        <v>43917</v>
      </c>
      <c r="AB96" s="26">
        <v>43917</v>
      </c>
      <c r="AC96" s="26" t="s">
        <v>201</v>
      </c>
      <c r="AD96" s="114"/>
      <c r="AE96" s="114"/>
      <c r="AF96" s="52">
        <v>1</v>
      </c>
      <c r="AG96" s="52">
        <v>1</v>
      </c>
      <c r="AH96" s="52">
        <v>1</v>
      </c>
      <c r="AI96" s="22"/>
      <c r="AJ96" s="22"/>
      <c r="AK96" s="22"/>
    </row>
    <row r="97" spans="2:37" x14ac:dyDescent="0.25">
      <c r="B97" s="59">
        <v>117</v>
      </c>
      <c r="C97" s="23">
        <v>20200319</v>
      </c>
      <c r="D97" s="22" t="s">
        <v>2</v>
      </c>
      <c r="E97" s="22" t="s">
        <v>452</v>
      </c>
      <c r="F97" s="24" t="s">
        <v>67</v>
      </c>
      <c r="G97" s="22" t="s">
        <v>300</v>
      </c>
      <c r="H97" s="22" t="s">
        <v>388</v>
      </c>
      <c r="I97" s="22" t="s">
        <v>331</v>
      </c>
      <c r="J97" s="22" t="s">
        <v>67</v>
      </c>
      <c r="K97" s="22" t="s">
        <v>812</v>
      </c>
      <c r="L97" s="24" t="s">
        <v>412</v>
      </c>
      <c r="M97" s="24" t="s">
        <v>473</v>
      </c>
      <c r="N97" s="25" t="s">
        <v>617</v>
      </c>
      <c r="O97" s="23" t="s">
        <v>200</v>
      </c>
      <c r="P97" s="22" t="s">
        <v>72</v>
      </c>
      <c r="Q97" s="22"/>
      <c r="R97" s="22"/>
      <c r="S97" s="22"/>
      <c r="T97" s="22">
        <v>59.393999999999998</v>
      </c>
      <c r="U97" s="22">
        <v>59.393999999999998</v>
      </c>
      <c r="V97" s="22">
        <v>3.6549999999999998</v>
      </c>
      <c r="W97" s="22">
        <v>5</v>
      </c>
      <c r="X97" s="22" t="s">
        <v>80</v>
      </c>
      <c r="Y97" s="26">
        <v>43910</v>
      </c>
      <c r="Z97" s="26">
        <v>43920</v>
      </c>
      <c r="AA97" s="26">
        <v>43914</v>
      </c>
      <c r="AB97" s="26">
        <v>43914</v>
      </c>
      <c r="AC97" s="26" t="s">
        <v>201</v>
      </c>
      <c r="AD97" s="114"/>
      <c r="AE97" s="114"/>
      <c r="AF97" s="52">
        <v>1</v>
      </c>
      <c r="AG97" s="52">
        <v>1</v>
      </c>
      <c r="AH97" s="52" t="s">
        <v>216</v>
      </c>
      <c r="AI97" s="22"/>
      <c r="AJ97" s="22"/>
      <c r="AK97" s="22"/>
    </row>
    <row r="98" spans="2:37" x14ac:dyDescent="0.25">
      <c r="B98" s="59">
        <v>118</v>
      </c>
      <c r="C98" s="23">
        <v>20200319</v>
      </c>
      <c r="D98" s="22" t="s">
        <v>2</v>
      </c>
      <c r="E98" s="22" t="s">
        <v>452</v>
      </c>
      <c r="F98" s="24" t="s">
        <v>67</v>
      </c>
      <c r="G98" s="22" t="s">
        <v>301</v>
      </c>
      <c r="H98" s="22" t="s">
        <v>389</v>
      </c>
      <c r="I98" s="22" t="s">
        <v>424</v>
      </c>
      <c r="J98" s="22" t="s">
        <v>67</v>
      </c>
      <c r="K98" s="22" t="s">
        <v>812</v>
      </c>
      <c r="L98" s="24" t="s">
        <v>416</v>
      </c>
      <c r="M98" s="24" t="s">
        <v>473</v>
      </c>
      <c r="N98" s="25" t="s">
        <v>618</v>
      </c>
      <c r="O98" s="23" t="s">
        <v>200</v>
      </c>
      <c r="P98" s="22" t="s">
        <v>72</v>
      </c>
      <c r="Q98" s="22"/>
      <c r="R98" s="22"/>
      <c r="S98" s="22"/>
      <c r="T98" s="22">
        <v>158.84399999999999</v>
      </c>
      <c r="U98" s="22">
        <v>158.84399999999999</v>
      </c>
      <c r="V98" s="22">
        <v>9.7750000000000004</v>
      </c>
      <c r="W98" s="22">
        <v>2</v>
      </c>
      <c r="X98" s="22" t="s">
        <v>80</v>
      </c>
      <c r="Y98" s="26">
        <v>43910</v>
      </c>
      <c r="Z98" s="26">
        <v>43920</v>
      </c>
      <c r="AA98" s="26">
        <v>43917</v>
      </c>
      <c r="AB98" s="26">
        <v>43917</v>
      </c>
      <c r="AC98" s="26" t="s">
        <v>201</v>
      </c>
      <c r="AD98" s="114"/>
      <c r="AE98" s="114"/>
      <c r="AF98" s="52">
        <v>1</v>
      </c>
      <c r="AG98" s="52">
        <v>1</v>
      </c>
      <c r="AH98" s="52">
        <v>1</v>
      </c>
      <c r="AI98" s="22"/>
      <c r="AJ98" s="22"/>
      <c r="AK98" s="22"/>
    </row>
    <row r="99" spans="2:37" x14ac:dyDescent="0.25">
      <c r="B99" s="59">
        <v>119</v>
      </c>
      <c r="C99" s="23">
        <v>20200319</v>
      </c>
      <c r="D99" s="22" t="s">
        <v>2</v>
      </c>
      <c r="E99" s="22" t="s">
        <v>452</v>
      </c>
      <c r="F99" s="24" t="s">
        <v>67</v>
      </c>
      <c r="G99" s="22" t="s">
        <v>302</v>
      </c>
      <c r="H99" s="22" t="s">
        <v>390</v>
      </c>
      <c r="I99" s="22" t="s">
        <v>331</v>
      </c>
      <c r="J99" s="22" t="s">
        <v>67</v>
      </c>
      <c r="K99" s="22" t="s">
        <v>812</v>
      </c>
      <c r="L99" s="24" t="s">
        <v>417</v>
      </c>
      <c r="M99" s="24" t="s">
        <v>473</v>
      </c>
      <c r="N99" s="25" t="s">
        <v>619</v>
      </c>
      <c r="O99" s="23" t="s">
        <v>200</v>
      </c>
      <c r="P99" s="22" t="s">
        <v>72</v>
      </c>
      <c r="Q99" s="22"/>
      <c r="R99" s="22"/>
      <c r="S99" s="22"/>
      <c r="T99" s="22">
        <v>26.244</v>
      </c>
      <c r="U99" s="22">
        <v>26.244</v>
      </c>
      <c r="V99" s="22">
        <v>1.615</v>
      </c>
      <c r="W99" s="22">
        <v>1</v>
      </c>
      <c r="X99" s="22" t="s">
        <v>80</v>
      </c>
      <c r="Y99" s="26">
        <v>43910</v>
      </c>
      <c r="Z99" s="26">
        <v>43920</v>
      </c>
      <c r="AA99" s="26">
        <v>43917</v>
      </c>
      <c r="AB99" s="26">
        <v>43917</v>
      </c>
      <c r="AC99" s="26" t="s">
        <v>201</v>
      </c>
      <c r="AD99" s="114"/>
      <c r="AE99" s="114"/>
      <c r="AF99" s="52">
        <v>1</v>
      </c>
      <c r="AG99" s="52">
        <v>1</v>
      </c>
      <c r="AH99" s="52">
        <v>1</v>
      </c>
      <c r="AI99" s="22"/>
      <c r="AJ99" s="22"/>
      <c r="AK99" s="22"/>
    </row>
    <row r="100" spans="2:37" x14ac:dyDescent="0.25">
      <c r="B100" s="59">
        <v>120</v>
      </c>
      <c r="C100" s="23">
        <v>20200319</v>
      </c>
      <c r="D100" s="22" t="s">
        <v>2</v>
      </c>
      <c r="E100" s="22" t="s">
        <v>452</v>
      </c>
      <c r="F100" s="24" t="s">
        <v>67</v>
      </c>
      <c r="G100" s="22" t="s">
        <v>303</v>
      </c>
      <c r="H100" s="22" t="s">
        <v>391</v>
      </c>
      <c r="I100" s="22" t="s">
        <v>331</v>
      </c>
      <c r="J100" s="22" t="s">
        <v>67</v>
      </c>
      <c r="K100" s="22" t="s">
        <v>812</v>
      </c>
      <c r="L100" s="24" t="s">
        <v>417</v>
      </c>
      <c r="M100" s="24" t="s">
        <v>473</v>
      </c>
      <c r="N100" s="25" t="s">
        <v>620</v>
      </c>
      <c r="O100" s="23" t="s">
        <v>200</v>
      </c>
      <c r="P100" s="22" t="s">
        <v>72</v>
      </c>
      <c r="Q100" s="22"/>
      <c r="R100" s="22"/>
      <c r="S100" s="22"/>
      <c r="T100" s="22">
        <v>114.64400000000001</v>
      </c>
      <c r="U100" s="22">
        <v>114.64400000000001</v>
      </c>
      <c r="V100" s="22">
        <v>7.0550000000000006</v>
      </c>
      <c r="W100" s="22">
        <v>6</v>
      </c>
      <c r="X100" s="22" t="s">
        <v>80</v>
      </c>
      <c r="Y100" s="26">
        <v>43910</v>
      </c>
      <c r="Z100" s="26">
        <v>43920</v>
      </c>
      <c r="AA100" s="26">
        <v>43914</v>
      </c>
      <c r="AB100" s="26">
        <v>43914</v>
      </c>
      <c r="AC100" s="26" t="s">
        <v>201</v>
      </c>
      <c r="AD100" s="114"/>
      <c r="AE100" s="114"/>
      <c r="AF100" s="52">
        <v>1</v>
      </c>
      <c r="AG100" s="52">
        <v>1</v>
      </c>
      <c r="AH100" s="52" t="s">
        <v>216</v>
      </c>
      <c r="AI100" s="22"/>
      <c r="AJ100" s="22"/>
      <c r="AK100" s="22"/>
    </row>
    <row r="101" spans="2:37" x14ac:dyDescent="0.25">
      <c r="B101" s="59">
        <v>121</v>
      </c>
      <c r="C101" s="23">
        <v>20200319</v>
      </c>
      <c r="D101" s="22" t="s">
        <v>2</v>
      </c>
      <c r="E101" s="22" t="s">
        <v>452</v>
      </c>
      <c r="F101" s="24" t="s">
        <v>67</v>
      </c>
      <c r="G101" s="22" t="s">
        <v>304</v>
      </c>
      <c r="H101" s="22" t="s">
        <v>392</v>
      </c>
      <c r="I101" s="22" t="s">
        <v>331</v>
      </c>
      <c r="J101" s="22" t="s">
        <v>67</v>
      </c>
      <c r="K101" s="22" t="s">
        <v>812</v>
      </c>
      <c r="L101" s="24" t="s">
        <v>418</v>
      </c>
      <c r="M101" s="24" t="s">
        <v>473</v>
      </c>
      <c r="N101" s="25" t="s">
        <v>621</v>
      </c>
      <c r="O101" s="23" t="s">
        <v>200</v>
      </c>
      <c r="P101" s="22" t="s">
        <v>72</v>
      </c>
      <c r="Q101" s="22"/>
      <c r="R101" s="22"/>
      <c r="S101" s="22"/>
      <c r="T101" s="22">
        <v>114.64400000000001</v>
      </c>
      <c r="U101" s="22">
        <v>114.64400000000001</v>
      </c>
      <c r="V101" s="22">
        <v>7.0550000000000006</v>
      </c>
      <c r="W101" s="22">
        <v>6</v>
      </c>
      <c r="X101" s="22" t="s">
        <v>80</v>
      </c>
      <c r="Y101" s="26">
        <v>43910</v>
      </c>
      <c r="Z101" s="26">
        <v>43920</v>
      </c>
      <c r="AA101" s="26">
        <v>43914</v>
      </c>
      <c r="AB101" s="26">
        <v>43914</v>
      </c>
      <c r="AC101" s="26" t="s">
        <v>201</v>
      </c>
      <c r="AD101" s="114"/>
      <c r="AE101" s="114"/>
      <c r="AF101" s="52">
        <v>1</v>
      </c>
      <c r="AG101" s="52">
        <v>1</v>
      </c>
      <c r="AH101" s="52" t="s">
        <v>216</v>
      </c>
      <c r="AI101" s="22"/>
      <c r="AJ101" s="22"/>
      <c r="AK101" s="22"/>
    </row>
    <row r="102" spans="2:37" x14ac:dyDescent="0.25">
      <c r="B102" s="59">
        <v>122</v>
      </c>
      <c r="C102" s="23">
        <v>20200319</v>
      </c>
      <c r="D102" s="22" t="s">
        <v>2</v>
      </c>
      <c r="E102" s="22" t="s">
        <v>452</v>
      </c>
      <c r="F102" s="24" t="s">
        <v>67</v>
      </c>
      <c r="G102" s="22" t="s">
        <v>434</v>
      </c>
      <c r="H102" s="22" t="s">
        <v>393</v>
      </c>
      <c r="I102" s="22" t="s">
        <v>331</v>
      </c>
      <c r="J102" s="22" t="s">
        <v>67</v>
      </c>
      <c r="K102" s="22" t="s">
        <v>812</v>
      </c>
      <c r="L102" s="24" t="s">
        <v>417</v>
      </c>
      <c r="M102" s="24" t="s">
        <v>473</v>
      </c>
      <c r="N102" s="25" t="s">
        <v>622</v>
      </c>
      <c r="O102" s="23" t="s">
        <v>200</v>
      </c>
      <c r="P102" s="22" t="s">
        <v>72</v>
      </c>
      <c r="Q102" s="22"/>
      <c r="R102" s="22"/>
      <c r="S102" s="22"/>
      <c r="T102" s="22">
        <v>48.344000000000001</v>
      </c>
      <c r="U102" s="22">
        <v>48.344000000000001</v>
      </c>
      <c r="V102" s="22">
        <v>2.9750000000000001</v>
      </c>
      <c r="W102" s="22">
        <v>1</v>
      </c>
      <c r="X102" s="22" t="s">
        <v>80</v>
      </c>
      <c r="Y102" s="26">
        <v>43910</v>
      </c>
      <c r="Z102" s="26">
        <v>43920</v>
      </c>
      <c r="AA102" s="26">
        <v>43917</v>
      </c>
      <c r="AB102" s="26">
        <v>43917</v>
      </c>
      <c r="AC102" s="26" t="s">
        <v>201</v>
      </c>
      <c r="AD102" s="114"/>
      <c r="AE102" s="114"/>
      <c r="AF102" s="52">
        <v>1</v>
      </c>
      <c r="AG102" s="52">
        <v>1</v>
      </c>
      <c r="AH102" s="52">
        <v>1</v>
      </c>
      <c r="AI102" s="22"/>
      <c r="AJ102" s="22"/>
      <c r="AK102" s="22"/>
    </row>
    <row r="103" spans="2:37" x14ac:dyDescent="0.25">
      <c r="B103" s="59">
        <v>123</v>
      </c>
      <c r="C103" s="23">
        <v>20200319</v>
      </c>
      <c r="D103" s="22" t="s">
        <v>2</v>
      </c>
      <c r="E103" s="22" t="s">
        <v>452</v>
      </c>
      <c r="F103" s="24" t="s">
        <v>67</v>
      </c>
      <c r="G103" s="22" t="s">
        <v>435</v>
      </c>
      <c r="H103" s="22" t="s">
        <v>394</v>
      </c>
      <c r="I103" s="22" t="s">
        <v>331</v>
      </c>
      <c r="J103" s="22" t="s">
        <v>67</v>
      </c>
      <c r="K103" s="22" t="s">
        <v>812</v>
      </c>
      <c r="L103" s="24" t="s">
        <v>417</v>
      </c>
      <c r="M103" s="24" t="s">
        <v>473</v>
      </c>
      <c r="N103" s="25" t="s">
        <v>623</v>
      </c>
      <c r="O103" s="23" t="s">
        <v>200</v>
      </c>
      <c r="P103" s="22" t="s">
        <v>72</v>
      </c>
      <c r="Q103" s="22"/>
      <c r="R103" s="22"/>
      <c r="S103" s="22"/>
      <c r="T103" s="22">
        <v>114.64400000000001</v>
      </c>
      <c r="U103" s="22">
        <v>114.64400000000001</v>
      </c>
      <c r="V103" s="22">
        <v>7.0550000000000006</v>
      </c>
      <c r="W103" s="22">
        <v>2</v>
      </c>
      <c r="X103" s="22" t="s">
        <v>80</v>
      </c>
      <c r="Y103" s="26">
        <v>43910</v>
      </c>
      <c r="Z103" s="26">
        <v>43920</v>
      </c>
      <c r="AA103" s="26">
        <v>43917</v>
      </c>
      <c r="AB103" s="26">
        <v>43917</v>
      </c>
      <c r="AC103" s="26" t="s">
        <v>201</v>
      </c>
      <c r="AD103" s="114"/>
      <c r="AE103" s="114"/>
      <c r="AF103" s="52">
        <v>1</v>
      </c>
      <c r="AG103" s="52">
        <v>1</v>
      </c>
      <c r="AH103" s="52">
        <v>1</v>
      </c>
      <c r="AI103" s="22"/>
      <c r="AJ103" s="22"/>
      <c r="AK103" s="22"/>
    </row>
    <row r="104" spans="2:37" x14ac:dyDescent="0.25">
      <c r="B104" s="59">
        <v>124</v>
      </c>
      <c r="C104" s="23">
        <v>20200319</v>
      </c>
      <c r="D104" s="22" t="s">
        <v>2</v>
      </c>
      <c r="E104" s="22" t="s">
        <v>452</v>
      </c>
      <c r="F104" s="24" t="s">
        <v>67</v>
      </c>
      <c r="G104" s="22" t="s">
        <v>436</v>
      </c>
      <c r="H104" s="22" t="s">
        <v>395</v>
      </c>
      <c r="I104" s="22" t="s">
        <v>331</v>
      </c>
      <c r="J104" s="22" t="s">
        <v>67</v>
      </c>
      <c r="K104" s="22" t="s">
        <v>812</v>
      </c>
      <c r="L104" s="24" t="s">
        <v>417</v>
      </c>
      <c r="M104" s="24" t="s">
        <v>473</v>
      </c>
      <c r="N104" s="25" t="s">
        <v>624</v>
      </c>
      <c r="O104" s="23" t="s">
        <v>200</v>
      </c>
      <c r="P104" s="22" t="s">
        <v>72</v>
      </c>
      <c r="Q104" s="22"/>
      <c r="R104" s="22"/>
      <c r="S104" s="22"/>
      <c r="T104" s="22">
        <v>26.244</v>
      </c>
      <c r="U104" s="22">
        <v>26.244</v>
      </c>
      <c r="V104" s="22">
        <v>1.615</v>
      </c>
      <c r="W104" s="22">
        <v>2</v>
      </c>
      <c r="X104" s="22" t="s">
        <v>80</v>
      </c>
      <c r="Y104" s="26">
        <v>43910</v>
      </c>
      <c r="Z104" s="26">
        <v>43920</v>
      </c>
      <c r="AA104" s="26">
        <v>43917</v>
      </c>
      <c r="AB104" s="26">
        <v>43917</v>
      </c>
      <c r="AC104" s="26" t="s">
        <v>201</v>
      </c>
      <c r="AD104" s="114"/>
      <c r="AE104" s="114"/>
      <c r="AF104" s="52">
        <v>1</v>
      </c>
      <c r="AG104" s="52">
        <v>1</v>
      </c>
      <c r="AH104" s="52">
        <v>1</v>
      </c>
      <c r="AI104" s="22"/>
      <c r="AJ104" s="22"/>
      <c r="AK104" s="22"/>
    </row>
    <row r="105" spans="2:37" x14ac:dyDescent="0.25">
      <c r="B105" s="59">
        <v>125</v>
      </c>
      <c r="C105" s="23">
        <v>20200319</v>
      </c>
      <c r="D105" s="22" t="s">
        <v>2</v>
      </c>
      <c r="E105" s="22" t="s">
        <v>452</v>
      </c>
      <c r="F105" s="24" t="s">
        <v>67</v>
      </c>
      <c r="G105" s="22" t="s">
        <v>437</v>
      </c>
      <c r="H105" s="22" t="s">
        <v>396</v>
      </c>
      <c r="I105" s="22" t="s">
        <v>331</v>
      </c>
      <c r="J105" s="22" t="s">
        <v>67</v>
      </c>
      <c r="K105" s="22" t="s">
        <v>812</v>
      </c>
      <c r="L105" s="24" t="s">
        <v>417</v>
      </c>
      <c r="M105" s="24" t="s">
        <v>473</v>
      </c>
      <c r="N105" s="25" t="s">
        <v>625</v>
      </c>
      <c r="O105" s="23" t="s">
        <v>200</v>
      </c>
      <c r="P105" s="22" t="s">
        <v>72</v>
      </c>
      <c r="Q105" s="22"/>
      <c r="R105" s="22"/>
      <c r="S105" s="22"/>
      <c r="T105" s="22">
        <v>26.244</v>
      </c>
      <c r="U105" s="22">
        <v>26.244</v>
      </c>
      <c r="V105" s="22">
        <v>1.615</v>
      </c>
      <c r="W105" s="22">
        <v>1</v>
      </c>
      <c r="X105" s="22" t="s">
        <v>80</v>
      </c>
      <c r="Y105" s="26">
        <v>43910</v>
      </c>
      <c r="Z105" s="26">
        <v>43920</v>
      </c>
      <c r="AA105" s="26">
        <v>43917</v>
      </c>
      <c r="AB105" s="26">
        <v>43917</v>
      </c>
      <c r="AC105" s="26" t="s">
        <v>201</v>
      </c>
      <c r="AD105" s="114"/>
      <c r="AE105" s="114"/>
      <c r="AF105" s="52">
        <v>1</v>
      </c>
      <c r="AG105" s="52">
        <v>1</v>
      </c>
      <c r="AH105" s="52">
        <v>1</v>
      </c>
      <c r="AI105" s="22"/>
      <c r="AJ105" s="22"/>
      <c r="AK105" s="22"/>
    </row>
    <row r="106" spans="2:37" x14ac:dyDescent="0.25">
      <c r="B106" s="59">
        <v>126</v>
      </c>
      <c r="C106" s="23">
        <v>20200319</v>
      </c>
      <c r="D106" s="22" t="s">
        <v>2</v>
      </c>
      <c r="E106" s="22" t="s">
        <v>452</v>
      </c>
      <c r="F106" s="24" t="s">
        <v>67</v>
      </c>
      <c r="G106" s="22" t="s">
        <v>438</v>
      </c>
      <c r="H106" s="22" t="s">
        <v>397</v>
      </c>
      <c r="I106" s="22" t="s">
        <v>331</v>
      </c>
      <c r="J106" s="22" t="s">
        <v>67</v>
      </c>
      <c r="K106" s="22" t="s">
        <v>812</v>
      </c>
      <c r="L106" s="24" t="s">
        <v>417</v>
      </c>
      <c r="M106" s="24" t="s">
        <v>473</v>
      </c>
      <c r="N106" s="25" t="s">
        <v>626</v>
      </c>
      <c r="O106" s="23" t="s">
        <v>651</v>
      </c>
      <c r="P106" s="22" t="s">
        <v>71</v>
      </c>
      <c r="Q106" s="22"/>
      <c r="R106" s="22"/>
      <c r="S106" s="22"/>
      <c r="T106" s="22">
        <v>81.494</v>
      </c>
      <c r="U106" s="22">
        <v>81.494</v>
      </c>
      <c r="V106" s="22">
        <v>5.0150000000000006</v>
      </c>
      <c r="W106" s="22">
        <v>10</v>
      </c>
      <c r="X106" s="22" t="s">
        <v>79</v>
      </c>
      <c r="Y106" s="26">
        <v>43910</v>
      </c>
      <c r="Z106" s="26">
        <v>43920</v>
      </c>
      <c r="AA106" s="26">
        <v>43914</v>
      </c>
      <c r="AB106" s="26">
        <v>43914</v>
      </c>
      <c r="AC106" s="26" t="s">
        <v>202</v>
      </c>
      <c r="AD106" s="114"/>
      <c r="AE106" s="114"/>
      <c r="AF106" s="76">
        <v>1</v>
      </c>
      <c r="AG106" s="76">
        <v>1</v>
      </c>
      <c r="AH106" s="52">
        <v>1</v>
      </c>
      <c r="AI106" s="22" t="s">
        <v>216</v>
      </c>
      <c r="AJ106" s="22"/>
      <c r="AK106" s="22" t="s">
        <v>216</v>
      </c>
    </row>
    <row r="107" spans="2:37" x14ac:dyDescent="0.25">
      <c r="B107" s="59">
        <v>127</v>
      </c>
      <c r="C107" s="23">
        <v>20200319</v>
      </c>
      <c r="D107" s="22" t="s">
        <v>2</v>
      </c>
      <c r="E107" s="22" t="s">
        <v>452</v>
      </c>
      <c r="F107" s="24" t="s">
        <v>67</v>
      </c>
      <c r="G107" s="22" t="s">
        <v>439</v>
      </c>
      <c r="H107" s="22" t="s">
        <v>398</v>
      </c>
      <c r="I107" s="22" t="s">
        <v>331</v>
      </c>
      <c r="J107" s="22" t="s">
        <v>67</v>
      </c>
      <c r="K107" s="22" t="s">
        <v>812</v>
      </c>
      <c r="L107" s="24" t="s">
        <v>417</v>
      </c>
      <c r="M107" s="24" t="s">
        <v>473</v>
      </c>
      <c r="N107" s="25" t="s">
        <v>627</v>
      </c>
      <c r="O107" s="23" t="s">
        <v>651</v>
      </c>
      <c r="P107" s="22" t="s">
        <v>71</v>
      </c>
      <c r="Q107" s="22"/>
      <c r="R107" s="22"/>
      <c r="S107" s="22"/>
      <c r="T107" s="22">
        <v>59.393999999999998</v>
      </c>
      <c r="U107" s="22">
        <v>59.393999999999998</v>
      </c>
      <c r="V107" s="22">
        <v>3.6549999999999998</v>
      </c>
      <c r="W107" s="22">
        <v>3</v>
      </c>
      <c r="X107" s="22" t="s">
        <v>79</v>
      </c>
      <c r="Y107" s="26">
        <v>43910</v>
      </c>
      <c r="Z107" s="26">
        <v>43920</v>
      </c>
      <c r="AA107" s="26">
        <v>43914</v>
      </c>
      <c r="AB107" s="26">
        <v>43914</v>
      </c>
      <c r="AC107" s="26" t="s">
        <v>201</v>
      </c>
      <c r="AD107" s="114"/>
      <c r="AE107" s="114"/>
      <c r="AF107" s="76">
        <v>0.82899999999999996</v>
      </c>
      <c r="AG107" s="76">
        <v>0.84599999999999997</v>
      </c>
      <c r="AH107" s="52">
        <v>1</v>
      </c>
      <c r="AI107" s="22" t="s">
        <v>716</v>
      </c>
      <c r="AJ107" s="22"/>
      <c r="AK107" s="22" t="s">
        <v>216</v>
      </c>
    </row>
    <row r="108" spans="2:37" x14ac:dyDescent="0.25">
      <c r="B108" s="59">
        <v>128</v>
      </c>
      <c r="C108" s="23">
        <v>20200319</v>
      </c>
      <c r="D108" s="22" t="s">
        <v>2</v>
      </c>
      <c r="E108" s="22" t="s">
        <v>452</v>
      </c>
      <c r="F108" s="24" t="s">
        <v>67</v>
      </c>
      <c r="G108" s="22" t="s">
        <v>440</v>
      </c>
      <c r="H108" s="22" t="s">
        <v>399</v>
      </c>
      <c r="I108" s="22" t="s">
        <v>331</v>
      </c>
      <c r="J108" s="22" t="s">
        <v>67</v>
      </c>
      <c r="K108" s="22" t="s">
        <v>812</v>
      </c>
      <c r="L108" s="24" t="s">
        <v>417</v>
      </c>
      <c r="M108" s="24" t="s">
        <v>473</v>
      </c>
      <c r="N108" s="25" t="s">
        <v>628</v>
      </c>
      <c r="O108" s="23" t="s">
        <v>651</v>
      </c>
      <c r="P108" s="22" t="s">
        <v>71</v>
      </c>
      <c r="Q108" s="22"/>
      <c r="R108" s="22"/>
      <c r="S108" s="22"/>
      <c r="T108" s="22">
        <v>53.869</v>
      </c>
      <c r="U108" s="22">
        <v>53.869</v>
      </c>
      <c r="V108" s="22">
        <v>3.3150000000000004</v>
      </c>
      <c r="W108" s="22">
        <v>4</v>
      </c>
      <c r="X108" s="22" t="s">
        <v>79</v>
      </c>
      <c r="Y108" s="26">
        <v>43910</v>
      </c>
      <c r="Z108" s="26">
        <v>43920</v>
      </c>
      <c r="AA108" s="26">
        <v>43915</v>
      </c>
      <c r="AB108" s="26">
        <v>43915</v>
      </c>
      <c r="AC108" s="26" t="s">
        <v>201</v>
      </c>
      <c r="AD108" s="114"/>
      <c r="AE108" s="114"/>
      <c r="AF108" s="52">
        <v>0.78800000000000003</v>
      </c>
      <c r="AG108" s="52">
        <v>0.78800000000000003</v>
      </c>
      <c r="AH108" s="52">
        <v>0.93300000000000005</v>
      </c>
      <c r="AI108" s="22" t="s">
        <v>717</v>
      </c>
      <c r="AJ108" s="22"/>
      <c r="AK108" s="22" t="s">
        <v>216</v>
      </c>
    </row>
    <row r="109" spans="2:37" x14ac:dyDescent="0.25">
      <c r="B109" s="59">
        <v>129</v>
      </c>
      <c r="C109" s="23">
        <v>20200319</v>
      </c>
      <c r="D109" s="22" t="s">
        <v>2</v>
      </c>
      <c r="E109" s="22" t="s">
        <v>452</v>
      </c>
      <c r="F109" s="24" t="s">
        <v>67</v>
      </c>
      <c r="G109" s="22" t="s">
        <v>441</v>
      </c>
      <c r="H109" s="22" t="s">
        <v>400</v>
      </c>
      <c r="I109" s="22" t="s">
        <v>331</v>
      </c>
      <c r="J109" s="22" t="s">
        <v>67</v>
      </c>
      <c r="K109" s="22" t="s">
        <v>812</v>
      </c>
      <c r="L109" s="24" t="s">
        <v>417</v>
      </c>
      <c r="M109" s="24" t="s">
        <v>473</v>
      </c>
      <c r="N109" s="25" t="s">
        <v>629</v>
      </c>
      <c r="O109" s="23" t="s">
        <v>651</v>
      </c>
      <c r="P109" s="22" t="s">
        <v>71</v>
      </c>
      <c r="Q109" s="22"/>
      <c r="R109" s="22"/>
      <c r="S109" s="22"/>
      <c r="T109" s="22">
        <v>26.244</v>
      </c>
      <c r="U109" s="22">
        <v>26.244</v>
      </c>
      <c r="V109" s="22">
        <v>1.615</v>
      </c>
      <c r="W109" s="22">
        <v>5</v>
      </c>
      <c r="X109" s="22" t="s">
        <v>79</v>
      </c>
      <c r="Y109" s="26">
        <v>43910</v>
      </c>
      <c r="Z109" s="26">
        <v>43920</v>
      </c>
      <c r="AA109" s="26">
        <v>43915</v>
      </c>
      <c r="AB109" s="26">
        <v>43915</v>
      </c>
      <c r="AC109" s="26" t="s">
        <v>201</v>
      </c>
      <c r="AD109" s="114"/>
      <c r="AE109" s="114"/>
      <c r="AF109" s="52">
        <v>0.81</v>
      </c>
      <c r="AG109" s="52">
        <v>0.81</v>
      </c>
      <c r="AH109" s="52">
        <v>1</v>
      </c>
      <c r="AI109" s="22" t="s">
        <v>718</v>
      </c>
      <c r="AJ109" s="22"/>
      <c r="AK109" s="22" t="s">
        <v>216</v>
      </c>
    </row>
    <row r="110" spans="2:37" x14ac:dyDescent="0.25">
      <c r="B110" s="59">
        <v>130</v>
      </c>
      <c r="C110" s="23">
        <v>20200319</v>
      </c>
      <c r="D110" s="22" t="s">
        <v>2</v>
      </c>
      <c r="E110" s="22" t="s">
        <v>452</v>
      </c>
      <c r="F110" s="24" t="s">
        <v>67</v>
      </c>
      <c r="G110" s="22" t="s">
        <v>442</v>
      </c>
      <c r="H110" s="22" t="s">
        <v>401</v>
      </c>
      <c r="I110" s="22" t="s">
        <v>331</v>
      </c>
      <c r="J110" s="22" t="s">
        <v>67</v>
      </c>
      <c r="K110" s="22" t="s">
        <v>812</v>
      </c>
      <c r="L110" s="24" t="s">
        <v>417</v>
      </c>
      <c r="M110" s="24" t="s">
        <v>473</v>
      </c>
      <c r="N110" s="25" t="s">
        <v>630</v>
      </c>
      <c r="O110" s="23" t="s">
        <v>651</v>
      </c>
      <c r="P110" s="22" t="s">
        <v>71</v>
      </c>
      <c r="Q110" s="22"/>
      <c r="R110" s="22"/>
      <c r="S110" s="22"/>
      <c r="T110" s="22">
        <v>203.04400000000001</v>
      </c>
      <c r="U110" s="22">
        <v>203.04400000000001</v>
      </c>
      <c r="V110" s="22">
        <v>12.494999999999999</v>
      </c>
      <c r="W110" s="22">
        <v>8</v>
      </c>
      <c r="X110" s="22" t="s">
        <v>79</v>
      </c>
      <c r="Y110" s="26">
        <v>43910</v>
      </c>
      <c r="Z110" s="26">
        <v>43920</v>
      </c>
      <c r="AA110" s="26">
        <v>43921</v>
      </c>
      <c r="AB110" s="26">
        <v>43921</v>
      </c>
      <c r="AC110" s="26" t="s">
        <v>202</v>
      </c>
      <c r="AD110" s="114"/>
      <c r="AE110" s="114"/>
      <c r="AF110" s="52">
        <v>0.754</v>
      </c>
      <c r="AG110" s="52">
        <v>0.754</v>
      </c>
      <c r="AH110" s="52">
        <v>0.32700000000000001</v>
      </c>
      <c r="AI110" s="22" t="s">
        <v>719</v>
      </c>
      <c r="AJ110" s="22"/>
      <c r="AK110" s="22" t="s">
        <v>216</v>
      </c>
    </row>
    <row r="111" spans="2:37" x14ac:dyDescent="0.25">
      <c r="B111" s="59">
        <v>131</v>
      </c>
      <c r="C111" s="23">
        <v>20200319</v>
      </c>
      <c r="D111" s="22" t="s">
        <v>2</v>
      </c>
      <c r="E111" s="22" t="s">
        <v>452</v>
      </c>
      <c r="F111" s="24" t="s">
        <v>67</v>
      </c>
      <c r="G111" s="22" t="s">
        <v>443</v>
      </c>
      <c r="H111" s="22" t="s">
        <v>402</v>
      </c>
      <c r="I111" s="22" t="s">
        <v>331</v>
      </c>
      <c r="J111" s="22" t="s">
        <v>67</v>
      </c>
      <c r="K111" s="22" t="s">
        <v>812</v>
      </c>
      <c r="L111" s="24" t="s">
        <v>413</v>
      </c>
      <c r="M111" s="24" t="s">
        <v>473</v>
      </c>
      <c r="N111" s="25" t="s">
        <v>631</v>
      </c>
      <c r="O111" s="23" t="s">
        <v>651</v>
      </c>
      <c r="P111" s="22" t="s">
        <v>71</v>
      </c>
      <c r="Q111" s="22"/>
      <c r="R111" s="22"/>
      <c r="S111" s="22"/>
      <c r="T111" s="22">
        <v>64.918999999999997</v>
      </c>
      <c r="U111" s="22">
        <v>64.918999999999997</v>
      </c>
      <c r="V111" s="22">
        <v>3.9950000000000001</v>
      </c>
      <c r="W111" s="22">
        <v>3</v>
      </c>
      <c r="X111" s="22" t="s">
        <v>79</v>
      </c>
      <c r="Y111" s="26">
        <v>43910</v>
      </c>
      <c r="Z111" s="26">
        <v>43920</v>
      </c>
      <c r="AA111" s="26">
        <v>43920</v>
      </c>
      <c r="AB111" s="26">
        <v>43920</v>
      </c>
      <c r="AC111" s="26" t="s">
        <v>201</v>
      </c>
      <c r="AD111" s="114"/>
      <c r="AE111" s="114"/>
      <c r="AF111" s="52">
        <v>0.86399999999999999</v>
      </c>
      <c r="AG111" s="52">
        <v>0.86399999999999999</v>
      </c>
      <c r="AH111" s="52">
        <v>0.5</v>
      </c>
      <c r="AI111" s="22" t="s">
        <v>714</v>
      </c>
      <c r="AJ111" s="22"/>
      <c r="AK111" s="22"/>
    </row>
    <row r="112" spans="2:37" x14ac:dyDescent="0.25">
      <c r="B112" s="59">
        <v>132</v>
      </c>
      <c r="C112" s="23">
        <v>20200319</v>
      </c>
      <c r="D112" s="22" t="s">
        <v>2</v>
      </c>
      <c r="E112" s="22" t="s">
        <v>452</v>
      </c>
      <c r="F112" s="24" t="s">
        <v>67</v>
      </c>
      <c r="G112" s="22" t="s">
        <v>444</v>
      </c>
      <c r="H112" s="22" t="s">
        <v>403</v>
      </c>
      <c r="I112" s="22" t="s">
        <v>331</v>
      </c>
      <c r="J112" s="22" t="s">
        <v>67</v>
      </c>
      <c r="K112" s="22" t="s">
        <v>812</v>
      </c>
      <c r="L112" s="24" t="s">
        <v>419</v>
      </c>
      <c r="M112" s="24" t="s">
        <v>473</v>
      </c>
      <c r="N112" s="25" t="s">
        <v>632</v>
      </c>
      <c r="O112" s="23" t="s">
        <v>651</v>
      </c>
      <c r="P112" s="22" t="s">
        <v>71</v>
      </c>
      <c r="Q112" s="22"/>
      <c r="R112" s="22"/>
      <c r="S112" s="22"/>
      <c r="T112" s="22">
        <v>37.293999999999997</v>
      </c>
      <c r="U112" s="22">
        <v>37.293999999999997</v>
      </c>
      <c r="V112" s="22">
        <v>2.2949999999999999</v>
      </c>
      <c r="W112" s="22">
        <v>6</v>
      </c>
      <c r="X112" s="22" t="s">
        <v>79</v>
      </c>
      <c r="Y112" s="26">
        <v>43910</v>
      </c>
      <c r="Z112" s="26">
        <v>43920</v>
      </c>
      <c r="AA112" s="26">
        <v>43916</v>
      </c>
      <c r="AB112" s="26">
        <v>43916</v>
      </c>
      <c r="AC112" s="26" t="s">
        <v>201</v>
      </c>
      <c r="AD112" s="114"/>
      <c r="AE112" s="114"/>
      <c r="AF112" s="52">
        <v>1</v>
      </c>
      <c r="AG112" s="52">
        <v>1</v>
      </c>
      <c r="AH112" s="52">
        <v>1</v>
      </c>
      <c r="AI112" s="22" t="s">
        <v>216</v>
      </c>
      <c r="AJ112" s="22"/>
      <c r="AK112" s="22" t="s">
        <v>216</v>
      </c>
    </row>
    <row r="113" spans="2:37" x14ac:dyDescent="0.25">
      <c r="B113" s="59">
        <v>133</v>
      </c>
      <c r="C113" s="23">
        <v>20200319</v>
      </c>
      <c r="D113" s="22" t="s">
        <v>2</v>
      </c>
      <c r="E113" s="22" t="s">
        <v>452</v>
      </c>
      <c r="F113" s="24" t="s">
        <v>67</v>
      </c>
      <c r="G113" s="22" t="s">
        <v>445</v>
      </c>
      <c r="H113" s="22" t="s">
        <v>404</v>
      </c>
      <c r="I113" s="22" t="s">
        <v>331</v>
      </c>
      <c r="J113" s="22" t="s">
        <v>67</v>
      </c>
      <c r="K113" s="22" t="s">
        <v>812</v>
      </c>
      <c r="L113" s="24" t="s">
        <v>420</v>
      </c>
      <c r="M113" s="24" t="s">
        <v>473</v>
      </c>
      <c r="N113" s="25" t="s">
        <v>633</v>
      </c>
      <c r="O113" s="23" t="s">
        <v>651</v>
      </c>
      <c r="P113" s="22" t="s">
        <v>71</v>
      </c>
      <c r="Q113" s="22"/>
      <c r="R113" s="22"/>
      <c r="S113" s="22"/>
      <c r="T113" s="22">
        <v>26.244</v>
      </c>
      <c r="U113" s="22">
        <v>26.244</v>
      </c>
      <c r="V113" s="22">
        <v>1.615</v>
      </c>
      <c r="W113" s="22">
        <v>3</v>
      </c>
      <c r="X113" s="22" t="s">
        <v>99</v>
      </c>
      <c r="Y113" s="26">
        <v>43910</v>
      </c>
      <c r="Z113" s="26">
        <v>43920</v>
      </c>
      <c r="AA113" s="26">
        <v>43916</v>
      </c>
      <c r="AB113" s="26">
        <v>43916</v>
      </c>
      <c r="AC113" s="26" t="s">
        <v>201</v>
      </c>
      <c r="AD113" s="114"/>
      <c r="AE113" s="114"/>
      <c r="AF113" s="52">
        <v>0.83299999999999996</v>
      </c>
      <c r="AG113" s="52">
        <v>0.83299999999999996</v>
      </c>
      <c r="AH113" s="52" t="s">
        <v>216</v>
      </c>
      <c r="AI113" s="22" t="s">
        <v>720</v>
      </c>
      <c r="AJ113" s="22"/>
      <c r="AK113" s="22" t="s">
        <v>216</v>
      </c>
    </row>
    <row r="114" spans="2:37" x14ac:dyDescent="0.25">
      <c r="B114" s="59">
        <v>134</v>
      </c>
      <c r="C114" s="23">
        <v>20200319</v>
      </c>
      <c r="D114" s="22" t="s">
        <v>2</v>
      </c>
      <c r="E114" s="22" t="s">
        <v>452</v>
      </c>
      <c r="F114" s="24" t="s">
        <v>67</v>
      </c>
      <c r="G114" s="22" t="s">
        <v>446</v>
      </c>
      <c r="H114" s="22" t="s">
        <v>405</v>
      </c>
      <c r="I114" s="22" t="s">
        <v>331</v>
      </c>
      <c r="J114" s="22" t="s">
        <v>67</v>
      </c>
      <c r="K114" s="22" t="s">
        <v>812</v>
      </c>
      <c r="L114" s="24" t="s">
        <v>421</v>
      </c>
      <c r="M114" s="24" t="s">
        <v>473</v>
      </c>
      <c r="N114" s="25" t="s">
        <v>634</v>
      </c>
      <c r="O114" s="23" t="s">
        <v>651</v>
      </c>
      <c r="P114" s="22" t="s">
        <v>71</v>
      </c>
      <c r="Q114" s="22"/>
      <c r="R114" s="22"/>
      <c r="S114" s="22"/>
      <c r="T114" s="22">
        <v>26.244</v>
      </c>
      <c r="U114" s="22">
        <v>26.244</v>
      </c>
      <c r="V114" s="22">
        <v>1.615</v>
      </c>
      <c r="W114" s="22">
        <v>4</v>
      </c>
      <c r="X114" s="22" t="s">
        <v>79</v>
      </c>
      <c r="Y114" s="26">
        <v>43910</v>
      </c>
      <c r="Z114" s="26">
        <v>43920</v>
      </c>
      <c r="AA114" s="26">
        <v>43917</v>
      </c>
      <c r="AB114" s="26">
        <v>43917</v>
      </c>
      <c r="AC114" s="26" t="s">
        <v>201</v>
      </c>
      <c r="AD114" s="114"/>
      <c r="AE114" s="114"/>
      <c r="AF114" s="52">
        <v>0.77300000000000002</v>
      </c>
      <c r="AG114" s="52">
        <v>0.77300000000000002</v>
      </c>
      <c r="AH114" s="52" t="s">
        <v>216</v>
      </c>
      <c r="AI114" s="22" t="s">
        <v>721</v>
      </c>
      <c r="AJ114" s="22"/>
      <c r="AK114" s="22" t="s">
        <v>216</v>
      </c>
    </row>
    <row r="115" spans="2:37" x14ac:dyDescent="0.25">
      <c r="B115" s="59">
        <v>135</v>
      </c>
      <c r="C115" s="23">
        <v>20200319</v>
      </c>
      <c r="D115" s="22" t="s">
        <v>2</v>
      </c>
      <c r="E115" s="22" t="s">
        <v>452</v>
      </c>
      <c r="F115" s="24" t="s">
        <v>67</v>
      </c>
      <c r="G115" s="22" t="s">
        <v>447</v>
      </c>
      <c r="H115" s="22" t="s">
        <v>406</v>
      </c>
      <c r="I115" s="22" t="s">
        <v>331</v>
      </c>
      <c r="J115" s="22" t="s">
        <v>67</v>
      </c>
      <c r="K115" s="22" t="s">
        <v>812</v>
      </c>
      <c r="L115" s="24" t="s">
        <v>419</v>
      </c>
      <c r="M115" s="24" t="s">
        <v>473</v>
      </c>
      <c r="N115" s="25" t="s">
        <v>635</v>
      </c>
      <c r="O115" s="23" t="s">
        <v>651</v>
      </c>
      <c r="P115" s="22" t="s">
        <v>71</v>
      </c>
      <c r="Q115" s="22"/>
      <c r="R115" s="22"/>
      <c r="S115" s="22"/>
      <c r="T115" s="22">
        <v>59.393999999999998</v>
      </c>
      <c r="U115" s="22">
        <v>59.393999999999998</v>
      </c>
      <c r="V115" s="22">
        <v>3.6549999999999998</v>
      </c>
      <c r="W115" s="22">
        <v>4</v>
      </c>
      <c r="X115" s="22" t="s">
        <v>79</v>
      </c>
      <c r="Y115" s="26">
        <v>43910</v>
      </c>
      <c r="Z115" s="26">
        <v>43920</v>
      </c>
      <c r="AA115" s="26">
        <v>43917</v>
      </c>
      <c r="AB115" s="26">
        <v>43917</v>
      </c>
      <c r="AC115" s="26" t="s">
        <v>201</v>
      </c>
      <c r="AD115" s="114"/>
      <c r="AE115" s="114"/>
      <c r="AF115" s="52">
        <v>0.75800000000000001</v>
      </c>
      <c r="AG115" s="52">
        <v>0.75800000000000001</v>
      </c>
      <c r="AH115" s="52" t="s">
        <v>216</v>
      </c>
      <c r="AI115" s="22" t="s">
        <v>722</v>
      </c>
      <c r="AJ115" s="22"/>
      <c r="AK115" s="22" t="s">
        <v>216</v>
      </c>
    </row>
    <row r="116" spans="2:37" x14ac:dyDescent="0.25">
      <c r="B116" s="59">
        <v>136</v>
      </c>
      <c r="C116" s="23">
        <v>20200319</v>
      </c>
      <c r="D116" s="22" t="s">
        <v>2</v>
      </c>
      <c r="E116" s="22" t="s">
        <v>452</v>
      </c>
      <c r="F116" s="24" t="s">
        <v>67</v>
      </c>
      <c r="G116" s="22" t="s">
        <v>448</v>
      </c>
      <c r="H116" s="22" t="s">
        <v>407</v>
      </c>
      <c r="I116" s="22" t="s">
        <v>331</v>
      </c>
      <c r="J116" s="22" t="s">
        <v>67</v>
      </c>
      <c r="K116" s="22" t="s">
        <v>812</v>
      </c>
      <c r="L116" s="24" t="s">
        <v>419</v>
      </c>
      <c r="M116" s="24" t="s">
        <v>473</v>
      </c>
      <c r="N116" s="25" t="s">
        <v>636</v>
      </c>
      <c r="O116" s="23" t="s">
        <v>651</v>
      </c>
      <c r="P116" s="22" t="s">
        <v>71</v>
      </c>
      <c r="Q116" s="22"/>
      <c r="R116" s="22"/>
      <c r="S116" s="22"/>
      <c r="T116" s="22">
        <v>48.344000000000001</v>
      </c>
      <c r="U116" s="22">
        <v>48.344000000000001</v>
      </c>
      <c r="V116" s="22">
        <v>2.9750000000000001</v>
      </c>
      <c r="W116" s="22">
        <v>4</v>
      </c>
      <c r="X116" s="22" t="s">
        <v>79</v>
      </c>
      <c r="Y116" s="26">
        <v>43910</v>
      </c>
      <c r="Z116" s="26">
        <v>43920</v>
      </c>
      <c r="AA116" s="26">
        <v>43920</v>
      </c>
      <c r="AB116" s="26">
        <v>43920</v>
      </c>
      <c r="AC116" s="26" t="s">
        <v>201</v>
      </c>
      <c r="AD116" s="114"/>
      <c r="AE116" s="114"/>
      <c r="AF116" s="52">
        <v>0.84</v>
      </c>
      <c r="AG116" s="52">
        <v>0.84</v>
      </c>
      <c r="AH116" s="52">
        <v>0.64</v>
      </c>
      <c r="AI116" s="22"/>
      <c r="AJ116" s="22"/>
      <c r="AK116" s="22"/>
    </row>
    <row r="117" spans="2:37" x14ac:dyDescent="0.25">
      <c r="B117" s="59">
        <v>137</v>
      </c>
      <c r="C117" s="23">
        <v>20200319</v>
      </c>
      <c r="D117" s="22" t="s">
        <v>2</v>
      </c>
      <c r="E117" s="22" t="s">
        <v>452</v>
      </c>
      <c r="F117" s="24" t="s">
        <v>67</v>
      </c>
      <c r="G117" s="22" t="s">
        <v>449</v>
      </c>
      <c r="H117" s="22" t="s">
        <v>408</v>
      </c>
      <c r="I117" s="22" t="s">
        <v>331</v>
      </c>
      <c r="J117" s="22" t="s">
        <v>67</v>
      </c>
      <c r="K117" s="22" t="s">
        <v>812</v>
      </c>
      <c r="L117" s="24" t="s">
        <v>419</v>
      </c>
      <c r="M117" s="24" t="s">
        <v>473</v>
      </c>
      <c r="N117" s="25" t="s">
        <v>637</v>
      </c>
      <c r="O117" s="23" t="s">
        <v>651</v>
      </c>
      <c r="P117" s="22" t="s">
        <v>71</v>
      </c>
      <c r="Q117" s="22"/>
      <c r="R117" s="22"/>
      <c r="S117" s="22"/>
      <c r="T117" s="22">
        <v>48.344000000000001</v>
      </c>
      <c r="U117" s="22">
        <v>48.344000000000001</v>
      </c>
      <c r="V117" s="22">
        <v>2.9750000000000001</v>
      </c>
      <c r="W117" s="22">
        <v>4</v>
      </c>
      <c r="X117" s="22" t="s">
        <v>79</v>
      </c>
      <c r="Y117" s="26">
        <v>43910</v>
      </c>
      <c r="Z117" s="26">
        <v>43920</v>
      </c>
      <c r="AA117" s="26">
        <v>43920</v>
      </c>
      <c r="AB117" s="26">
        <v>43920</v>
      </c>
      <c r="AC117" s="26" t="s">
        <v>201</v>
      </c>
      <c r="AD117" s="114"/>
      <c r="AE117" s="114"/>
      <c r="AF117" s="52">
        <v>0.91700000000000004</v>
      </c>
      <c r="AG117" s="52">
        <v>0.91700000000000004</v>
      </c>
      <c r="AH117" s="52" t="s">
        <v>216</v>
      </c>
      <c r="AI117" s="22" t="s">
        <v>723</v>
      </c>
      <c r="AJ117" s="22"/>
      <c r="AK117" s="22" t="s">
        <v>216</v>
      </c>
    </row>
    <row r="118" spans="2:37" x14ac:dyDescent="0.25">
      <c r="B118" s="59">
        <v>138</v>
      </c>
      <c r="C118" s="23">
        <v>20200319</v>
      </c>
      <c r="D118" s="22" t="s">
        <v>2</v>
      </c>
      <c r="E118" s="22" t="s">
        <v>452</v>
      </c>
      <c r="F118" s="24" t="s">
        <v>67</v>
      </c>
      <c r="G118" s="22" t="s">
        <v>450</v>
      </c>
      <c r="H118" s="22" t="s">
        <v>409</v>
      </c>
      <c r="I118" s="22" t="s">
        <v>331</v>
      </c>
      <c r="J118" s="22" t="s">
        <v>67</v>
      </c>
      <c r="K118" s="22" t="s">
        <v>812</v>
      </c>
      <c r="L118" s="24" t="s">
        <v>422</v>
      </c>
      <c r="M118" s="24" t="s">
        <v>473</v>
      </c>
      <c r="N118" s="25" t="s">
        <v>638</v>
      </c>
      <c r="O118" s="23" t="s">
        <v>651</v>
      </c>
      <c r="P118" s="22" t="s">
        <v>71</v>
      </c>
      <c r="Q118" s="22"/>
      <c r="R118" s="22"/>
      <c r="S118" s="22"/>
      <c r="T118" s="22">
        <v>59.393999999999998</v>
      </c>
      <c r="U118" s="22">
        <v>59.393999999999998</v>
      </c>
      <c r="V118" s="22">
        <v>3.6549999999999998</v>
      </c>
      <c r="W118" s="22">
        <v>4</v>
      </c>
      <c r="X118" s="22" t="s">
        <v>79</v>
      </c>
      <c r="Y118" s="26">
        <v>43910</v>
      </c>
      <c r="Z118" s="26">
        <v>43920</v>
      </c>
      <c r="AA118" s="26">
        <v>43917</v>
      </c>
      <c r="AB118" s="26">
        <v>43917</v>
      </c>
      <c r="AC118" s="26" t="s">
        <v>201</v>
      </c>
      <c r="AD118" s="114"/>
      <c r="AE118" s="114"/>
      <c r="AF118" s="52">
        <v>1</v>
      </c>
      <c r="AG118" s="52">
        <v>1</v>
      </c>
      <c r="AH118" s="52" t="s">
        <v>216</v>
      </c>
      <c r="AI118" s="22"/>
      <c r="AJ118" s="22"/>
      <c r="AK118" s="22"/>
    </row>
    <row r="119" spans="2:37" x14ac:dyDescent="0.25">
      <c r="B119" s="59">
        <v>139</v>
      </c>
      <c r="C119" s="23">
        <v>20200319</v>
      </c>
      <c r="D119" s="22" t="s">
        <v>2</v>
      </c>
      <c r="E119" s="22" t="s">
        <v>452</v>
      </c>
      <c r="F119" s="24" t="s">
        <v>67</v>
      </c>
      <c r="G119" s="22" t="s">
        <v>451</v>
      </c>
      <c r="H119" s="22" t="s">
        <v>410</v>
      </c>
      <c r="I119" s="22" t="s">
        <v>331</v>
      </c>
      <c r="J119" s="22" t="s">
        <v>67</v>
      </c>
      <c r="K119" s="22" t="s">
        <v>812</v>
      </c>
      <c r="L119" s="24" t="s">
        <v>423</v>
      </c>
      <c r="M119" s="24" t="s">
        <v>473</v>
      </c>
      <c r="N119" s="25" t="s">
        <v>639</v>
      </c>
      <c r="O119" s="23" t="s">
        <v>651</v>
      </c>
      <c r="P119" s="22" t="s">
        <v>71</v>
      </c>
      <c r="Q119" s="22"/>
      <c r="R119" s="22"/>
      <c r="S119" s="22"/>
      <c r="T119" s="22">
        <v>59.393999999999998</v>
      </c>
      <c r="U119" s="22">
        <v>59.393999999999998</v>
      </c>
      <c r="V119" s="22">
        <v>3.6549999999999998</v>
      </c>
      <c r="W119" s="22">
        <v>4</v>
      </c>
      <c r="X119" s="22" t="s">
        <v>79</v>
      </c>
      <c r="Y119" s="26">
        <v>43910</v>
      </c>
      <c r="Z119" s="26">
        <v>43920</v>
      </c>
      <c r="AA119" s="26">
        <v>43916</v>
      </c>
      <c r="AB119" s="26">
        <v>43916</v>
      </c>
      <c r="AC119" s="26" t="s">
        <v>201</v>
      </c>
      <c r="AD119" s="114"/>
      <c r="AE119" s="114"/>
      <c r="AF119" s="52">
        <v>1</v>
      </c>
      <c r="AG119" s="52">
        <v>1</v>
      </c>
      <c r="AH119" s="52">
        <v>1</v>
      </c>
      <c r="AI119" s="22"/>
      <c r="AJ119" s="22"/>
      <c r="AK119" s="22"/>
    </row>
    <row r="120" spans="2:37" x14ac:dyDescent="0.25">
      <c r="B120" s="44">
        <v>140</v>
      </c>
      <c r="C120" s="81">
        <v>20200330</v>
      </c>
      <c r="D120" s="22" t="s">
        <v>3</v>
      </c>
      <c r="E120" s="22" t="s">
        <v>672</v>
      </c>
      <c r="F120" s="24" t="s">
        <v>67</v>
      </c>
      <c r="G120" s="22" t="s">
        <v>673</v>
      </c>
      <c r="H120" s="22" t="s">
        <v>657</v>
      </c>
      <c r="I120" s="22" t="s">
        <v>331</v>
      </c>
      <c r="J120" s="22" t="s">
        <v>67</v>
      </c>
      <c r="K120" s="22" t="s">
        <v>813</v>
      </c>
      <c r="L120" s="24" t="s">
        <v>865</v>
      </c>
      <c r="M120" s="24" t="s">
        <v>694</v>
      </c>
      <c r="N120" s="25" t="s">
        <v>695</v>
      </c>
      <c r="O120" s="23" t="s">
        <v>320</v>
      </c>
      <c r="P120" s="22" t="s">
        <v>6</v>
      </c>
      <c r="Q120" s="22"/>
      <c r="R120" s="22"/>
      <c r="S120" s="22">
        <v>47</v>
      </c>
      <c r="T120" s="22">
        <v>90</v>
      </c>
      <c r="U120" s="22">
        <v>90</v>
      </c>
      <c r="V120" s="22">
        <v>1.6</v>
      </c>
      <c r="W120" s="22">
        <v>8</v>
      </c>
      <c r="X120" s="22" t="s">
        <v>80</v>
      </c>
      <c r="Y120" s="26">
        <v>43920</v>
      </c>
      <c r="Z120" s="26">
        <v>43924</v>
      </c>
      <c r="AA120" s="26">
        <v>43920</v>
      </c>
      <c r="AB120" s="26">
        <v>43920</v>
      </c>
      <c r="AC120" s="26" t="s">
        <v>201</v>
      </c>
      <c r="AD120" s="114"/>
      <c r="AE120" s="114"/>
      <c r="AF120" s="52">
        <v>1</v>
      </c>
      <c r="AG120" s="52">
        <v>1</v>
      </c>
      <c r="AH120" s="52">
        <v>1</v>
      </c>
      <c r="AI120" s="22"/>
      <c r="AJ120" s="22"/>
      <c r="AK120" s="22" t="s">
        <v>679</v>
      </c>
    </row>
    <row r="121" spans="2:37" x14ac:dyDescent="0.25">
      <c r="B121" s="44">
        <v>141</v>
      </c>
      <c r="C121" s="81">
        <v>20200330</v>
      </c>
      <c r="D121" s="22" t="s">
        <v>3</v>
      </c>
      <c r="E121" s="22" t="s">
        <v>672</v>
      </c>
      <c r="F121" s="24" t="s">
        <v>67</v>
      </c>
      <c r="G121" s="22" t="s">
        <v>207</v>
      </c>
      <c r="H121" s="22" t="s">
        <v>658</v>
      </c>
      <c r="I121" s="22" t="s">
        <v>332</v>
      </c>
      <c r="J121" s="22" t="s">
        <v>67</v>
      </c>
      <c r="K121" s="22" t="s">
        <v>813</v>
      </c>
      <c r="L121" s="24" t="s">
        <v>866</v>
      </c>
      <c r="M121" s="24" t="s">
        <v>694</v>
      </c>
      <c r="N121" s="25" t="s">
        <v>696</v>
      </c>
      <c r="O121" s="23" t="s">
        <v>320</v>
      </c>
      <c r="P121" s="22" t="s">
        <v>6</v>
      </c>
      <c r="Q121" s="22"/>
      <c r="R121" s="22"/>
      <c r="S121" s="22">
        <v>1823</v>
      </c>
      <c r="T121" s="22">
        <v>225</v>
      </c>
      <c r="U121" s="22">
        <v>225</v>
      </c>
      <c r="V121" s="22">
        <v>4</v>
      </c>
      <c r="W121" s="22">
        <v>8</v>
      </c>
      <c r="X121" s="22" t="s">
        <v>80</v>
      </c>
      <c r="Y121" s="26">
        <v>43920</v>
      </c>
      <c r="Z121" s="26">
        <v>43924</v>
      </c>
      <c r="AA121" s="26">
        <v>43921</v>
      </c>
      <c r="AB121" s="26">
        <v>43921</v>
      </c>
      <c r="AC121" s="26" t="s">
        <v>201</v>
      </c>
      <c r="AD121" s="114"/>
      <c r="AE121" s="114"/>
      <c r="AF121" s="52">
        <v>1</v>
      </c>
      <c r="AG121" s="52">
        <v>0.83</v>
      </c>
      <c r="AH121" s="52">
        <v>0</v>
      </c>
      <c r="AI121" s="22" t="s">
        <v>935</v>
      </c>
      <c r="AJ121" s="82"/>
      <c r="AK121" s="22" t="s">
        <v>680</v>
      </c>
    </row>
    <row r="122" spans="2:37" x14ac:dyDescent="0.25">
      <c r="B122" s="44">
        <v>142</v>
      </c>
      <c r="C122" s="81">
        <v>20200330</v>
      </c>
      <c r="D122" s="22" t="s">
        <v>3</v>
      </c>
      <c r="E122" s="22" t="s">
        <v>672</v>
      </c>
      <c r="F122" s="24" t="s">
        <v>67</v>
      </c>
      <c r="G122" s="22" t="s">
        <v>674</v>
      </c>
      <c r="H122" s="22" t="s">
        <v>659</v>
      </c>
      <c r="I122" s="22" t="s">
        <v>332</v>
      </c>
      <c r="J122" s="22" t="s">
        <v>67</v>
      </c>
      <c r="K122" s="22" t="s">
        <v>813</v>
      </c>
      <c r="L122" s="24" t="s">
        <v>867</v>
      </c>
      <c r="M122" s="24" t="s">
        <v>694</v>
      </c>
      <c r="N122" s="25" t="s">
        <v>697</v>
      </c>
      <c r="O122" s="23" t="s">
        <v>321</v>
      </c>
      <c r="P122" s="22" t="s">
        <v>70</v>
      </c>
      <c r="Q122" s="22"/>
      <c r="R122" s="22"/>
      <c r="S122" s="22">
        <v>83</v>
      </c>
      <c r="T122" s="22">
        <v>90</v>
      </c>
      <c r="U122" s="22">
        <v>90</v>
      </c>
      <c r="V122" s="22">
        <v>1.6</v>
      </c>
      <c r="W122" s="22">
        <v>4</v>
      </c>
      <c r="X122" s="22" t="s">
        <v>80</v>
      </c>
      <c r="Y122" s="26">
        <v>43920</v>
      </c>
      <c r="Z122" s="26">
        <v>43921</v>
      </c>
      <c r="AA122" s="26">
        <v>43920</v>
      </c>
      <c r="AB122" s="26">
        <v>43920</v>
      </c>
      <c r="AC122" s="26" t="s">
        <v>201</v>
      </c>
      <c r="AD122" s="114"/>
      <c r="AE122" s="114"/>
      <c r="AF122" s="52">
        <v>1</v>
      </c>
      <c r="AG122" s="52">
        <v>1</v>
      </c>
      <c r="AH122" s="52">
        <v>0.83</v>
      </c>
      <c r="AI122" s="22"/>
      <c r="AJ122" s="22"/>
      <c r="AK122" s="22" t="s">
        <v>681</v>
      </c>
    </row>
    <row r="123" spans="2:37" x14ac:dyDescent="0.25">
      <c r="B123" s="44">
        <v>143</v>
      </c>
      <c r="C123" s="81">
        <v>20200330</v>
      </c>
      <c r="D123" s="22" t="s">
        <v>3</v>
      </c>
      <c r="E123" s="22" t="s">
        <v>672</v>
      </c>
      <c r="F123" s="24" t="s">
        <v>67</v>
      </c>
      <c r="G123" s="22" t="s">
        <v>675</v>
      </c>
      <c r="H123" s="22" t="s">
        <v>660</v>
      </c>
      <c r="I123" s="22" t="s">
        <v>332</v>
      </c>
      <c r="J123" s="22" t="s">
        <v>67</v>
      </c>
      <c r="K123" s="22" t="s">
        <v>813</v>
      </c>
      <c r="L123" s="24" t="s">
        <v>868</v>
      </c>
      <c r="M123" s="24" t="s">
        <v>694</v>
      </c>
      <c r="N123" s="25" t="s">
        <v>698</v>
      </c>
      <c r="O123" s="23" t="s">
        <v>321</v>
      </c>
      <c r="P123" s="22" t="s">
        <v>70</v>
      </c>
      <c r="Q123" s="22"/>
      <c r="R123" s="22"/>
      <c r="S123" s="22">
        <v>765</v>
      </c>
      <c r="T123" s="22">
        <v>135</v>
      </c>
      <c r="U123" s="22">
        <v>135</v>
      </c>
      <c r="V123" s="22">
        <v>2.4</v>
      </c>
      <c r="W123" s="22">
        <v>4</v>
      </c>
      <c r="X123" s="22" t="s">
        <v>80</v>
      </c>
      <c r="Y123" s="26">
        <v>43920</v>
      </c>
      <c r="Z123" s="26">
        <v>43921</v>
      </c>
      <c r="AA123" s="26">
        <v>43920</v>
      </c>
      <c r="AB123" s="26">
        <v>43920</v>
      </c>
      <c r="AC123" s="26" t="s">
        <v>201</v>
      </c>
      <c r="AD123" s="114"/>
      <c r="AE123" s="114"/>
      <c r="AF123" s="52">
        <v>1</v>
      </c>
      <c r="AG123" s="52">
        <v>1</v>
      </c>
      <c r="AH123" s="52">
        <v>1</v>
      </c>
      <c r="AI123" s="22"/>
      <c r="AJ123" s="22"/>
      <c r="AK123" s="22" t="s">
        <v>682</v>
      </c>
    </row>
    <row r="124" spans="2:37" x14ac:dyDescent="0.25">
      <c r="B124" s="44">
        <v>144</v>
      </c>
      <c r="C124" s="81">
        <v>20200330</v>
      </c>
      <c r="D124" s="22" t="s">
        <v>3</v>
      </c>
      <c r="E124" s="22" t="s">
        <v>672</v>
      </c>
      <c r="F124" s="24" t="s">
        <v>67</v>
      </c>
      <c r="G124" s="22" t="s">
        <v>121</v>
      </c>
      <c r="H124" s="22" t="s">
        <v>661</v>
      </c>
      <c r="I124" s="22" t="s">
        <v>332</v>
      </c>
      <c r="J124" s="22" t="s">
        <v>67</v>
      </c>
      <c r="K124" s="22" t="s">
        <v>813</v>
      </c>
      <c r="L124" s="24" t="s">
        <v>869</v>
      </c>
      <c r="M124" s="24" t="s">
        <v>694</v>
      </c>
      <c r="N124" s="25" t="s">
        <v>699</v>
      </c>
      <c r="O124" s="23" t="s">
        <v>322</v>
      </c>
      <c r="P124" s="22" t="s">
        <v>72</v>
      </c>
      <c r="Q124" s="22"/>
      <c r="R124" s="22"/>
      <c r="S124" s="22">
        <v>128</v>
      </c>
      <c r="T124" s="22">
        <v>90</v>
      </c>
      <c r="U124" s="22">
        <v>90</v>
      </c>
      <c r="V124" s="22">
        <v>1.6</v>
      </c>
      <c r="W124" s="22">
        <v>4</v>
      </c>
      <c r="X124" s="22" t="s">
        <v>80</v>
      </c>
      <c r="Y124" s="26">
        <v>43920</v>
      </c>
      <c r="Z124" s="26">
        <v>43924</v>
      </c>
      <c r="AA124" s="26">
        <v>43924</v>
      </c>
      <c r="AB124" s="26">
        <v>43924</v>
      </c>
      <c r="AC124" s="26" t="s">
        <v>201</v>
      </c>
      <c r="AD124" s="114"/>
      <c r="AE124" s="114"/>
      <c r="AF124" s="52">
        <v>1</v>
      </c>
      <c r="AG124" s="52">
        <v>1</v>
      </c>
      <c r="AH124" s="52">
        <v>1</v>
      </c>
      <c r="AI124" s="22"/>
      <c r="AJ124" s="22"/>
      <c r="AK124" s="22" t="s">
        <v>683</v>
      </c>
    </row>
    <row r="125" spans="2:37" x14ac:dyDescent="0.25">
      <c r="B125" s="44">
        <v>145</v>
      </c>
      <c r="C125" s="81">
        <v>20200330</v>
      </c>
      <c r="D125" s="22" t="s">
        <v>3</v>
      </c>
      <c r="E125" s="22" t="s">
        <v>672</v>
      </c>
      <c r="F125" s="24" t="s">
        <v>67</v>
      </c>
      <c r="G125" s="22" t="s">
        <v>676</v>
      </c>
      <c r="H125" s="22" t="s">
        <v>662</v>
      </c>
      <c r="I125" s="22" t="s">
        <v>332</v>
      </c>
      <c r="J125" s="22" t="s">
        <v>67</v>
      </c>
      <c r="K125" s="22" t="s">
        <v>813</v>
      </c>
      <c r="L125" s="24" t="s">
        <v>870</v>
      </c>
      <c r="M125" s="24" t="s">
        <v>694</v>
      </c>
      <c r="N125" s="25" t="s">
        <v>700</v>
      </c>
      <c r="O125" s="23" t="s">
        <v>322</v>
      </c>
      <c r="P125" s="22" t="s">
        <v>72</v>
      </c>
      <c r="Q125" s="22"/>
      <c r="R125" s="22"/>
      <c r="S125" s="22">
        <v>283</v>
      </c>
      <c r="T125" s="22">
        <v>90</v>
      </c>
      <c r="U125" s="22">
        <v>90</v>
      </c>
      <c r="V125" s="22">
        <v>1.6</v>
      </c>
      <c r="W125" s="22">
        <v>4</v>
      </c>
      <c r="X125" s="22" t="s">
        <v>80</v>
      </c>
      <c r="Y125" s="26">
        <v>43920</v>
      </c>
      <c r="Z125" s="26">
        <v>43924</v>
      </c>
      <c r="AA125" s="26">
        <v>43924</v>
      </c>
      <c r="AB125" s="26">
        <v>43924</v>
      </c>
      <c r="AC125" s="26" t="s">
        <v>201</v>
      </c>
      <c r="AD125" s="114"/>
      <c r="AE125" s="114"/>
      <c r="AF125" s="52">
        <v>1</v>
      </c>
      <c r="AG125" s="52">
        <v>1</v>
      </c>
      <c r="AH125" s="52">
        <v>1</v>
      </c>
      <c r="AI125" s="22"/>
      <c r="AJ125" s="22"/>
      <c r="AK125" s="22" t="s">
        <v>684</v>
      </c>
    </row>
    <row r="126" spans="2:37" x14ac:dyDescent="0.25">
      <c r="B126" s="44">
        <v>146</v>
      </c>
      <c r="C126" s="81">
        <v>20200330</v>
      </c>
      <c r="D126" s="22" t="s">
        <v>3</v>
      </c>
      <c r="E126" s="22" t="s">
        <v>672</v>
      </c>
      <c r="F126" s="24" t="s">
        <v>67</v>
      </c>
      <c r="G126" s="22" t="s">
        <v>124</v>
      </c>
      <c r="H126" s="22" t="s">
        <v>663</v>
      </c>
      <c r="I126" s="22" t="s">
        <v>332</v>
      </c>
      <c r="J126" s="22" t="s">
        <v>67</v>
      </c>
      <c r="K126" s="22" t="s">
        <v>813</v>
      </c>
      <c r="L126" s="24" t="s">
        <v>871</v>
      </c>
      <c r="M126" s="24" t="s">
        <v>694</v>
      </c>
      <c r="N126" s="25" t="s">
        <v>701</v>
      </c>
      <c r="O126" s="23" t="s">
        <v>322</v>
      </c>
      <c r="P126" s="22" t="s">
        <v>72</v>
      </c>
      <c r="Q126" s="22"/>
      <c r="R126" s="22"/>
      <c r="S126" s="22">
        <v>1998</v>
      </c>
      <c r="T126" s="22">
        <v>135</v>
      </c>
      <c r="U126" s="22">
        <v>135</v>
      </c>
      <c r="V126" s="22">
        <v>2.4</v>
      </c>
      <c r="W126" s="22">
        <v>4</v>
      </c>
      <c r="X126" s="22" t="s">
        <v>80</v>
      </c>
      <c r="Y126" s="26">
        <v>43920</v>
      </c>
      <c r="Z126" s="26">
        <v>43924</v>
      </c>
      <c r="AA126" s="26">
        <v>43924</v>
      </c>
      <c r="AB126" s="26">
        <v>43924</v>
      </c>
      <c r="AC126" s="26" t="s">
        <v>201</v>
      </c>
      <c r="AD126" s="114"/>
      <c r="AE126" s="114"/>
      <c r="AF126" s="52">
        <v>1</v>
      </c>
      <c r="AG126" s="52">
        <v>1</v>
      </c>
      <c r="AH126" s="52">
        <v>1</v>
      </c>
      <c r="AI126" s="22"/>
      <c r="AJ126" s="22"/>
      <c r="AK126" s="22" t="s">
        <v>685</v>
      </c>
    </row>
    <row r="127" spans="2:37" x14ac:dyDescent="0.25">
      <c r="B127" s="44">
        <v>147</v>
      </c>
      <c r="C127" s="81">
        <v>20200330</v>
      </c>
      <c r="D127" s="22" t="s">
        <v>3</v>
      </c>
      <c r="E127" s="22" t="s">
        <v>672</v>
      </c>
      <c r="F127" s="24" t="s">
        <v>67</v>
      </c>
      <c r="G127" s="22" t="s">
        <v>126</v>
      </c>
      <c r="H127" s="22" t="s">
        <v>664</v>
      </c>
      <c r="I127" s="22" t="s">
        <v>332</v>
      </c>
      <c r="J127" s="22" t="s">
        <v>67</v>
      </c>
      <c r="K127" s="22" t="s">
        <v>813</v>
      </c>
      <c r="L127" s="24" t="s">
        <v>872</v>
      </c>
      <c r="M127" s="24" t="s">
        <v>694</v>
      </c>
      <c r="N127" s="25" t="s">
        <v>702</v>
      </c>
      <c r="O127" s="23" t="s">
        <v>323</v>
      </c>
      <c r="P127" s="22" t="s">
        <v>71</v>
      </c>
      <c r="Q127" s="22"/>
      <c r="R127" s="22"/>
      <c r="S127" s="22">
        <v>191</v>
      </c>
      <c r="T127" s="22">
        <v>360</v>
      </c>
      <c r="U127" s="22">
        <v>360</v>
      </c>
      <c r="V127" s="22">
        <v>6.4</v>
      </c>
      <c r="W127" s="22">
        <v>4</v>
      </c>
      <c r="X127" s="22" t="s">
        <v>80</v>
      </c>
      <c r="Y127" s="26">
        <v>43920</v>
      </c>
      <c r="Z127" s="26">
        <v>43924</v>
      </c>
      <c r="AA127" s="26">
        <v>43924</v>
      </c>
      <c r="AB127" s="26">
        <v>43924</v>
      </c>
      <c r="AC127" s="26" t="s">
        <v>201</v>
      </c>
      <c r="AD127" s="114"/>
      <c r="AE127" s="114"/>
      <c r="AF127" s="52">
        <v>1</v>
      </c>
      <c r="AG127" s="52">
        <v>1</v>
      </c>
      <c r="AH127" s="52">
        <v>1</v>
      </c>
      <c r="AI127" s="22"/>
      <c r="AJ127" s="22"/>
      <c r="AK127" s="22" t="s">
        <v>686</v>
      </c>
    </row>
    <row r="128" spans="2:37" x14ac:dyDescent="0.25">
      <c r="B128" s="44">
        <v>148</v>
      </c>
      <c r="C128" s="81">
        <v>20200330</v>
      </c>
      <c r="D128" s="22" t="s">
        <v>3</v>
      </c>
      <c r="E128" s="22" t="s">
        <v>672</v>
      </c>
      <c r="F128" s="24" t="s">
        <v>67</v>
      </c>
      <c r="G128" s="22" t="s">
        <v>677</v>
      </c>
      <c r="H128" s="22" t="s">
        <v>665</v>
      </c>
      <c r="I128" s="22" t="s">
        <v>332</v>
      </c>
      <c r="J128" s="22" t="s">
        <v>67</v>
      </c>
      <c r="K128" s="22" t="s">
        <v>813</v>
      </c>
      <c r="L128" s="24" t="s">
        <v>873</v>
      </c>
      <c r="M128" s="24" t="s">
        <v>694</v>
      </c>
      <c r="N128" s="25" t="s">
        <v>703</v>
      </c>
      <c r="O128" s="23" t="s">
        <v>323</v>
      </c>
      <c r="P128" s="22" t="s">
        <v>71</v>
      </c>
      <c r="Q128" s="22"/>
      <c r="R128" s="22"/>
      <c r="S128" s="22">
        <v>1379</v>
      </c>
      <c r="T128" s="22">
        <v>900</v>
      </c>
      <c r="U128" s="22">
        <v>900</v>
      </c>
      <c r="V128" s="22">
        <v>16</v>
      </c>
      <c r="W128" s="22">
        <v>4</v>
      </c>
      <c r="X128" s="22" t="s">
        <v>80</v>
      </c>
      <c r="Y128" s="26">
        <v>43920</v>
      </c>
      <c r="Z128" s="26">
        <v>43924</v>
      </c>
      <c r="AA128" s="26">
        <v>43924</v>
      </c>
      <c r="AB128" s="26">
        <v>43924</v>
      </c>
      <c r="AC128" s="26" t="s">
        <v>201</v>
      </c>
      <c r="AD128" s="114"/>
      <c r="AE128" s="114"/>
      <c r="AF128" s="52">
        <v>1</v>
      </c>
      <c r="AG128" s="52">
        <v>1</v>
      </c>
      <c r="AH128" s="52">
        <v>1</v>
      </c>
      <c r="AI128" s="22"/>
      <c r="AJ128" s="22"/>
      <c r="AK128" s="22" t="s">
        <v>687</v>
      </c>
    </row>
    <row r="129" spans="2:37" x14ac:dyDescent="0.25">
      <c r="B129" s="44">
        <v>149</v>
      </c>
      <c r="C129" s="81">
        <v>20200330</v>
      </c>
      <c r="D129" s="22" t="s">
        <v>3</v>
      </c>
      <c r="E129" s="22" t="s">
        <v>672</v>
      </c>
      <c r="F129" s="24" t="s">
        <v>67</v>
      </c>
      <c r="G129" s="22" t="s">
        <v>127</v>
      </c>
      <c r="H129" s="22" t="s">
        <v>666</v>
      </c>
      <c r="I129" s="22" t="s">
        <v>332</v>
      </c>
      <c r="J129" s="22" t="s">
        <v>67</v>
      </c>
      <c r="K129" s="22" t="s">
        <v>813</v>
      </c>
      <c r="L129" s="24" t="s">
        <v>874</v>
      </c>
      <c r="M129" s="24" t="s">
        <v>694</v>
      </c>
      <c r="N129" s="25" t="s">
        <v>704</v>
      </c>
      <c r="O129" s="23" t="s">
        <v>322</v>
      </c>
      <c r="P129" s="22" t="s">
        <v>72</v>
      </c>
      <c r="Q129" s="22"/>
      <c r="R129" s="22"/>
      <c r="S129" s="22">
        <v>1395</v>
      </c>
      <c r="T129" s="22">
        <v>900</v>
      </c>
      <c r="U129" s="22">
        <v>900</v>
      </c>
      <c r="V129" s="22">
        <v>16</v>
      </c>
      <c r="W129" s="22">
        <v>4</v>
      </c>
      <c r="X129" s="22" t="s">
        <v>80</v>
      </c>
      <c r="Y129" s="26">
        <v>43920</v>
      </c>
      <c r="Z129" s="26">
        <v>43924</v>
      </c>
      <c r="AA129" s="26">
        <v>43924</v>
      </c>
      <c r="AB129" s="26">
        <v>43924</v>
      </c>
      <c r="AC129" s="26" t="s">
        <v>201</v>
      </c>
      <c r="AD129" s="114"/>
      <c r="AE129" s="114"/>
      <c r="AF129" s="52">
        <v>1</v>
      </c>
      <c r="AG129" s="52">
        <v>1</v>
      </c>
      <c r="AH129" s="52">
        <v>1</v>
      </c>
      <c r="AI129" s="22"/>
      <c r="AJ129" s="22"/>
      <c r="AK129" s="22" t="s">
        <v>688</v>
      </c>
    </row>
    <row r="130" spans="2:37" x14ac:dyDescent="0.25">
      <c r="B130" s="44">
        <v>150</v>
      </c>
      <c r="C130" s="81">
        <v>20200330</v>
      </c>
      <c r="D130" s="22" t="s">
        <v>3</v>
      </c>
      <c r="E130" s="22" t="s">
        <v>672</v>
      </c>
      <c r="F130" s="24" t="s">
        <v>67</v>
      </c>
      <c r="G130" s="22" t="s">
        <v>678</v>
      </c>
      <c r="H130" s="22" t="s">
        <v>667</v>
      </c>
      <c r="I130" s="22" t="s">
        <v>332</v>
      </c>
      <c r="J130" s="22" t="s">
        <v>67</v>
      </c>
      <c r="K130" s="22" t="s">
        <v>813</v>
      </c>
      <c r="L130" s="24" t="s">
        <v>875</v>
      </c>
      <c r="M130" s="24" t="s">
        <v>694</v>
      </c>
      <c r="N130" s="25" t="s">
        <v>705</v>
      </c>
      <c r="O130" s="23" t="s">
        <v>321</v>
      </c>
      <c r="P130" s="22" t="s">
        <v>70</v>
      </c>
      <c r="Q130" s="22"/>
      <c r="R130" s="22"/>
      <c r="S130" s="22">
        <v>1580</v>
      </c>
      <c r="T130" s="22">
        <v>1125</v>
      </c>
      <c r="U130" s="22">
        <v>1125</v>
      </c>
      <c r="V130" s="22">
        <v>20</v>
      </c>
      <c r="W130" s="22">
        <v>8</v>
      </c>
      <c r="X130" s="22" t="s">
        <v>80</v>
      </c>
      <c r="Y130" s="26">
        <v>43920</v>
      </c>
      <c r="Z130" s="26">
        <v>43921</v>
      </c>
      <c r="AA130" s="26">
        <v>43921</v>
      </c>
      <c r="AB130" s="26">
        <v>43921</v>
      </c>
      <c r="AC130" s="26" t="s">
        <v>201</v>
      </c>
      <c r="AD130" s="114"/>
      <c r="AE130" s="114"/>
      <c r="AF130" s="52">
        <v>1</v>
      </c>
      <c r="AG130" s="52">
        <v>1</v>
      </c>
      <c r="AH130" s="52">
        <v>0.67</v>
      </c>
      <c r="AI130" s="22"/>
      <c r="AJ130" s="22"/>
      <c r="AK130" s="22" t="s">
        <v>689</v>
      </c>
    </row>
    <row r="131" spans="2:37" x14ac:dyDescent="0.25">
      <c r="B131" s="44">
        <v>151</v>
      </c>
      <c r="C131" s="81">
        <v>20200330</v>
      </c>
      <c r="D131" s="22" t="s">
        <v>3</v>
      </c>
      <c r="E131" s="22" t="s">
        <v>672</v>
      </c>
      <c r="F131" s="24" t="s">
        <v>67</v>
      </c>
      <c r="G131" s="22" t="s">
        <v>129</v>
      </c>
      <c r="H131" s="22" t="s">
        <v>668</v>
      </c>
      <c r="I131" s="22" t="s">
        <v>332</v>
      </c>
      <c r="J131" s="22" t="s">
        <v>67</v>
      </c>
      <c r="K131" s="22" t="s">
        <v>813</v>
      </c>
      <c r="L131" s="24" t="s">
        <v>876</v>
      </c>
      <c r="M131" s="24" t="s">
        <v>694</v>
      </c>
      <c r="N131" s="25" t="s">
        <v>706</v>
      </c>
      <c r="O131" s="23" t="s">
        <v>320</v>
      </c>
      <c r="P131" s="22" t="s">
        <v>6</v>
      </c>
      <c r="Q131" s="22"/>
      <c r="R131" s="22"/>
      <c r="S131" s="22">
        <v>171</v>
      </c>
      <c r="T131" s="22">
        <v>315</v>
      </c>
      <c r="U131" s="22">
        <v>315</v>
      </c>
      <c r="V131" s="22">
        <v>5.6</v>
      </c>
      <c r="W131" s="22">
        <v>8</v>
      </c>
      <c r="X131" s="22" t="s">
        <v>80</v>
      </c>
      <c r="Y131" s="26">
        <v>43920</v>
      </c>
      <c r="Z131" s="26">
        <v>43924</v>
      </c>
      <c r="AA131" s="26">
        <v>43922</v>
      </c>
      <c r="AB131" s="26">
        <v>43922</v>
      </c>
      <c r="AC131" s="26" t="s">
        <v>201</v>
      </c>
      <c r="AD131" s="114"/>
      <c r="AE131" s="114"/>
      <c r="AF131" s="52">
        <v>1</v>
      </c>
      <c r="AG131" s="52">
        <v>1</v>
      </c>
      <c r="AH131" s="52">
        <v>0.26</v>
      </c>
      <c r="AI131" s="22"/>
      <c r="AJ131" s="22"/>
      <c r="AK131" s="22" t="s">
        <v>690</v>
      </c>
    </row>
    <row r="132" spans="2:37" x14ac:dyDescent="0.25">
      <c r="B132" s="44">
        <v>152</v>
      </c>
      <c r="C132" s="81">
        <v>20200330</v>
      </c>
      <c r="D132" s="22" t="s">
        <v>3</v>
      </c>
      <c r="E132" s="22" t="s">
        <v>672</v>
      </c>
      <c r="F132" s="24" t="s">
        <v>67</v>
      </c>
      <c r="G132" s="22" t="s">
        <v>130</v>
      </c>
      <c r="H132" s="22" t="s">
        <v>669</v>
      </c>
      <c r="I132" s="22" t="s">
        <v>332</v>
      </c>
      <c r="J132" s="22" t="s">
        <v>67</v>
      </c>
      <c r="K132" s="22" t="s">
        <v>813</v>
      </c>
      <c r="L132" s="24" t="s">
        <v>877</v>
      </c>
      <c r="M132" s="24" t="s">
        <v>694</v>
      </c>
      <c r="N132" s="25" t="s">
        <v>707</v>
      </c>
      <c r="O132" s="23" t="s">
        <v>320</v>
      </c>
      <c r="P132" s="22" t="s">
        <v>6</v>
      </c>
      <c r="Q132" s="22"/>
      <c r="R132" s="22"/>
      <c r="S132" s="22">
        <v>90</v>
      </c>
      <c r="T132" s="22">
        <v>90</v>
      </c>
      <c r="U132" s="22">
        <v>90</v>
      </c>
      <c r="V132" s="22">
        <v>1.6</v>
      </c>
      <c r="W132" s="22">
        <v>2</v>
      </c>
      <c r="X132" s="22" t="s">
        <v>80</v>
      </c>
      <c r="Y132" s="26">
        <v>43920</v>
      </c>
      <c r="Z132" s="26">
        <v>43924</v>
      </c>
      <c r="AA132" s="26">
        <v>43924</v>
      </c>
      <c r="AB132" s="26">
        <v>43924</v>
      </c>
      <c r="AC132" s="26" t="s">
        <v>201</v>
      </c>
      <c r="AD132" s="114"/>
      <c r="AE132" s="114"/>
      <c r="AF132" s="52">
        <v>1</v>
      </c>
      <c r="AG132" s="52">
        <v>1</v>
      </c>
      <c r="AH132" s="52">
        <v>1</v>
      </c>
      <c r="AI132" s="22"/>
      <c r="AJ132" s="22"/>
      <c r="AK132" s="22" t="s">
        <v>691</v>
      </c>
    </row>
    <row r="133" spans="2:37" x14ac:dyDescent="0.25">
      <c r="B133" s="44">
        <v>153</v>
      </c>
      <c r="C133" s="81">
        <v>20200330</v>
      </c>
      <c r="D133" s="22" t="s">
        <v>3</v>
      </c>
      <c r="E133" s="22" t="s">
        <v>672</v>
      </c>
      <c r="F133" s="24" t="s">
        <v>67</v>
      </c>
      <c r="G133" s="22" t="s">
        <v>131</v>
      </c>
      <c r="H133" s="22" t="s">
        <v>670</v>
      </c>
      <c r="I133" s="22" t="s">
        <v>332</v>
      </c>
      <c r="J133" s="22" t="s">
        <v>67</v>
      </c>
      <c r="K133" s="22" t="s">
        <v>813</v>
      </c>
      <c r="L133" s="24" t="s">
        <v>878</v>
      </c>
      <c r="M133" s="24" t="s">
        <v>694</v>
      </c>
      <c r="N133" s="25" t="s">
        <v>708</v>
      </c>
      <c r="O133" s="23" t="s">
        <v>320</v>
      </c>
      <c r="P133" s="22" t="s">
        <v>6</v>
      </c>
      <c r="Q133" s="22"/>
      <c r="R133" s="22"/>
      <c r="S133" s="22">
        <v>234</v>
      </c>
      <c r="T133" s="22">
        <v>450</v>
      </c>
      <c r="U133" s="22">
        <v>450</v>
      </c>
      <c r="V133" s="22">
        <v>8</v>
      </c>
      <c r="W133" s="22">
        <v>4</v>
      </c>
      <c r="X133" s="22" t="s">
        <v>80</v>
      </c>
      <c r="Y133" s="26">
        <v>43920</v>
      </c>
      <c r="Z133" s="26">
        <v>43924</v>
      </c>
      <c r="AA133" s="26">
        <v>43924</v>
      </c>
      <c r="AB133" s="26">
        <v>43924</v>
      </c>
      <c r="AC133" s="26" t="s">
        <v>201</v>
      </c>
      <c r="AD133" s="114"/>
      <c r="AE133" s="114"/>
      <c r="AF133" s="52">
        <v>1</v>
      </c>
      <c r="AG133" s="52">
        <v>1</v>
      </c>
      <c r="AH133" s="52">
        <v>0.22</v>
      </c>
      <c r="AI133" s="22"/>
      <c r="AJ133" s="22"/>
      <c r="AK133" s="22" t="s">
        <v>692</v>
      </c>
    </row>
    <row r="134" spans="2:37" x14ac:dyDescent="0.25">
      <c r="B134" s="44">
        <v>154</v>
      </c>
      <c r="C134" s="81">
        <v>20200330</v>
      </c>
      <c r="D134" s="22" t="s">
        <v>3</v>
      </c>
      <c r="E134" s="22" t="s">
        <v>672</v>
      </c>
      <c r="F134" s="24" t="s">
        <v>67</v>
      </c>
      <c r="G134" s="22" t="s">
        <v>132</v>
      </c>
      <c r="H134" s="22" t="s">
        <v>671</v>
      </c>
      <c r="I134" s="22" t="s">
        <v>331</v>
      </c>
      <c r="J134" s="22" t="s">
        <v>67</v>
      </c>
      <c r="K134" s="22" t="s">
        <v>813</v>
      </c>
      <c r="L134" s="24" t="s">
        <v>879</v>
      </c>
      <c r="M134" s="24" t="s">
        <v>694</v>
      </c>
      <c r="N134" s="25" t="s">
        <v>709</v>
      </c>
      <c r="O134" s="23" t="s">
        <v>320</v>
      </c>
      <c r="P134" s="22" t="s">
        <v>6</v>
      </c>
      <c r="Q134" s="22"/>
      <c r="R134" s="22"/>
      <c r="S134" s="22">
        <v>159</v>
      </c>
      <c r="T134" s="22">
        <v>135</v>
      </c>
      <c r="U134" s="22">
        <v>135</v>
      </c>
      <c r="V134" s="22">
        <v>2.4</v>
      </c>
      <c r="W134" s="22">
        <v>2</v>
      </c>
      <c r="X134" s="22" t="s">
        <v>80</v>
      </c>
      <c r="Y134" s="26">
        <v>43920</v>
      </c>
      <c r="Z134" s="26">
        <v>43924</v>
      </c>
      <c r="AA134" s="26">
        <v>43924</v>
      </c>
      <c r="AB134" s="26">
        <v>43924</v>
      </c>
      <c r="AC134" s="26" t="s">
        <v>201</v>
      </c>
      <c r="AD134" s="114"/>
      <c r="AE134" s="114"/>
      <c r="AF134" s="52">
        <v>1</v>
      </c>
      <c r="AG134" s="52">
        <v>0.97</v>
      </c>
      <c r="AH134" s="52">
        <v>0.75</v>
      </c>
      <c r="AI134" s="22" t="s">
        <v>736</v>
      </c>
      <c r="AJ134" s="22"/>
      <c r="AK134" s="22" t="s">
        <v>693</v>
      </c>
    </row>
    <row r="135" spans="2:37" x14ac:dyDescent="0.25">
      <c r="B135" s="45">
        <v>155</v>
      </c>
      <c r="C135" s="23">
        <v>20200401</v>
      </c>
      <c r="D135" s="22" t="s">
        <v>2</v>
      </c>
      <c r="E135" s="22" t="s">
        <v>724</v>
      </c>
      <c r="F135" s="24" t="s">
        <v>67</v>
      </c>
      <c r="G135" s="22" t="s">
        <v>673</v>
      </c>
      <c r="H135" s="22" t="s">
        <v>725</v>
      </c>
      <c r="I135" s="22" t="s">
        <v>331</v>
      </c>
      <c r="J135" s="22" t="s">
        <v>67</v>
      </c>
      <c r="K135" s="97" t="s">
        <v>160</v>
      </c>
      <c r="L135" s="24" t="s">
        <v>728</v>
      </c>
      <c r="M135" s="24" t="s">
        <v>734</v>
      </c>
      <c r="N135" s="25" t="s">
        <v>709</v>
      </c>
      <c r="O135" s="23" t="s">
        <v>199</v>
      </c>
      <c r="P135" s="22" t="s">
        <v>70</v>
      </c>
      <c r="Q135" s="22"/>
      <c r="R135" s="22"/>
      <c r="S135" s="22"/>
      <c r="T135" s="22">
        <v>39</v>
      </c>
      <c r="U135" s="22">
        <v>39</v>
      </c>
      <c r="V135" s="22">
        <v>2.4</v>
      </c>
      <c r="W135" s="22">
        <v>2.4</v>
      </c>
      <c r="X135" s="22" t="s">
        <v>80</v>
      </c>
      <c r="Y135" s="26">
        <v>43920</v>
      </c>
      <c r="Z135" s="26">
        <v>43924</v>
      </c>
      <c r="AA135" s="26">
        <v>43924</v>
      </c>
      <c r="AB135" s="26">
        <v>43924</v>
      </c>
      <c r="AC135" s="26" t="s">
        <v>201</v>
      </c>
      <c r="AD135" s="114"/>
      <c r="AE135" s="114"/>
      <c r="AF135" s="52">
        <v>1</v>
      </c>
      <c r="AG135" s="52">
        <v>1</v>
      </c>
      <c r="AH135" s="52" t="s">
        <v>216</v>
      </c>
      <c r="AI135" s="22"/>
      <c r="AJ135" s="22"/>
      <c r="AK135" s="22"/>
    </row>
    <row r="136" spans="2:37" x14ac:dyDescent="0.25">
      <c r="B136" s="45">
        <v>156</v>
      </c>
      <c r="C136" s="23">
        <v>20200401</v>
      </c>
      <c r="D136" s="22" t="s">
        <v>2</v>
      </c>
      <c r="E136" s="22" t="s">
        <v>724</v>
      </c>
      <c r="F136" s="24" t="s">
        <v>67</v>
      </c>
      <c r="G136" s="22" t="s">
        <v>730</v>
      </c>
      <c r="H136" s="22" t="s">
        <v>184</v>
      </c>
      <c r="I136" s="22" t="s">
        <v>331</v>
      </c>
      <c r="J136" s="22" t="s">
        <v>67</v>
      </c>
      <c r="K136" s="22" t="s">
        <v>160</v>
      </c>
      <c r="L136" s="24" t="s">
        <v>275</v>
      </c>
      <c r="M136" s="24" t="s">
        <v>734</v>
      </c>
      <c r="N136" s="25" t="s">
        <v>709</v>
      </c>
      <c r="O136" s="23" t="s">
        <v>199</v>
      </c>
      <c r="P136" s="22" t="s">
        <v>72</v>
      </c>
      <c r="Q136" s="22"/>
      <c r="R136" s="22"/>
      <c r="S136" s="22"/>
      <c r="T136" s="22">
        <v>39</v>
      </c>
      <c r="U136" s="22">
        <v>39</v>
      </c>
      <c r="V136" s="22">
        <v>2.4</v>
      </c>
      <c r="W136" s="22">
        <v>1</v>
      </c>
      <c r="X136" s="22" t="s">
        <v>80</v>
      </c>
      <c r="Y136" s="26">
        <v>43920</v>
      </c>
      <c r="Z136" s="26">
        <v>43924</v>
      </c>
      <c r="AA136" s="26">
        <v>43924</v>
      </c>
      <c r="AB136" s="26">
        <v>43924</v>
      </c>
      <c r="AC136" s="26" t="s">
        <v>201</v>
      </c>
      <c r="AD136" s="114"/>
      <c r="AE136" s="114"/>
      <c r="AF136" s="52">
        <v>1</v>
      </c>
      <c r="AG136" s="52">
        <v>1</v>
      </c>
      <c r="AH136" s="52">
        <v>1</v>
      </c>
      <c r="AI136" s="22"/>
      <c r="AJ136" s="22"/>
      <c r="AK136" s="22"/>
    </row>
    <row r="137" spans="2:37" x14ac:dyDescent="0.25">
      <c r="B137" s="45">
        <v>157</v>
      </c>
      <c r="C137" s="23">
        <v>20200401</v>
      </c>
      <c r="D137" s="22" t="s">
        <v>2</v>
      </c>
      <c r="E137" s="22" t="s">
        <v>724</v>
      </c>
      <c r="F137" s="24" t="s">
        <v>67</v>
      </c>
      <c r="G137" s="22" t="s">
        <v>731</v>
      </c>
      <c r="H137" s="22" t="s">
        <v>185</v>
      </c>
      <c r="I137" s="22" t="s">
        <v>331</v>
      </c>
      <c r="J137" s="22" t="s">
        <v>67</v>
      </c>
      <c r="K137" s="22" t="s">
        <v>160</v>
      </c>
      <c r="L137" s="24" t="s">
        <v>275</v>
      </c>
      <c r="M137" s="24" t="s">
        <v>734</v>
      </c>
      <c r="N137" s="25" t="s">
        <v>709</v>
      </c>
      <c r="O137" s="23" t="s">
        <v>199</v>
      </c>
      <c r="P137" s="22" t="s">
        <v>72</v>
      </c>
      <c r="Q137" s="22"/>
      <c r="R137" s="22"/>
      <c r="S137" s="22"/>
      <c r="T137" s="22">
        <v>39</v>
      </c>
      <c r="U137" s="22">
        <v>39</v>
      </c>
      <c r="V137" s="22">
        <v>2.4</v>
      </c>
      <c r="W137" s="22">
        <v>1</v>
      </c>
      <c r="X137" s="22" t="s">
        <v>80</v>
      </c>
      <c r="Y137" s="26">
        <v>43920</v>
      </c>
      <c r="Z137" s="26">
        <v>43924</v>
      </c>
      <c r="AA137" s="26">
        <v>43924</v>
      </c>
      <c r="AB137" s="26">
        <v>43924</v>
      </c>
      <c r="AC137" s="26" t="s">
        <v>201</v>
      </c>
      <c r="AD137" s="114"/>
      <c r="AE137" s="114"/>
      <c r="AF137" s="52">
        <v>1</v>
      </c>
      <c r="AG137" s="52">
        <v>1</v>
      </c>
      <c r="AH137" s="52">
        <v>1</v>
      </c>
      <c r="AI137" s="22"/>
      <c r="AJ137" s="22"/>
      <c r="AK137" s="22"/>
    </row>
    <row r="138" spans="2:37" x14ac:dyDescent="0.25">
      <c r="B138" s="45">
        <v>158</v>
      </c>
      <c r="C138" s="23">
        <v>20200401</v>
      </c>
      <c r="D138" s="22" t="s">
        <v>3</v>
      </c>
      <c r="E138" s="22" t="s">
        <v>724</v>
      </c>
      <c r="F138" s="24" t="s">
        <v>67</v>
      </c>
      <c r="G138" s="22" t="s">
        <v>732</v>
      </c>
      <c r="H138" s="22" t="s">
        <v>726</v>
      </c>
      <c r="I138" s="22" t="s">
        <v>331</v>
      </c>
      <c r="J138" s="22" t="s">
        <v>67</v>
      </c>
      <c r="K138" s="97" t="s">
        <v>816</v>
      </c>
      <c r="L138" s="24" t="s">
        <v>729</v>
      </c>
      <c r="M138" s="24" t="s">
        <v>734</v>
      </c>
      <c r="N138" s="25" t="s">
        <v>709</v>
      </c>
      <c r="O138" s="23" t="s">
        <v>199</v>
      </c>
      <c r="P138" s="22" t="s">
        <v>71</v>
      </c>
      <c r="Q138" s="22"/>
      <c r="R138" s="22"/>
      <c r="S138" s="22"/>
      <c r="T138" s="22">
        <v>67.5</v>
      </c>
      <c r="U138" s="22">
        <v>67.5</v>
      </c>
      <c r="V138" s="22">
        <v>1.2</v>
      </c>
      <c r="W138" s="22">
        <v>4</v>
      </c>
      <c r="X138" s="22" t="s">
        <v>80</v>
      </c>
      <c r="Y138" s="26">
        <v>43920</v>
      </c>
      <c r="Z138" s="26">
        <v>43924</v>
      </c>
      <c r="AA138" s="26">
        <v>43924</v>
      </c>
      <c r="AB138" s="26">
        <v>43924</v>
      </c>
      <c r="AC138" s="26" t="s">
        <v>201</v>
      </c>
      <c r="AD138" s="114"/>
      <c r="AE138" s="114"/>
      <c r="AF138" s="52">
        <v>1</v>
      </c>
      <c r="AG138" s="52">
        <v>1</v>
      </c>
      <c r="AH138" s="52">
        <v>1</v>
      </c>
      <c r="AI138" s="22"/>
      <c r="AJ138" s="22"/>
      <c r="AK138" s="22"/>
    </row>
    <row r="139" spans="2:37" x14ac:dyDescent="0.25">
      <c r="B139" s="45">
        <v>159</v>
      </c>
      <c r="C139" s="23">
        <v>20200401</v>
      </c>
      <c r="D139" s="22" t="s">
        <v>3</v>
      </c>
      <c r="E139" s="22" t="s">
        <v>724</v>
      </c>
      <c r="F139" s="24" t="s">
        <v>67</v>
      </c>
      <c r="G139" s="22" t="s">
        <v>733</v>
      </c>
      <c r="H139" s="22" t="s">
        <v>727</v>
      </c>
      <c r="I139" s="22" t="s">
        <v>331</v>
      </c>
      <c r="J139" s="22" t="s">
        <v>67</v>
      </c>
      <c r="K139" s="97" t="s">
        <v>816</v>
      </c>
      <c r="L139" s="24" t="s">
        <v>275</v>
      </c>
      <c r="M139" s="24" t="s">
        <v>734</v>
      </c>
      <c r="N139" s="25" t="s">
        <v>709</v>
      </c>
      <c r="O139" s="23" t="s">
        <v>199</v>
      </c>
      <c r="P139" s="22" t="s">
        <v>71</v>
      </c>
      <c r="Q139" s="22"/>
      <c r="R139" s="22"/>
      <c r="S139" s="22"/>
      <c r="T139" s="22">
        <v>67.5</v>
      </c>
      <c r="U139" s="22">
        <v>67.5</v>
      </c>
      <c r="V139" s="22">
        <v>1.2</v>
      </c>
      <c r="W139" s="22">
        <v>4</v>
      </c>
      <c r="X139" s="22" t="s">
        <v>80</v>
      </c>
      <c r="Y139" s="26">
        <v>43920</v>
      </c>
      <c r="Z139" s="26">
        <v>43924</v>
      </c>
      <c r="AA139" s="26">
        <v>43924</v>
      </c>
      <c r="AB139" s="26">
        <v>43924</v>
      </c>
      <c r="AC139" s="26" t="s">
        <v>201</v>
      </c>
      <c r="AD139" s="114"/>
      <c r="AE139" s="114"/>
      <c r="AF139" s="52">
        <v>1</v>
      </c>
      <c r="AG139" s="52">
        <v>1</v>
      </c>
      <c r="AH139" s="52">
        <v>1</v>
      </c>
      <c r="AI139" s="22"/>
      <c r="AJ139" s="22"/>
      <c r="AK139" s="22"/>
    </row>
    <row r="140" spans="2:37" x14ac:dyDescent="0.25">
      <c r="B140" s="92">
        <v>160</v>
      </c>
      <c r="C140" s="23">
        <v>20200403</v>
      </c>
      <c r="D140" s="22" t="s">
        <v>2</v>
      </c>
      <c r="E140" s="22" t="s">
        <v>750</v>
      </c>
      <c r="F140" s="24" t="s">
        <v>67</v>
      </c>
      <c r="G140" s="24" t="s">
        <v>67</v>
      </c>
      <c r="H140" s="22" t="s">
        <v>746</v>
      </c>
      <c r="I140" s="22" t="s">
        <v>332</v>
      </c>
      <c r="J140" s="22" t="s">
        <v>67</v>
      </c>
      <c r="K140" s="22" t="s">
        <v>814</v>
      </c>
      <c r="L140" s="24" t="s">
        <v>751</v>
      </c>
      <c r="M140" s="24" t="s">
        <v>752</v>
      </c>
      <c r="N140" s="25" t="s">
        <v>753</v>
      </c>
      <c r="O140" s="95" t="s">
        <v>67</v>
      </c>
      <c r="P140" s="22" t="s">
        <v>6</v>
      </c>
      <c r="Q140" s="22"/>
      <c r="R140" s="22"/>
      <c r="S140" s="22"/>
      <c r="T140" s="22">
        <v>32.5</v>
      </c>
      <c r="U140" s="22">
        <v>32.5</v>
      </c>
      <c r="V140" s="22">
        <v>2</v>
      </c>
      <c r="W140" s="22">
        <v>2</v>
      </c>
      <c r="X140" s="22" t="s">
        <v>80</v>
      </c>
      <c r="Y140" s="26">
        <v>43927</v>
      </c>
      <c r="Z140" s="26">
        <v>43927</v>
      </c>
      <c r="AA140" s="26">
        <v>43927</v>
      </c>
      <c r="AB140" s="26">
        <v>43927</v>
      </c>
      <c r="AC140" s="26" t="s">
        <v>201</v>
      </c>
      <c r="AD140" s="114"/>
      <c r="AE140" s="114"/>
      <c r="AF140" s="52">
        <v>0.95599999999999996</v>
      </c>
      <c r="AG140" s="52">
        <v>0.95599999999999996</v>
      </c>
      <c r="AH140" s="52">
        <v>1</v>
      </c>
      <c r="AI140" s="22" t="s">
        <v>810</v>
      </c>
      <c r="AJ140" s="22"/>
      <c r="AK140" s="22"/>
    </row>
    <row r="141" spans="2:37" x14ac:dyDescent="0.25">
      <c r="B141" s="92">
        <v>161</v>
      </c>
      <c r="C141" s="23">
        <v>20200403</v>
      </c>
      <c r="D141" s="22" t="s">
        <v>2</v>
      </c>
      <c r="E141" s="22" t="s">
        <v>750</v>
      </c>
      <c r="F141" s="24" t="s">
        <v>67</v>
      </c>
      <c r="G141" s="24" t="s">
        <v>67</v>
      </c>
      <c r="H141" s="22" t="s">
        <v>747</v>
      </c>
      <c r="I141" s="22" t="s">
        <v>332</v>
      </c>
      <c r="J141" s="22" t="s">
        <v>67</v>
      </c>
      <c r="K141" s="22" t="s">
        <v>814</v>
      </c>
      <c r="L141" s="24">
        <v>2.9</v>
      </c>
      <c r="M141" s="24" t="s">
        <v>752</v>
      </c>
      <c r="N141" s="25" t="s">
        <v>754</v>
      </c>
      <c r="O141" s="95" t="s">
        <v>67</v>
      </c>
      <c r="P141" s="22" t="s">
        <v>70</v>
      </c>
      <c r="Q141" s="22"/>
      <c r="R141" s="22"/>
      <c r="S141" s="22"/>
      <c r="T141" s="22">
        <v>32.5</v>
      </c>
      <c r="U141" s="22">
        <v>32.5</v>
      </c>
      <c r="V141" s="22">
        <v>2</v>
      </c>
      <c r="W141" s="22">
        <v>2</v>
      </c>
      <c r="X141" s="22" t="s">
        <v>80</v>
      </c>
      <c r="Y141" s="26">
        <v>43927</v>
      </c>
      <c r="Z141" s="26">
        <v>43927</v>
      </c>
      <c r="AA141" s="26">
        <v>43927</v>
      </c>
      <c r="AB141" s="26">
        <v>43927</v>
      </c>
      <c r="AC141" s="26" t="s">
        <v>201</v>
      </c>
      <c r="AD141" s="114"/>
      <c r="AE141" s="114"/>
      <c r="AF141" s="52">
        <v>1</v>
      </c>
      <c r="AG141" s="52">
        <v>1</v>
      </c>
      <c r="AH141" s="52">
        <v>1</v>
      </c>
      <c r="AI141" s="22"/>
      <c r="AJ141" s="22"/>
      <c r="AK141" s="22"/>
    </row>
    <row r="142" spans="2:37" x14ac:dyDescent="0.25">
      <c r="B142" s="92">
        <v>162</v>
      </c>
      <c r="C142" s="23">
        <v>20200403</v>
      </c>
      <c r="D142" s="22" t="s">
        <v>2</v>
      </c>
      <c r="E142" s="22" t="s">
        <v>750</v>
      </c>
      <c r="F142" s="24" t="s">
        <v>67</v>
      </c>
      <c r="G142" s="24" t="s">
        <v>67</v>
      </c>
      <c r="H142" s="22" t="s">
        <v>748</v>
      </c>
      <c r="I142" s="22" t="s">
        <v>332</v>
      </c>
      <c r="J142" s="22" t="s">
        <v>67</v>
      </c>
      <c r="K142" s="22" t="s">
        <v>814</v>
      </c>
      <c r="L142" s="24">
        <v>1.9</v>
      </c>
      <c r="M142" s="24" t="s">
        <v>752</v>
      </c>
      <c r="N142" s="25" t="s">
        <v>755</v>
      </c>
      <c r="O142" s="95" t="s">
        <v>67</v>
      </c>
      <c r="P142" s="22" t="s">
        <v>72</v>
      </c>
      <c r="Q142" s="22"/>
      <c r="R142" s="22"/>
      <c r="S142" s="22"/>
      <c r="T142" s="22">
        <v>48.75</v>
      </c>
      <c r="U142" s="22">
        <v>48.75</v>
      </c>
      <c r="V142" s="22">
        <v>3</v>
      </c>
      <c r="W142" s="22">
        <v>3</v>
      </c>
      <c r="X142" s="22" t="s">
        <v>80</v>
      </c>
      <c r="Y142" s="26">
        <v>43927</v>
      </c>
      <c r="Z142" s="26">
        <v>43927</v>
      </c>
      <c r="AA142" s="26">
        <v>43927</v>
      </c>
      <c r="AB142" s="26">
        <v>43927</v>
      </c>
      <c r="AC142" s="26" t="s">
        <v>201</v>
      </c>
      <c r="AD142" s="114"/>
      <c r="AE142" s="114"/>
      <c r="AF142" s="52">
        <v>1</v>
      </c>
      <c r="AG142" s="52">
        <v>1</v>
      </c>
      <c r="AH142" s="52">
        <v>1</v>
      </c>
      <c r="AI142" s="22"/>
      <c r="AJ142" s="22"/>
      <c r="AK142" s="22"/>
    </row>
    <row r="143" spans="2:37" x14ac:dyDescent="0.25">
      <c r="B143" s="92">
        <v>163</v>
      </c>
      <c r="C143" s="23">
        <v>20200403</v>
      </c>
      <c r="D143" s="22" t="s">
        <v>2</v>
      </c>
      <c r="E143" s="22" t="s">
        <v>750</v>
      </c>
      <c r="F143" s="24" t="s">
        <v>67</v>
      </c>
      <c r="G143" s="24" t="s">
        <v>67</v>
      </c>
      <c r="H143" s="22" t="s">
        <v>749</v>
      </c>
      <c r="I143" s="22" t="s">
        <v>331</v>
      </c>
      <c r="J143" s="22" t="s">
        <v>67</v>
      </c>
      <c r="K143" s="22" t="s">
        <v>814</v>
      </c>
      <c r="L143" s="24">
        <v>1.3</v>
      </c>
      <c r="M143" s="24" t="s">
        <v>752</v>
      </c>
      <c r="N143" s="25" t="s">
        <v>756</v>
      </c>
      <c r="O143" s="95" t="s">
        <v>67</v>
      </c>
      <c r="P143" s="22" t="s">
        <v>71</v>
      </c>
      <c r="Q143" s="22"/>
      <c r="R143" s="22"/>
      <c r="S143" s="22"/>
      <c r="T143" s="22">
        <v>32.5</v>
      </c>
      <c r="U143" s="22">
        <v>32.5</v>
      </c>
      <c r="V143" s="22">
        <v>2</v>
      </c>
      <c r="W143" s="22">
        <v>2</v>
      </c>
      <c r="X143" s="22" t="s">
        <v>80</v>
      </c>
      <c r="Y143" s="26">
        <v>43927</v>
      </c>
      <c r="Z143" s="26">
        <v>43927</v>
      </c>
      <c r="AA143" s="26">
        <v>43927</v>
      </c>
      <c r="AB143" s="26">
        <v>43927</v>
      </c>
      <c r="AC143" s="26" t="s">
        <v>201</v>
      </c>
      <c r="AD143" s="114"/>
      <c r="AE143" s="114"/>
      <c r="AF143" s="52"/>
      <c r="AG143" s="52"/>
      <c r="AH143" s="52"/>
      <c r="AI143" s="22"/>
      <c r="AJ143" s="22"/>
      <c r="AK143" s="22"/>
    </row>
    <row r="144" spans="2:37" x14ac:dyDescent="0.25">
      <c r="B144" s="93">
        <v>164</v>
      </c>
      <c r="C144" s="23">
        <v>20200407</v>
      </c>
      <c r="D144" s="22" t="s">
        <v>2</v>
      </c>
      <c r="E144" s="22" t="s">
        <v>765</v>
      </c>
      <c r="F144" s="24" t="s">
        <v>67</v>
      </c>
      <c r="G144" s="24" t="s">
        <v>67</v>
      </c>
      <c r="H144" s="22" t="s">
        <v>757</v>
      </c>
      <c r="I144" s="22" t="s">
        <v>331</v>
      </c>
      <c r="J144" s="22" t="s">
        <v>67</v>
      </c>
      <c r="K144" s="22" t="s">
        <v>815</v>
      </c>
      <c r="L144" s="24">
        <v>1.5</v>
      </c>
      <c r="M144" s="24" t="s">
        <v>766</v>
      </c>
      <c r="N144" s="25" t="s">
        <v>767</v>
      </c>
      <c r="O144" s="95" t="s">
        <v>67</v>
      </c>
      <c r="P144" s="22" t="s">
        <v>6</v>
      </c>
      <c r="Q144" s="22"/>
      <c r="R144" s="22"/>
      <c r="S144" s="22"/>
      <c r="T144" s="22">
        <v>24.375</v>
      </c>
      <c r="U144" s="22">
        <v>24.375</v>
      </c>
      <c r="V144" s="22">
        <v>1.5</v>
      </c>
      <c r="W144" s="22">
        <v>1.5</v>
      </c>
      <c r="X144" s="22" t="s">
        <v>80</v>
      </c>
      <c r="Y144" s="26">
        <v>43928</v>
      </c>
      <c r="Z144" s="26">
        <v>43928</v>
      </c>
      <c r="AA144" s="26">
        <v>43928</v>
      </c>
      <c r="AB144" s="26">
        <v>43928</v>
      </c>
      <c r="AC144" s="26" t="s">
        <v>201</v>
      </c>
      <c r="AD144" s="114"/>
      <c r="AE144" s="114"/>
      <c r="AF144" s="52">
        <v>0.86699999999999999</v>
      </c>
      <c r="AG144" s="52">
        <v>0.86699999999999999</v>
      </c>
      <c r="AH144" s="52" t="s">
        <v>216</v>
      </c>
      <c r="AI144" s="22" t="s">
        <v>811</v>
      </c>
      <c r="AJ144" s="22"/>
      <c r="AK144" s="22"/>
    </row>
    <row r="145" spans="2:37" x14ac:dyDescent="0.25">
      <c r="B145" s="93">
        <v>165</v>
      </c>
      <c r="C145" s="23">
        <v>20200407</v>
      </c>
      <c r="D145" s="22" t="s">
        <v>2</v>
      </c>
      <c r="E145" s="22" t="s">
        <v>765</v>
      </c>
      <c r="F145" s="24" t="s">
        <v>67</v>
      </c>
      <c r="G145" s="24" t="s">
        <v>67</v>
      </c>
      <c r="H145" s="22" t="s">
        <v>758</v>
      </c>
      <c r="I145" s="22" t="s">
        <v>331</v>
      </c>
      <c r="J145" s="22" t="s">
        <v>67</v>
      </c>
      <c r="K145" s="22" t="s">
        <v>815</v>
      </c>
      <c r="L145" s="24">
        <v>1.8</v>
      </c>
      <c r="M145" s="24" t="s">
        <v>766</v>
      </c>
      <c r="N145" s="25" t="s">
        <v>768</v>
      </c>
      <c r="O145" s="95" t="s">
        <v>67</v>
      </c>
      <c r="P145" s="22" t="s">
        <v>6</v>
      </c>
      <c r="Q145" s="22"/>
      <c r="R145" s="22"/>
      <c r="S145" s="22"/>
      <c r="T145" s="22">
        <v>24.375</v>
      </c>
      <c r="U145" s="22">
        <v>24.375</v>
      </c>
      <c r="V145" s="22">
        <v>1.5</v>
      </c>
      <c r="W145" s="22">
        <v>1.5</v>
      </c>
      <c r="X145" s="22" t="s">
        <v>80</v>
      </c>
      <c r="Y145" s="26">
        <v>43928</v>
      </c>
      <c r="Z145" s="26">
        <v>43928</v>
      </c>
      <c r="AA145" s="26">
        <v>43928</v>
      </c>
      <c r="AB145" s="26">
        <v>43928</v>
      </c>
      <c r="AC145" s="26" t="s">
        <v>201</v>
      </c>
      <c r="AD145" s="114"/>
      <c r="AE145" s="114"/>
      <c r="AF145" s="52">
        <v>0.89500000000000002</v>
      </c>
      <c r="AG145" s="52">
        <v>0.89500000000000002</v>
      </c>
      <c r="AH145" s="52" t="s">
        <v>216</v>
      </c>
      <c r="AI145" s="22" t="s">
        <v>811</v>
      </c>
      <c r="AJ145" s="22"/>
      <c r="AK145" s="22"/>
    </row>
    <row r="146" spans="2:37" x14ac:dyDescent="0.25">
      <c r="B146" s="93">
        <v>166</v>
      </c>
      <c r="C146" s="23">
        <v>20200407</v>
      </c>
      <c r="D146" s="22" t="s">
        <v>2</v>
      </c>
      <c r="E146" s="22" t="s">
        <v>765</v>
      </c>
      <c r="F146" s="24" t="s">
        <v>67</v>
      </c>
      <c r="G146" s="24" t="s">
        <v>67</v>
      </c>
      <c r="H146" s="22" t="s">
        <v>759</v>
      </c>
      <c r="I146" s="22" t="s">
        <v>331</v>
      </c>
      <c r="J146" s="22" t="s">
        <v>67</v>
      </c>
      <c r="K146" s="22" t="s">
        <v>815</v>
      </c>
      <c r="L146" s="24">
        <v>1.8</v>
      </c>
      <c r="M146" s="24" t="s">
        <v>766</v>
      </c>
      <c r="N146" s="25" t="s">
        <v>769</v>
      </c>
      <c r="O146" s="95" t="s">
        <v>67</v>
      </c>
      <c r="P146" s="22" t="s">
        <v>70</v>
      </c>
      <c r="Q146" s="22"/>
      <c r="R146" s="22"/>
      <c r="S146" s="22"/>
      <c r="T146" s="22">
        <v>24.375</v>
      </c>
      <c r="U146" s="22">
        <v>24.375</v>
      </c>
      <c r="V146" s="22">
        <v>1.5</v>
      </c>
      <c r="W146" s="22">
        <v>1.5</v>
      </c>
      <c r="X146" s="22" t="s">
        <v>80</v>
      </c>
      <c r="Y146" s="26">
        <v>43928</v>
      </c>
      <c r="Z146" s="26">
        <v>43928</v>
      </c>
      <c r="AA146" s="26">
        <v>43928</v>
      </c>
      <c r="AB146" s="26">
        <v>43928</v>
      </c>
      <c r="AC146" s="26" t="s">
        <v>201</v>
      </c>
      <c r="AD146" s="114"/>
      <c r="AE146" s="114"/>
      <c r="AF146" s="52">
        <v>1</v>
      </c>
      <c r="AG146" s="52">
        <v>1</v>
      </c>
      <c r="AH146" s="52" t="s">
        <v>216</v>
      </c>
      <c r="AI146" s="22"/>
      <c r="AJ146" s="22"/>
      <c r="AK146" s="22"/>
    </row>
    <row r="147" spans="2:37" x14ac:dyDescent="0.25">
      <c r="B147" s="93">
        <v>167</v>
      </c>
      <c r="C147" s="23">
        <v>20200407</v>
      </c>
      <c r="D147" s="22" t="s">
        <v>2</v>
      </c>
      <c r="E147" s="22" t="s">
        <v>765</v>
      </c>
      <c r="F147" s="24" t="s">
        <v>67</v>
      </c>
      <c r="G147" s="24" t="s">
        <v>67</v>
      </c>
      <c r="H147" s="22" t="s">
        <v>760</v>
      </c>
      <c r="I147" s="22" t="s">
        <v>331</v>
      </c>
      <c r="J147" s="22" t="s">
        <v>67</v>
      </c>
      <c r="K147" s="22" t="s">
        <v>815</v>
      </c>
      <c r="L147" s="24">
        <v>1.8</v>
      </c>
      <c r="M147" s="24" t="s">
        <v>766</v>
      </c>
      <c r="N147" s="25" t="s">
        <v>770</v>
      </c>
      <c r="O147" s="95" t="s">
        <v>67</v>
      </c>
      <c r="P147" s="22" t="s">
        <v>70</v>
      </c>
      <c r="Q147" s="22"/>
      <c r="R147" s="22"/>
      <c r="S147" s="22"/>
      <c r="T147" s="22">
        <v>24.375</v>
      </c>
      <c r="U147" s="22">
        <v>24.375</v>
      </c>
      <c r="V147" s="22">
        <v>1.5</v>
      </c>
      <c r="W147" s="22">
        <v>1.5</v>
      </c>
      <c r="X147" s="22" t="s">
        <v>80</v>
      </c>
      <c r="Y147" s="26">
        <v>43928</v>
      </c>
      <c r="Z147" s="26">
        <v>43928</v>
      </c>
      <c r="AA147" s="26">
        <v>43928</v>
      </c>
      <c r="AB147" s="26">
        <v>43928</v>
      </c>
      <c r="AC147" s="26" t="s">
        <v>201</v>
      </c>
      <c r="AD147" s="114"/>
      <c r="AE147" s="114"/>
      <c r="AF147" s="52">
        <v>1</v>
      </c>
      <c r="AG147" s="52">
        <v>1</v>
      </c>
      <c r="AH147" s="52" t="s">
        <v>216</v>
      </c>
      <c r="AI147" s="22"/>
      <c r="AJ147" s="22"/>
      <c r="AK147" s="22"/>
    </row>
    <row r="148" spans="2:37" x14ac:dyDescent="0.25">
      <c r="B148" s="93">
        <v>168</v>
      </c>
      <c r="C148" s="23">
        <v>20200407</v>
      </c>
      <c r="D148" s="22" t="s">
        <v>2</v>
      </c>
      <c r="E148" s="22" t="s">
        <v>765</v>
      </c>
      <c r="F148" s="24" t="s">
        <v>67</v>
      </c>
      <c r="G148" s="24" t="s">
        <v>67</v>
      </c>
      <c r="H148" s="22" t="s">
        <v>761</v>
      </c>
      <c r="I148" s="22" t="s">
        <v>331</v>
      </c>
      <c r="J148" s="22" t="s">
        <v>67</v>
      </c>
      <c r="K148" s="22" t="s">
        <v>815</v>
      </c>
      <c r="L148" s="24">
        <v>1.1299999999999999</v>
      </c>
      <c r="M148" s="24" t="s">
        <v>766</v>
      </c>
      <c r="N148" s="25" t="s">
        <v>771</v>
      </c>
      <c r="O148" s="95" t="s">
        <v>67</v>
      </c>
      <c r="P148" s="22" t="s">
        <v>71</v>
      </c>
      <c r="Q148" s="22"/>
      <c r="R148" s="22"/>
      <c r="S148" s="22"/>
      <c r="T148" s="22">
        <v>24.375</v>
      </c>
      <c r="U148" s="22">
        <v>24.375</v>
      </c>
      <c r="V148" s="22">
        <v>1.5</v>
      </c>
      <c r="W148" s="22">
        <v>3</v>
      </c>
      <c r="X148" s="22" t="s">
        <v>80</v>
      </c>
      <c r="Y148" s="26">
        <v>43928</v>
      </c>
      <c r="Z148" s="26">
        <v>43928</v>
      </c>
      <c r="AA148" s="26">
        <v>43928</v>
      </c>
      <c r="AB148" s="26">
        <v>43928</v>
      </c>
      <c r="AC148" s="26" t="s">
        <v>201</v>
      </c>
      <c r="AD148" s="114"/>
      <c r="AE148" s="114"/>
      <c r="AF148" s="52"/>
      <c r="AG148" s="52"/>
      <c r="AH148" s="52"/>
      <c r="AI148" s="22"/>
      <c r="AJ148" s="22"/>
      <c r="AK148" s="22"/>
    </row>
    <row r="149" spans="2:37" x14ac:dyDescent="0.25">
      <c r="B149" s="93">
        <v>169</v>
      </c>
      <c r="C149" s="23">
        <v>20200407</v>
      </c>
      <c r="D149" s="22" t="s">
        <v>2</v>
      </c>
      <c r="E149" s="22" t="s">
        <v>765</v>
      </c>
      <c r="F149" s="24" t="s">
        <v>67</v>
      </c>
      <c r="G149" s="24" t="s">
        <v>67</v>
      </c>
      <c r="H149" s="22" t="s">
        <v>762</v>
      </c>
      <c r="I149" s="22" t="s">
        <v>331</v>
      </c>
      <c r="J149" s="22" t="s">
        <v>67</v>
      </c>
      <c r="K149" s="22" t="s">
        <v>815</v>
      </c>
      <c r="L149" s="24">
        <v>1.17</v>
      </c>
      <c r="M149" s="24" t="s">
        <v>766</v>
      </c>
      <c r="N149" s="25" t="s">
        <v>772</v>
      </c>
      <c r="O149" s="95" t="s">
        <v>67</v>
      </c>
      <c r="P149" s="22" t="s">
        <v>71</v>
      </c>
      <c r="Q149" s="22"/>
      <c r="R149" s="22"/>
      <c r="S149" s="22"/>
      <c r="T149" s="22">
        <v>24.375</v>
      </c>
      <c r="U149" s="22">
        <v>24.375</v>
      </c>
      <c r="V149" s="22">
        <v>1.5</v>
      </c>
      <c r="W149" s="22">
        <v>3</v>
      </c>
      <c r="X149" s="22" t="s">
        <v>80</v>
      </c>
      <c r="Y149" s="26">
        <v>43928</v>
      </c>
      <c r="Z149" s="26">
        <v>43928</v>
      </c>
      <c r="AA149" s="26">
        <v>43928</v>
      </c>
      <c r="AB149" s="26">
        <v>43928</v>
      </c>
      <c r="AC149" s="26" t="s">
        <v>201</v>
      </c>
      <c r="AD149" s="114"/>
      <c r="AE149" s="114"/>
      <c r="AF149" s="52"/>
      <c r="AG149" s="52"/>
      <c r="AH149" s="52"/>
      <c r="AI149" s="22"/>
      <c r="AJ149" s="22"/>
      <c r="AK149" s="22"/>
    </row>
    <row r="150" spans="2:37" x14ac:dyDescent="0.25">
      <c r="B150" s="93">
        <v>170</v>
      </c>
      <c r="C150" s="23">
        <v>20200407</v>
      </c>
      <c r="D150" s="22" t="s">
        <v>2</v>
      </c>
      <c r="E150" s="22" t="s">
        <v>765</v>
      </c>
      <c r="F150" s="24" t="s">
        <v>67</v>
      </c>
      <c r="G150" s="24" t="s">
        <v>67</v>
      </c>
      <c r="H150" s="22" t="s">
        <v>763</v>
      </c>
      <c r="I150" s="22" t="s">
        <v>331</v>
      </c>
      <c r="J150" s="22" t="s">
        <v>67</v>
      </c>
      <c r="K150" s="22" t="s">
        <v>815</v>
      </c>
      <c r="L150" s="24">
        <v>1.8</v>
      </c>
      <c r="M150" s="24" t="s">
        <v>766</v>
      </c>
      <c r="N150" s="25" t="s">
        <v>773</v>
      </c>
      <c r="O150" s="95" t="s">
        <v>67</v>
      </c>
      <c r="P150" s="22" t="s">
        <v>72</v>
      </c>
      <c r="Q150" s="22"/>
      <c r="R150" s="22"/>
      <c r="S150" s="22"/>
      <c r="T150" s="22">
        <v>24.375</v>
      </c>
      <c r="U150" s="22">
        <v>24.375</v>
      </c>
      <c r="V150" s="22">
        <v>1.5</v>
      </c>
      <c r="W150" s="22">
        <v>2</v>
      </c>
      <c r="X150" s="22" t="s">
        <v>80</v>
      </c>
      <c r="Y150" s="26">
        <v>43928</v>
      </c>
      <c r="Z150" s="26">
        <v>43928</v>
      </c>
      <c r="AA150" s="26">
        <v>43928</v>
      </c>
      <c r="AB150" s="26">
        <v>43931</v>
      </c>
      <c r="AC150" s="26" t="s">
        <v>201</v>
      </c>
      <c r="AD150" s="114"/>
      <c r="AE150" s="114"/>
      <c r="AF150" s="52">
        <v>1</v>
      </c>
      <c r="AG150" s="52">
        <v>1</v>
      </c>
      <c r="AH150" s="52">
        <v>1</v>
      </c>
      <c r="AI150" s="22"/>
      <c r="AJ150" s="22"/>
      <c r="AK150" s="22"/>
    </row>
    <row r="151" spans="2:37" x14ac:dyDescent="0.25">
      <c r="B151" s="93">
        <v>171</v>
      </c>
      <c r="C151" s="23">
        <v>20200407</v>
      </c>
      <c r="D151" s="22" t="s">
        <v>2</v>
      </c>
      <c r="E151" s="22" t="s">
        <v>765</v>
      </c>
      <c r="F151" s="24" t="s">
        <v>67</v>
      </c>
      <c r="G151" s="24" t="s">
        <v>67</v>
      </c>
      <c r="H151" s="22" t="s">
        <v>764</v>
      </c>
      <c r="I151" s="22" t="s">
        <v>331</v>
      </c>
      <c r="J151" s="22" t="s">
        <v>67</v>
      </c>
      <c r="K151" s="22" t="s">
        <v>815</v>
      </c>
      <c r="L151" s="24">
        <v>1.4</v>
      </c>
      <c r="M151" s="24" t="s">
        <v>766</v>
      </c>
      <c r="N151" s="25" t="s">
        <v>774</v>
      </c>
      <c r="O151" s="95" t="s">
        <v>67</v>
      </c>
      <c r="P151" s="22" t="s">
        <v>72</v>
      </c>
      <c r="Q151" s="22"/>
      <c r="R151" s="22"/>
      <c r="S151" s="22"/>
      <c r="T151" s="22">
        <v>24.375</v>
      </c>
      <c r="U151" s="22">
        <v>24.375</v>
      </c>
      <c r="V151" s="22">
        <v>1.5</v>
      </c>
      <c r="W151" s="22">
        <v>2</v>
      </c>
      <c r="X151" s="22" t="s">
        <v>80</v>
      </c>
      <c r="Y151" s="26">
        <v>43928</v>
      </c>
      <c r="Z151" s="26">
        <v>43928</v>
      </c>
      <c r="AA151" s="26">
        <v>43928</v>
      </c>
      <c r="AB151" s="26">
        <v>43931</v>
      </c>
      <c r="AC151" s="26" t="s">
        <v>201</v>
      </c>
      <c r="AD151" s="114"/>
      <c r="AE151" s="114"/>
      <c r="AF151" s="52">
        <v>1</v>
      </c>
      <c r="AG151" s="52">
        <v>1</v>
      </c>
      <c r="AH151" s="52">
        <v>1</v>
      </c>
      <c r="AI151" s="22"/>
      <c r="AJ151" s="22"/>
      <c r="AK151" s="22"/>
    </row>
    <row r="152" spans="2:37" x14ac:dyDescent="0.25">
      <c r="B152" s="96">
        <v>172</v>
      </c>
      <c r="C152" s="23">
        <v>20200407</v>
      </c>
      <c r="D152" s="22" t="s">
        <v>2</v>
      </c>
      <c r="E152" s="22" t="s">
        <v>809</v>
      </c>
      <c r="F152" s="24" t="s">
        <v>67</v>
      </c>
      <c r="G152" s="22" t="s">
        <v>677</v>
      </c>
      <c r="H152" s="22" t="s">
        <v>775</v>
      </c>
      <c r="I152" s="22" t="s">
        <v>331</v>
      </c>
      <c r="J152" s="22" t="s">
        <v>67</v>
      </c>
      <c r="K152" s="97" t="s">
        <v>818</v>
      </c>
      <c r="L152" s="24" t="s">
        <v>790</v>
      </c>
      <c r="M152" s="24" t="s">
        <v>793</v>
      </c>
      <c r="N152" s="25" t="s">
        <v>794</v>
      </c>
      <c r="O152" s="23" t="s">
        <v>199</v>
      </c>
      <c r="P152" s="22" t="s">
        <v>6</v>
      </c>
      <c r="Q152" s="22"/>
      <c r="R152" s="22"/>
      <c r="S152" s="22">
        <v>162</v>
      </c>
      <c r="T152" s="22">
        <v>111.8</v>
      </c>
      <c r="U152" s="22">
        <v>111.8</v>
      </c>
      <c r="V152" s="22">
        <v>6.88</v>
      </c>
      <c r="W152" s="22">
        <v>6</v>
      </c>
      <c r="X152" s="22" t="s">
        <v>80</v>
      </c>
      <c r="Y152" s="26">
        <v>43929</v>
      </c>
      <c r="Z152" s="26">
        <v>43930</v>
      </c>
      <c r="AA152" s="26">
        <v>43929</v>
      </c>
      <c r="AB152" s="26">
        <v>43929</v>
      </c>
      <c r="AC152" s="26" t="s">
        <v>201</v>
      </c>
      <c r="AD152" s="114"/>
      <c r="AE152" s="114"/>
      <c r="AF152" s="52">
        <v>0.95699999999999996</v>
      </c>
      <c r="AG152" s="52">
        <v>0.96199999999999997</v>
      </c>
      <c r="AH152" s="52">
        <v>0.96199999999999997</v>
      </c>
      <c r="AI152" s="22" t="s">
        <v>819</v>
      </c>
      <c r="AJ152" s="22"/>
      <c r="AK152" s="22"/>
    </row>
    <row r="153" spans="2:37" x14ac:dyDescent="0.25">
      <c r="B153" s="96">
        <v>173</v>
      </c>
      <c r="C153" s="23">
        <v>20200407</v>
      </c>
      <c r="D153" s="22" t="s">
        <v>3</v>
      </c>
      <c r="E153" s="22" t="s">
        <v>809</v>
      </c>
      <c r="F153" s="24" t="s">
        <v>67</v>
      </c>
      <c r="G153" s="22" t="s">
        <v>673</v>
      </c>
      <c r="H153" s="22" t="s">
        <v>776</v>
      </c>
      <c r="I153" s="22" t="s">
        <v>332</v>
      </c>
      <c r="J153" s="22" t="s">
        <v>67</v>
      </c>
      <c r="K153" s="97" t="s">
        <v>817</v>
      </c>
      <c r="L153" s="24" t="s">
        <v>880</v>
      </c>
      <c r="M153" s="24" t="s">
        <v>793</v>
      </c>
      <c r="N153" s="25" t="s">
        <v>795</v>
      </c>
      <c r="O153" s="23" t="s">
        <v>199</v>
      </c>
      <c r="P153" s="22" t="s">
        <v>6</v>
      </c>
      <c r="Q153" s="22"/>
      <c r="R153" s="22"/>
      <c r="S153" s="22">
        <v>129</v>
      </c>
      <c r="T153" s="22">
        <v>67.5</v>
      </c>
      <c r="U153" s="22">
        <v>67.5</v>
      </c>
      <c r="V153" s="22">
        <v>1.2</v>
      </c>
      <c r="W153" s="22">
        <v>1</v>
      </c>
      <c r="X153" s="22" t="s">
        <v>80</v>
      </c>
      <c r="Y153" s="26">
        <v>43929</v>
      </c>
      <c r="Z153" s="26">
        <v>43930</v>
      </c>
      <c r="AA153" s="26">
        <v>43930</v>
      </c>
      <c r="AB153" s="26">
        <v>43930</v>
      </c>
      <c r="AC153" s="26" t="s">
        <v>201</v>
      </c>
      <c r="AD153" s="114"/>
      <c r="AE153" s="114"/>
      <c r="AF153" s="52">
        <v>1</v>
      </c>
      <c r="AG153" s="52">
        <v>1</v>
      </c>
      <c r="AH153" s="52" t="s">
        <v>216</v>
      </c>
      <c r="AI153" s="22"/>
      <c r="AJ153" s="22"/>
      <c r="AK153" s="22"/>
    </row>
    <row r="154" spans="2:37" x14ac:dyDescent="0.25">
      <c r="B154" s="96">
        <v>174</v>
      </c>
      <c r="C154" s="23">
        <v>20200407</v>
      </c>
      <c r="D154" s="22" t="s">
        <v>3</v>
      </c>
      <c r="E154" s="22" t="s">
        <v>809</v>
      </c>
      <c r="F154" s="24" t="s">
        <v>67</v>
      </c>
      <c r="G154" s="22" t="s">
        <v>730</v>
      </c>
      <c r="H154" s="22" t="s">
        <v>777</v>
      </c>
      <c r="I154" s="22" t="s">
        <v>332</v>
      </c>
      <c r="J154" s="22" t="s">
        <v>67</v>
      </c>
      <c r="K154" s="22" t="s">
        <v>817</v>
      </c>
      <c r="L154" s="24" t="s">
        <v>881</v>
      </c>
      <c r="M154" s="24" t="s">
        <v>793</v>
      </c>
      <c r="N154" s="25" t="s">
        <v>796</v>
      </c>
      <c r="O154" s="23" t="s">
        <v>198</v>
      </c>
      <c r="P154" s="22" t="s">
        <v>70</v>
      </c>
      <c r="Q154" s="22"/>
      <c r="R154" s="22"/>
      <c r="S154" s="22">
        <v>75</v>
      </c>
      <c r="T154" s="22">
        <v>67.5</v>
      </c>
      <c r="U154" s="22">
        <v>67.5</v>
      </c>
      <c r="V154" s="22">
        <v>1.2</v>
      </c>
      <c r="W154" s="22">
        <v>1</v>
      </c>
      <c r="X154" s="22" t="s">
        <v>80</v>
      </c>
      <c r="Y154" s="26">
        <v>43929</v>
      </c>
      <c r="Z154" s="26">
        <v>43930</v>
      </c>
      <c r="AA154" s="26">
        <v>43929</v>
      </c>
      <c r="AB154" s="26">
        <v>43929</v>
      </c>
      <c r="AC154" s="26" t="s">
        <v>201</v>
      </c>
      <c r="AD154" s="114"/>
      <c r="AE154" s="114"/>
      <c r="AF154" s="52">
        <v>1</v>
      </c>
      <c r="AG154" s="52">
        <v>1</v>
      </c>
      <c r="AH154" s="52">
        <v>1</v>
      </c>
      <c r="AI154" s="22"/>
      <c r="AJ154" s="22"/>
      <c r="AK154" s="22"/>
    </row>
    <row r="155" spans="2:37" x14ac:dyDescent="0.25">
      <c r="B155" s="96">
        <v>175</v>
      </c>
      <c r="C155" s="23">
        <v>20200407</v>
      </c>
      <c r="D155" s="22" t="s">
        <v>3</v>
      </c>
      <c r="E155" s="22" t="s">
        <v>809</v>
      </c>
      <c r="F155" s="24" t="s">
        <v>67</v>
      </c>
      <c r="G155" s="22" t="s">
        <v>731</v>
      </c>
      <c r="H155" s="22" t="s">
        <v>778</v>
      </c>
      <c r="I155" s="22" t="s">
        <v>332</v>
      </c>
      <c r="J155" s="22" t="s">
        <v>67</v>
      </c>
      <c r="K155" s="22" t="s">
        <v>817</v>
      </c>
      <c r="L155" s="24" t="s">
        <v>882</v>
      </c>
      <c r="M155" s="24" t="s">
        <v>793</v>
      </c>
      <c r="N155" s="25" t="s">
        <v>797</v>
      </c>
      <c r="O155" s="23" t="s">
        <v>198</v>
      </c>
      <c r="P155" s="22" t="s">
        <v>70</v>
      </c>
      <c r="Q155" s="22"/>
      <c r="R155" s="22"/>
      <c r="S155" s="22">
        <v>357</v>
      </c>
      <c r="T155" s="22">
        <v>90</v>
      </c>
      <c r="U155" s="22">
        <v>90</v>
      </c>
      <c r="V155" s="22">
        <v>1.6</v>
      </c>
      <c r="W155" s="22">
        <v>1</v>
      </c>
      <c r="X155" s="22" t="s">
        <v>80</v>
      </c>
      <c r="Y155" s="26">
        <v>43929</v>
      </c>
      <c r="Z155" s="26">
        <v>43930</v>
      </c>
      <c r="AA155" s="26">
        <v>43929</v>
      </c>
      <c r="AB155" s="26">
        <v>43929</v>
      </c>
      <c r="AC155" s="26" t="s">
        <v>201</v>
      </c>
      <c r="AD155" s="114"/>
      <c r="AE155" s="114"/>
      <c r="AF155" s="52">
        <v>1</v>
      </c>
      <c r="AG155" s="52">
        <v>1</v>
      </c>
      <c r="AH155" s="52">
        <v>0.33</v>
      </c>
      <c r="AI155" s="102"/>
      <c r="AJ155" s="22"/>
      <c r="AK155" s="22"/>
    </row>
    <row r="156" spans="2:37" x14ac:dyDescent="0.25">
      <c r="B156" s="96">
        <v>176</v>
      </c>
      <c r="C156" s="23">
        <v>20200407</v>
      </c>
      <c r="D156" s="22" t="s">
        <v>3</v>
      </c>
      <c r="E156" s="22" t="s">
        <v>809</v>
      </c>
      <c r="F156" s="24" t="s">
        <v>67</v>
      </c>
      <c r="G156" s="22" t="s">
        <v>791</v>
      </c>
      <c r="H156" s="22" t="s">
        <v>779</v>
      </c>
      <c r="I156" s="22" t="s">
        <v>332</v>
      </c>
      <c r="J156" s="22" t="s">
        <v>67</v>
      </c>
      <c r="K156" s="22" t="s">
        <v>817</v>
      </c>
      <c r="L156" s="24" t="s">
        <v>883</v>
      </c>
      <c r="M156" s="24" t="s">
        <v>793</v>
      </c>
      <c r="N156" s="25" t="s">
        <v>798</v>
      </c>
      <c r="O156" s="23" t="s">
        <v>198</v>
      </c>
      <c r="P156" s="22" t="s">
        <v>70</v>
      </c>
      <c r="Q156" s="22"/>
      <c r="R156" s="22"/>
      <c r="S156" s="22">
        <v>312</v>
      </c>
      <c r="T156" s="22">
        <v>225</v>
      </c>
      <c r="U156" s="22">
        <v>225</v>
      </c>
      <c r="V156" s="22">
        <v>4</v>
      </c>
      <c r="W156" s="22">
        <v>4</v>
      </c>
      <c r="X156" s="22" t="s">
        <v>80</v>
      </c>
      <c r="Y156" s="26">
        <v>43929</v>
      </c>
      <c r="Z156" s="26">
        <v>43930</v>
      </c>
      <c r="AA156" s="26">
        <v>43929</v>
      </c>
      <c r="AB156" s="26">
        <v>43929</v>
      </c>
      <c r="AC156" s="26" t="s">
        <v>201</v>
      </c>
      <c r="AD156" s="114"/>
      <c r="AE156" s="114"/>
      <c r="AF156" s="52">
        <v>1</v>
      </c>
      <c r="AG156" s="52">
        <v>1</v>
      </c>
      <c r="AH156" s="52">
        <v>1</v>
      </c>
      <c r="AI156" s="22"/>
      <c r="AJ156" s="22"/>
      <c r="AK156" s="22"/>
    </row>
    <row r="157" spans="2:37" x14ac:dyDescent="0.25">
      <c r="B157" s="96">
        <v>177</v>
      </c>
      <c r="C157" s="23">
        <v>20200407</v>
      </c>
      <c r="D157" s="22" t="s">
        <v>3</v>
      </c>
      <c r="E157" s="22" t="s">
        <v>809</v>
      </c>
      <c r="F157" s="24" t="s">
        <v>67</v>
      </c>
      <c r="G157" s="22" t="s">
        <v>792</v>
      </c>
      <c r="H157" s="22" t="s">
        <v>780</v>
      </c>
      <c r="I157" s="22" t="s">
        <v>332</v>
      </c>
      <c r="J157" s="22" t="s">
        <v>67</v>
      </c>
      <c r="K157" s="22" t="s">
        <v>817</v>
      </c>
      <c r="L157" s="24" t="s">
        <v>884</v>
      </c>
      <c r="M157" s="24" t="s">
        <v>793</v>
      </c>
      <c r="N157" s="25" t="s">
        <v>799</v>
      </c>
      <c r="O157" s="23" t="s">
        <v>198</v>
      </c>
      <c r="P157" s="22" t="s">
        <v>70</v>
      </c>
      <c r="Q157" s="22"/>
      <c r="R157" s="22"/>
      <c r="S157" s="22">
        <v>8</v>
      </c>
      <c r="T157" s="22">
        <v>6.75</v>
      </c>
      <c r="U157" s="22">
        <v>6.75</v>
      </c>
      <c r="V157" s="22">
        <v>0.12</v>
      </c>
      <c r="W157" s="22">
        <v>1</v>
      </c>
      <c r="X157" s="22" t="s">
        <v>80</v>
      </c>
      <c r="Y157" s="26">
        <v>43929</v>
      </c>
      <c r="Z157" s="26">
        <v>43930</v>
      </c>
      <c r="AA157" s="26">
        <v>43929</v>
      </c>
      <c r="AB157" s="26">
        <v>43929</v>
      </c>
      <c r="AC157" s="26" t="s">
        <v>201</v>
      </c>
      <c r="AD157" s="114"/>
      <c r="AE157" s="114"/>
      <c r="AF157" s="52">
        <v>1</v>
      </c>
      <c r="AG157" s="52">
        <v>1</v>
      </c>
      <c r="AH157" s="52">
        <v>1</v>
      </c>
      <c r="AI157" s="22"/>
      <c r="AJ157" s="22"/>
      <c r="AK157" s="22"/>
    </row>
    <row r="158" spans="2:37" x14ac:dyDescent="0.25">
      <c r="B158" s="96">
        <v>178</v>
      </c>
      <c r="C158" s="23">
        <v>20200407</v>
      </c>
      <c r="D158" s="22" t="s">
        <v>3</v>
      </c>
      <c r="E158" s="22" t="s">
        <v>809</v>
      </c>
      <c r="F158" s="24" t="s">
        <v>67</v>
      </c>
      <c r="G158" s="22" t="s">
        <v>291</v>
      </c>
      <c r="H158" s="22" t="s">
        <v>781</v>
      </c>
      <c r="I158" s="22" t="s">
        <v>332</v>
      </c>
      <c r="J158" s="22" t="s">
        <v>67</v>
      </c>
      <c r="K158" s="22" t="s">
        <v>817</v>
      </c>
      <c r="L158" s="24" t="s">
        <v>885</v>
      </c>
      <c r="M158" s="24" t="s">
        <v>793</v>
      </c>
      <c r="N158" s="25" t="s">
        <v>800</v>
      </c>
      <c r="O158" s="23" t="s">
        <v>198</v>
      </c>
      <c r="P158" s="22" t="s">
        <v>70</v>
      </c>
      <c r="Q158" s="22"/>
      <c r="R158" s="22"/>
      <c r="S158" s="22">
        <v>38</v>
      </c>
      <c r="T158" s="22">
        <v>72</v>
      </c>
      <c r="U158" s="22">
        <v>72</v>
      </c>
      <c r="V158" s="22">
        <v>1.2800000000000002</v>
      </c>
      <c r="W158" s="22">
        <v>1</v>
      </c>
      <c r="X158" s="22" t="s">
        <v>80</v>
      </c>
      <c r="Y158" s="26">
        <v>43929</v>
      </c>
      <c r="Z158" s="26">
        <v>43930</v>
      </c>
      <c r="AA158" s="26">
        <v>43929</v>
      </c>
      <c r="AB158" s="26">
        <v>43929</v>
      </c>
      <c r="AC158" s="26" t="s">
        <v>201</v>
      </c>
      <c r="AD158" s="114"/>
      <c r="AE158" s="114"/>
      <c r="AF158" s="52">
        <v>1</v>
      </c>
      <c r="AG158" s="52">
        <v>1</v>
      </c>
      <c r="AH158" s="52">
        <v>0.5</v>
      </c>
      <c r="AI158" s="22"/>
      <c r="AJ158" s="22"/>
      <c r="AK158" s="22"/>
    </row>
    <row r="159" spans="2:37" x14ac:dyDescent="0.25">
      <c r="B159" s="96">
        <v>179</v>
      </c>
      <c r="C159" s="23">
        <v>20200407</v>
      </c>
      <c r="D159" s="22" t="s">
        <v>3</v>
      </c>
      <c r="E159" s="22" t="s">
        <v>809</v>
      </c>
      <c r="F159" s="24" t="s">
        <v>67</v>
      </c>
      <c r="G159" s="22" t="s">
        <v>674</v>
      </c>
      <c r="H159" s="22" t="s">
        <v>782</v>
      </c>
      <c r="I159" s="22" t="s">
        <v>332</v>
      </c>
      <c r="J159" s="22" t="s">
        <v>67</v>
      </c>
      <c r="K159" s="22" t="s">
        <v>817</v>
      </c>
      <c r="L159" s="24" t="s">
        <v>886</v>
      </c>
      <c r="M159" s="24" t="s">
        <v>793</v>
      </c>
      <c r="N159" s="25" t="s">
        <v>801</v>
      </c>
      <c r="O159" s="23" t="s">
        <v>200</v>
      </c>
      <c r="P159" s="22" t="s">
        <v>72</v>
      </c>
      <c r="Q159" s="22"/>
      <c r="R159" s="22"/>
      <c r="S159" s="22">
        <v>26</v>
      </c>
      <c r="T159" s="22">
        <v>72</v>
      </c>
      <c r="U159" s="22">
        <v>72</v>
      </c>
      <c r="V159" s="22">
        <v>1.2800000000000002</v>
      </c>
      <c r="W159" s="22">
        <v>2</v>
      </c>
      <c r="X159" s="22" t="s">
        <v>80</v>
      </c>
      <c r="Y159" s="26">
        <v>43929</v>
      </c>
      <c r="Z159" s="26">
        <v>43930</v>
      </c>
      <c r="AA159" s="26">
        <v>43931</v>
      </c>
      <c r="AB159" s="26">
        <v>43931</v>
      </c>
      <c r="AC159" s="26" t="s">
        <v>201</v>
      </c>
      <c r="AD159" s="114"/>
      <c r="AE159" s="114"/>
      <c r="AF159" s="52">
        <v>1</v>
      </c>
      <c r="AG159" s="52">
        <v>1</v>
      </c>
      <c r="AH159" s="52">
        <v>1</v>
      </c>
      <c r="AI159" s="22"/>
      <c r="AJ159" s="22"/>
      <c r="AK159" s="22"/>
    </row>
    <row r="160" spans="2:37" x14ac:dyDescent="0.25">
      <c r="B160" s="96">
        <v>180</v>
      </c>
      <c r="C160" s="23">
        <v>20200407</v>
      </c>
      <c r="D160" s="22" t="s">
        <v>3</v>
      </c>
      <c r="E160" s="22" t="s">
        <v>809</v>
      </c>
      <c r="F160" s="24" t="s">
        <v>67</v>
      </c>
      <c r="G160" s="22" t="s">
        <v>675</v>
      </c>
      <c r="H160" s="22" t="s">
        <v>783</v>
      </c>
      <c r="I160" s="22" t="s">
        <v>332</v>
      </c>
      <c r="J160" s="22" t="s">
        <v>67</v>
      </c>
      <c r="K160" s="22" t="s">
        <v>817</v>
      </c>
      <c r="L160" s="24" t="s">
        <v>887</v>
      </c>
      <c r="M160" s="24" t="s">
        <v>793</v>
      </c>
      <c r="N160" s="25" t="s">
        <v>802</v>
      </c>
      <c r="O160" s="23" t="s">
        <v>200</v>
      </c>
      <c r="P160" s="22" t="s">
        <v>72</v>
      </c>
      <c r="Q160" s="22"/>
      <c r="R160" s="22"/>
      <c r="S160" s="22">
        <v>127</v>
      </c>
      <c r="T160" s="22">
        <v>144</v>
      </c>
      <c r="U160" s="22">
        <v>144</v>
      </c>
      <c r="V160" s="22">
        <v>2.5600000000000005</v>
      </c>
      <c r="W160" s="22">
        <v>3</v>
      </c>
      <c r="X160" s="22" t="s">
        <v>80</v>
      </c>
      <c r="Y160" s="26">
        <v>43929</v>
      </c>
      <c r="Z160" s="26">
        <v>43930</v>
      </c>
      <c r="AA160" s="26">
        <v>43931</v>
      </c>
      <c r="AB160" s="26">
        <v>43931</v>
      </c>
      <c r="AC160" s="26" t="s">
        <v>201</v>
      </c>
      <c r="AD160" s="114"/>
      <c r="AE160" s="114"/>
      <c r="AF160" s="52">
        <v>1</v>
      </c>
      <c r="AG160" s="52">
        <v>1</v>
      </c>
      <c r="AH160" s="52">
        <v>1</v>
      </c>
      <c r="AI160" s="22"/>
      <c r="AJ160" s="22"/>
      <c r="AK160" s="22"/>
    </row>
    <row r="161" spans="2:37" x14ac:dyDescent="0.25">
      <c r="B161" s="96">
        <v>181</v>
      </c>
      <c r="C161" s="23">
        <v>20200407</v>
      </c>
      <c r="D161" s="22" t="s">
        <v>3</v>
      </c>
      <c r="E161" s="22" t="s">
        <v>809</v>
      </c>
      <c r="F161" s="24" t="s">
        <v>67</v>
      </c>
      <c r="G161" s="22" t="s">
        <v>121</v>
      </c>
      <c r="H161" s="22" t="s">
        <v>784</v>
      </c>
      <c r="I161" s="22" t="s">
        <v>332</v>
      </c>
      <c r="J161" s="22" t="s">
        <v>67</v>
      </c>
      <c r="K161" s="22" t="s">
        <v>817</v>
      </c>
      <c r="L161" s="24" t="s">
        <v>888</v>
      </c>
      <c r="M161" s="24" t="s">
        <v>793</v>
      </c>
      <c r="N161" s="25" t="s">
        <v>803</v>
      </c>
      <c r="O161" s="23" t="s">
        <v>200</v>
      </c>
      <c r="P161" s="22" t="s">
        <v>72</v>
      </c>
      <c r="Q161" s="22"/>
      <c r="R161" s="22"/>
      <c r="S161" s="22">
        <v>200</v>
      </c>
      <c r="T161" s="22">
        <v>180</v>
      </c>
      <c r="U161" s="22">
        <v>180</v>
      </c>
      <c r="V161" s="22">
        <v>3.2</v>
      </c>
      <c r="W161" s="22">
        <v>3</v>
      </c>
      <c r="X161" s="22" t="s">
        <v>80</v>
      </c>
      <c r="Y161" s="26">
        <v>43929</v>
      </c>
      <c r="Z161" s="26">
        <v>43930</v>
      </c>
      <c r="AA161" s="26">
        <v>43931</v>
      </c>
      <c r="AB161" s="26">
        <v>43931</v>
      </c>
      <c r="AC161" s="26" t="s">
        <v>201</v>
      </c>
      <c r="AD161" s="114"/>
      <c r="AE161" s="114"/>
      <c r="AF161" s="52">
        <v>1</v>
      </c>
      <c r="AG161" s="52">
        <v>1</v>
      </c>
      <c r="AH161" s="52">
        <v>1</v>
      </c>
      <c r="AI161" s="22"/>
      <c r="AJ161" s="22"/>
      <c r="AK161" s="22"/>
    </row>
    <row r="162" spans="2:37" x14ac:dyDescent="0.25">
      <c r="B162" s="96">
        <v>182</v>
      </c>
      <c r="C162" s="23">
        <v>20200407</v>
      </c>
      <c r="D162" s="22" t="s">
        <v>3</v>
      </c>
      <c r="E162" s="22" t="s">
        <v>809</v>
      </c>
      <c r="F162" s="24" t="s">
        <v>67</v>
      </c>
      <c r="G162" s="22" t="s">
        <v>122</v>
      </c>
      <c r="H162" s="22" t="s">
        <v>785</v>
      </c>
      <c r="I162" s="22" t="s">
        <v>332</v>
      </c>
      <c r="J162" s="22" t="s">
        <v>67</v>
      </c>
      <c r="K162" s="22" t="s">
        <v>817</v>
      </c>
      <c r="L162" s="24" t="s">
        <v>889</v>
      </c>
      <c r="M162" s="24" t="s">
        <v>793</v>
      </c>
      <c r="N162" s="25" t="s">
        <v>804</v>
      </c>
      <c r="O162" s="23" t="s">
        <v>200</v>
      </c>
      <c r="P162" s="22" t="s">
        <v>72</v>
      </c>
      <c r="Q162" s="22"/>
      <c r="R162" s="22"/>
      <c r="S162" s="22">
        <v>56</v>
      </c>
      <c r="T162" s="22">
        <v>72</v>
      </c>
      <c r="U162" s="22">
        <v>72</v>
      </c>
      <c r="V162" s="22">
        <v>1.2800000000000002</v>
      </c>
      <c r="W162" s="22">
        <v>2</v>
      </c>
      <c r="X162" s="22" t="s">
        <v>80</v>
      </c>
      <c r="Y162" s="26">
        <v>43929</v>
      </c>
      <c r="Z162" s="26">
        <v>43930</v>
      </c>
      <c r="AA162" s="26">
        <v>43931</v>
      </c>
      <c r="AB162" s="26">
        <v>43931</v>
      </c>
      <c r="AC162" s="26" t="s">
        <v>201</v>
      </c>
      <c r="AD162" s="114"/>
      <c r="AE162" s="114"/>
      <c r="AF162" s="52">
        <v>1</v>
      </c>
      <c r="AG162" s="52">
        <v>1</v>
      </c>
      <c r="AH162" s="52">
        <v>1</v>
      </c>
      <c r="AI162" s="22"/>
      <c r="AJ162" s="22"/>
      <c r="AK162" s="22"/>
    </row>
    <row r="163" spans="2:37" x14ac:dyDescent="0.25">
      <c r="B163" s="96">
        <v>183</v>
      </c>
      <c r="C163" s="23">
        <v>20200407</v>
      </c>
      <c r="D163" s="22" t="s">
        <v>3</v>
      </c>
      <c r="E163" s="22" t="s">
        <v>809</v>
      </c>
      <c r="F163" s="24" t="s">
        <v>67</v>
      </c>
      <c r="G163" s="22" t="s">
        <v>123</v>
      </c>
      <c r="H163" s="22" t="s">
        <v>786</v>
      </c>
      <c r="I163" s="22" t="s">
        <v>332</v>
      </c>
      <c r="J163" s="22" t="s">
        <v>67</v>
      </c>
      <c r="K163" s="22" t="s">
        <v>817</v>
      </c>
      <c r="L163" s="24" t="s">
        <v>890</v>
      </c>
      <c r="M163" s="24" t="s">
        <v>793</v>
      </c>
      <c r="N163" s="25" t="s">
        <v>805</v>
      </c>
      <c r="O163" s="23" t="s">
        <v>651</v>
      </c>
      <c r="P163" s="22" t="s">
        <v>6</v>
      </c>
      <c r="Q163" s="22"/>
      <c r="R163" s="22"/>
      <c r="S163" s="22">
        <v>213</v>
      </c>
      <c r="T163" s="22">
        <v>180</v>
      </c>
      <c r="U163" s="22">
        <v>180</v>
      </c>
      <c r="V163" s="22">
        <v>3.2</v>
      </c>
      <c r="W163" s="22">
        <v>3</v>
      </c>
      <c r="X163" s="22" t="s">
        <v>80</v>
      </c>
      <c r="Y163" s="26">
        <v>43929</v>
      </c>
      <c r="Z163" s="26">
        <v>43930</v>
      </c>
      <c r="AA163" s="26">
        <v>43931</v>
      </c>
      <c r="AB163" s="26">
        <v>43931</v>
      </c>
      <c r="AC163" s="26" t="s">
        <v>201</v>
      </c>
      <c r="AD163" s="114"/>
      <c r="AE163" s="114"/>
      <c r="AF163" s="52">
        <v>0.97</v>
      </c>
      <c r="AG163" s="52">
        <v>0.95</v>
      </c>
      <c r="AH163" s="52">
        <v>0.5</v>
      </c>
      <c r="AI163" s="22" t="s">
        <v>846</v>
      </c>
      <c r="AJ163" s="22"/>
      <c r="AK163" s="22"/>
    </row>
    <row r="164" spans="2:37" x14ac:dyDescent="0.25">
      <c r="B164" s="96">
        <v>184</v>
      </c>
      <c r="C164" s="23">
        <v>20200407</v>
      </c>
      <c r="D164" s="22" t="s">
        <v>3</v>
      </c>
      <c r="E164" s="22" t="s">
        <v>809</v>
      </c>
      <c r="F164" s="24" t="s">
        <v>67</v>
      </c>
      <c r="G164" s="22" t="s">
        <v>676</v>
      </c>
      <c r="H164" s="22" t="s">
        <v>787</v>
      </c>
      <c r="I164" s="22" t="s">
        <v>332</v>
      </c>
      <c r="J164" s="22" t="s">
        <v>67</v>
      </c>
      <c r="K164" s="22" t="s">
        <v>817</v>
      </c>
      <c r="L164" s="24" t="s">
        <v>891</v>
      </c>
      <c r="M164" s="24" t="s">
        <v>793</v>
      </c>
      <c r="N164" s="25" t="s">
        <v>806</v>
      </c>
      <c r="O164" s="23" t="s">
        <v>651</v>
      </c>
      <c r="P164" s="22" t="s">
        <v>6</v>
      </c>
      <c r="Q164" s="22"/>
      <c r="R164" s="22"/>
      <c r="S164" s="22">
        <v>138</v>
      </c>
      <c r="T164" s="22">
        <v>144</v>
      </c>
      <c r="U164" s="22">
        <v>144</v>
      </c>
      <c r="V164" s="22">
        <v>2.56</v>
      </c>
      <c r="W164" s="22">
        <v>1</v>
      </c>
      <c r="X164" s="22" t="s">
        <v>80</v>
      </c>
      <c r="Y164" s="26">
        <v>43929</v>
      </c>
      <c r="Z164" s="26">
        <v>43930</v>
      </c>
      <c r="AA164" s="26">
        <v>43931</v>
      </c>
      <c r="AB164" s="26">
        <v>43931</v>
      </c>
      <c r="AC164" s="26" t="s">
        <v>201</v>
      </c>
      <c r="AD164" s="114"/>
      <c r="AE164" s="114"/>
      <c r="AF164" s="52">
        <v>1</v>
      </c>
      <c r="AG164" s="52">
        <v>1</v>
      </c>
      <c r="AH164" s="52">
        <v>0.5</v>
      </c>
      <c r="AI164" s="22"/>
      <c r="AJ164" s="22"/>
      <c r="AK164" s="22"/>
    </row>
    <row r="165" spans="2:37" x14ac:dyDescent="0.25">
      <c r="B165" s="96">
        <v>185</v>
      </c>
      <c r="C165" s="23">
        <v>20200407</v>
      </c>
      <c r="D165" s="22" t="s">
        <v>3</v>
      </c>
      <c r="E165" s="22" t="s">
        <v>809</v>
      </c>
      <c r="F165" s="24" t="s">
        <v>67</v>
      </c>
      <c r="G165" s="22" t="s">
        <v>124</v>
      </c>
      <c r="H165" s="22" t="s">
        <v>788</v>
      </c>
      <c r="I165" s="22" t="s">
        <v>332</v>
      </c>
      <c r="J165" s="22" t="s">
        <v>67</v>
      </c>
      <c r="K165" s="22" t="s">
        <v>817</v>
      </c>
      <c r="L165" s="24" t="s">
        <v>892</v>
      </c>
      <c r="M165" s="24" t="s">
        <v>793</v>
      </c>
      <c r="N165" s="25" t="s">
        <v>807</v>
      </c>
      <c r="O165" s="23" t="s">
        <v>651</v>
      </c>
      <c r="P165" s="22" t="s">
        <v>71</v>
      </c>
      <c r="Q165" s="22"/>
      <c r="R165" s="22"/>
      <c r="S165" s="22">
        <v>430</v>
      </c>
      <c r="T165" s="22">
        <v>315</v>
      </c>
      <c r="U165" s="22">
        <v>315</v>
      </c>
      <c r="V165" s="22">
        <v>5.6</v>
      </c>
      <c r="W165" s="22">
        <v>8</v>
      </c>
      <c r="X165" s="22" t="s">
        <v>80</v>
      </c>
      <c r="Y165" s="26">
        <v>43929</v>
      </c>
      <c r="Z165" s="26">
        <v>43930</v>
      </c>
      <c r="AA165" s="26">
        <v>43931</v>
      </c>
      <c r="AB165" s="26">
        <v>43931</v>
      </c>
      <c r="AC165" s="26" t="s">
        <v>201</v>
      </c>
      <c r="AD165" s="114"/>
      <c r="AE165" s="114"/>
      <c r="AF165" s="52"/>
      <c r="AG165" s="52"/>
      <c r="AH165" s="52"/>
      <c r="AI165" s="22"/>
      <c r="AJ165" s="22"/>
      <c r="AK165" s="22"/>
    </row>
    <row r="166" spans="2:37" x14ac:dyDescent="0.25">
      <c r="B166" s="96">
        <v>186</v>
      </c>
      <c r="C166" s="23">
        <v>20200407</v>
      </c>
      <c r="D166" s="22" t="s">
        <v>3</v>
      </c>
      <c r="E166" s="22" t="s">
        <v>809</v>
      </c>
      <c r="F166" s="24" t="s">
        <v>67</v>
      </c>
      <c r="G166" s="22" t="s">
        <v>126</v>
      </c>
      <c r="H166" s="22" t="s">
        <v>789</v>
      </c>
      <c r="I166" s="22" t="s">
        <v>332</v>
      </c>
      <c r="J166" s="22" t="s">
        <v>67</v>
      </c>
      <c r="K166" s="22" t="s">
        <v>817</v>
      </c>
      <c r="L166" s="24" t="s">
        <v>893</v>
      </c>
      <c r="M166" s="24" t="s">
        <v>793</v>
      </c>
      <c r="N166" s="25" t="s">
        <v>808</v>
      </c>
      <c r="O166" s="23" t="s">
        <v>651</v>
      </c>
      <c r="P166" s="22" t="s">
        <v>71</v>
      </c>
      <c r="Q166" s="22"/>
      <c r="R166" s="22"/>
      <c r="S166" s="22">
        <v>56</v>
      </c>
      <c r="T166" s="22">
        <v>72</v>
      </c>
      <c r="U166" s="22">
        <v>72</v>
      </c>
      <c r="V166" s="22">
        <v>1.28</v>
      </c>
      <c r="W166" s="22">
        <v>8</v>
      </c>
      <c r="X166" s="22" t="s">
        <v>80</v>
      </c>
      <c r="Y166" s="26">
        <v>43929</v>
      </c>
      <c r="Z166" s="26">
        <v>43930</v>
      </c>
      <c r="AA166" s="26">
        <v>43931</v>
      </c>
      <c r="AB166" s="26">
        <v>43931</v>
      </c>
      <c r="AC166" s="26" t="s">
        <v>201</v>
      </c>
      <c r="AD166" s="114"/>
      <c r="AE166" s="114"/>
      <c r="AF166" s="52"/>
      <c r="AG166" s="52"/>
      <c r="AH166" s="52"/>
      <c r="AI166" s="22"/>
      <c r="AJ166" s="22"/>
      <c r="AK166" s="22"/>
    </row>
    <row r="167" spans="2:37" x14ac:dyDescent="0.25">
      <c r="B167" s="104">
        <v>187</v>
      </c>
      <c r="C167" s="23">
        <v>20200409</v>
      </c>
      <c r="D167" s="22" t="s">
        <v>2</v>
      </c>
      <c r="E167" s="22" t="s">
        <v>934</v>
      </c>
      <c r="F167" s="24" t="s">
        <v>67</v>
      </c>
      <c r="G167" s="24" t="s">
        <v>67</v>
      </c>
      <c r="H167" s="22" t="s">
        <v>825</v>
      </c>
      <c r="I167" s="22" t="s">
        <v>331</v>
      </c>
      <c r="J167" s="22" t="s">
        <v>67</v>
      </c>
      <c r="K167" s="22" t="s">
        <v>67</v>
      </c>
      <c r="L167" s="24">
        <v>1.3</v>
      </c>
      <c r="M167" s="24" t="s">
        <v>833</v>
      </c>
      <c r="N167" s="25" t="s">
        <v>834</v>
      </c>
      <c r="O167" s="95" t="s">
        <v>67</v>
      </c>
      <c r="P167" s="22" t="s">
        <v>6</v>
      </c>
      <c r="Q167" s="22"/>
      <c r="R167" s="22"/>
      <c r="S167" s="22"/>
      <c r="T167" s="22">
        <v>40.625</v>
      </c>
      <c r="U167" s="22">
        <v>40.625</v>
      </c>
      <c r="V167" s="22">
        <v>2.5</v>
      </c>
      <c r="W167" s="22"/>
      <c r="X167" s="22" t="s">
        <v>79</v>
      </c>
      <c r="Y167" s="26">
        <v>43931</v>
      </c>
      <c r="Z167" s="26">
        <v>43931</v>
      </c>
      <c r="AA167" s="26">
        <v>43931</v>
      </c>
      <c r="AB167" s="26">
        <v>43931</v>
      </c>
      <c r="AC167" s="26" t="s">
        <v>201</v>
      </c>
      <c r="AD167" s="114"/>
      <c r="AE167" s="114"/>
      <c r="AF167" s="52">
        <v>0.93300000000000005</v>
      </c>
      <c r="AG167" s="52">
        <v>0.93799999999999994</v>
      </c>
      <c r="AH167" s="52">
        <v>1</v>
      </c>
      <c r="AI167" s="22" t="s">
        <v>848</v>
      </c>
      <c r="AJ167" s="22"/>
      <c r="AK167" s="22"/>
    </row>
    <row r="168" spans="2:37" x14ac:dyDescent="0.25">
      <c r="B168" s="104">
        <v>188</v>
      </c>
      <c r="C168" s="23">
        <v>20200409</v>
      </c>
      <c r="D168" s="22" t="s">
        <v>2</v>
      </c>
      <c r="E168" s="22" t="s">
        <v>934</v>
      </c>
      <c r="F168" s="24" t="s">
        <v>67</v>
      </c>
      <c r="G168" s="24" t="s">
        <v>67</v>
      </c>
      <c r="H168" s="22" t="s">
        <v>826</v>
      </c>
      <c r="I168" s="22" t="s">
        <v>331</v>
      </c>
      <c r="J168" s="22" t="s">
        <v>67</v>
      </c>
      <c r="K168" s="22" t="s">
        <v>67</v>
      </c>
      <c r="L168" s="24">
        <v>1.5</v>
      </c>
      <c r="M168" s="24" t="s">
        <v>833</v>
      </c>
      <c r="N168" s="25" t="s">
        <v>835</v>
      </c>
      <c r="O168" s="95" t="s">
        <v>67</v>
      </c>
      <c r="P168" s="22" t="s">
        <v>70</v>
      </c>
      <c r="Q168" s="22"/>
      <c r="R168" s="22"/>
      <c r="S168" s="22"/>
      <c r="T168" s="22">
        <v>40.625</v>
      </c>
      <c r="U168" s="22">
        <v>40.625</v>
      </c>
      <c r="V168" s="22">
        <v>2.5</v>
      </c>
      <c r="W168" s="22">
        <v>2.5</v>
      </c>
      <c r="X168" s="22" t="s">
        <v>79</v>
      </c>
      <c r="Y168" s="26">
        <v>43931</v>
      </c>
      <c r="Z168" s="26">
        <v>43931</v>
      </c>
      <c r="AA168" s="26">
        <v>43931</v>
      </c>
      <c r="AB168" s="26">
        <v>43931</v>
      </c>
      <c r="AC168" s="26" t="s">
        <v>201</v>
      </c>
      <c r="AD168" s="114"/>
      <c r="AE168" s="114"/>
      <c r="AF168" s="52">
        <v>1</v>
      </c>
      <c r="AG168" s="52">
        <v>1</v>
      </c>
      <c r="AH168" s="52" t="s">
        <v>216</v>
      </c>
      <c r="AI168" s="22"/>
      <c r="AJ168" s="22"/>
      <c r="AK168" s="22"/>
    </row>
    <row r="169" spans="2:37" x14ac:dyDescent="0.25">
      <c r="B169" s="104">
        <v>189</v>
      </c>
      <c r="C169" s="23">
        <v>20200409</v>
      </c>
      <c r="D169" s="22" t="s">
        <v>2</v>
      </c>
      <c r="E169" s="22" t="s">
        <v>934</v>
      </c>
      <c r="F169" s="24" t="s">
        <v>67</v>
      </c>
      <c r="G169" s="24" t="s">
        <v>67</v>
      </c>
      <c r="H169" s="22" t="s">
        <v>827</v>
      </c>
      <c r="I169" s="22" t="s">
        <v>331</v>
      </c>
      <c r="J169" s="22" t="s">
        <v>67</v>
      </c>
      <c r="K169" s="22" t="s">
        <v>67</v>
      </c>
      <c r="L169" s="24">
        <v>1.4</v>
      </c>
      <c r="M169" s="24" t="s">
        <v>833</v>
      </c>
      <c r="N169" s="25" t="s">
        <v>836</v>
      </c>
      <c r="O169" s="95" t="s">
        <v>67</v>
      </c>
      <c r="P169" s="22" t="s">
        <v>71</v>
      </c>
      <c r="Q169" s="22"/>
      <c r="R169" s="22"/>
      <c r="S169" s="22"/>
      <c r="T169" s="22">
        <v>24.375</v>
      </c>
      <c r="U169" s="22">
        <v>24.375</v>
      </c>
      <c r="V169" s="22">
        <v>1.5</v>
      </c>
      <c r="W169" s="22">
        <v>1.5</v>
      </c>
      <c r="X169" s="22" t="s">
        <v>79</v>
      </c>
      <c r="Y169" s="26">
        <v>43931</v>
      </c>
      <c r="Z169" s="26">
        <v>43931</v>
      </c>
      <c r="AA169" s="26">
        <v>43931</v>
      </c>
      <c r="AB169" s="26">
        <v>43931</v>
      </c>
      <c r="AC169" s="26" t="s">
        <v>201</v>
      </c>
      <c r="AD169" s="114"/>
      <c r="AE169" s="114"/>
      <c r="AF169" s="52"/>
      <c r="AG169" s="52"/>
      <c r="AH169" s="52"/>
      <c r="AI169" s="22"/>
      <c r="AJ169" s="22"/>
      <c r="AK169" s="22"/>
    </row>
    <row r="170" spans="2:37" x14ac:dyDescent="0.25">
      <c r="B170" s="104">
        <v>190</v>
      </c>
      <c r="C170" s="23">
        <v>20200409</v>
      </c>
      <c r="D170" s="22" t="s">
        <v>2</v>
      </c>
      <c r="E170" s="22" t="s">
        <v>934</v>
      </c>
      <c r="F170" s="24" t="s">
        <v>67</v>
      </c>
      <c r="G170" s="24" t="s">
        <v>67</v>
      </c>
      <c r="H170" s="22" t="s">
        <v>828</v>
      </c>
      <c r="I170" s="22" t="s">
        <v>331</v>
      </c>
      <c r="J170" s="22" t="s">
        <v>67</v>
      </c>
      <c r="K170" s="22" t="s">
        <v>67</v>
      </c>
      <c r="L170" s="24">
        <v>1.3</v>
      </c>
      <c r="M170" s="24" t="s">
        <v>833</v>
      </c>
      <c r="N170" s="25" t="s">
        <v>837</v>
      </c>
      <c r="O170" s="95" t="s">
        <v>67</v>
      </c>
      <c r="P170" s="22" t="s">
        <v>71</v>
      </c>
      <c r="Q170" s="22"/>
      <c r="R170" s="22"/>
      <c r="S170" s="22"/>
      <c r="T170" s="22">
        <v>24.375</v>
      </c>
      <c r="U170" s="22">
        <v>24.375</v>
      </c>
      <c r="V170" s="22">
        <v>1.5</v>
      </c>
      <c r="W170" s="22">
        <v>1.5</v>
      </c>
      <c r="X170" s="22" t="s">
        <v>79</v>
      </c>
      <c r="Y170" s="26">
        <v>43931</v>
      </c>
      <c r="Z170" s="26">
        <v>43931</v>
      </c>
      <c r="AA170" s="26">
        <v>43931</v>
      </c>
      <c r="AB170" s="26">
        <v>43931</v>
      </c>
      <c r="AC170" s="26" t="s">
        <v>201</v>
      </c>
      <c r="AD170" s="114"/>
      <c r="AE170" s="114"/>
      <c r="AF170" s="52"/>
      <c r="AG170" s="52"/>
      <c r="AH170" s="52"/>
      <c r="AI170" s="22"/>
      <c r="AJ170" s="22"/>
      <c r="AK170" s="22"/>
    </row>
    <row r="171" spans="2:37" x14ac:dyDescent="0.25">
      <c r="B171" s="104">
        <v>191</v>
      </c>
      <c r="C171" s="23">
        <v>20200409</v>
      </c>
      <c r="D171" s="22" t="s">
        <v>2</v>
      </c>
      <c r="E171" s="22" t="s">
        <v>934</v>
      </c>
      <c r="F171" s="24" t="s">
        <v>67</v>
      </c>
      <c r="G171" s="24" t="s">
        <v>67</v>
      </c>
      <c r="H171" s="22" t="s">
        <v>829</v>
      </c>
      <c r="I171" s="22" t="s">
        <v>331</v>
      </c>
      <c r="J171" s="22" t="s">
        <v>67</v>
      </c>
      <c r="K171" s="22" t="s">
        <v>67</v>
      </c>
      <c r="L171" s="24">
        <v>1.2</v>
      </c>
      <c r="M171" s="24" t="s">
        <v>833</v>
      </c>
      <c r="N171" s="25" t="s">
        <v>838</v>
      </c>
      <c r="O171" s="95" t="s">
        <v>67</v>
      </c>
      <c r="P171" s="22" t="s">
        <v>72</v>
      </c>
      <c r="Q171" s="22"/>
      <c r="R171" s="22"/>
      <c r="S171" s="22"/>
      <c r="T171" s="22">
        <v>24.375</v>
      </c>
      <c r="U171" s="22">
        <v>24.375</v>
      </c>
      <c r="V171" s="22">
        <v>1.5</v>
      </c>
      <c r="W171" s="22">
        <v>2</v>
      </c>
      <c r="X171" s="22" t="s">
        <v>79</v>
      </c>
      <c r="Y171" s="26">
        <v>43931</v>
      </c>
      <c r="Z171" s="26">
        <v>43931</v>
      </c>
      <c r="AA171" s="26">
        <v>43931</v>
      </c>
      <c r="AB171" s="26">
        <v>43931</v>
      </c>
      <c r="AC171" s="26" t="s">
        <v>201</v>
      </c>
      <c r="AD171" s="114"/>
      <c r="AE171" s="114"/>
      <c r="AF171" s="52">
        <v>1</v>
      </c>
      <c r="AG171" s="52">
        <v>1</v>
      </c>
      <c r="AH171" s="52" t="s">
        <v>216</v>
      </c>
      <c r="AI171" s="22"/>
      <c r="AJ171" s="22"/>
      <c r="AK171" s="22"/>
    </row>
    <row r="172" spans="2:37" x14ac:dyDescent="0.25">
      <c r="B172" s="104">
        <v>192</v>
      </c>
      <c r="C172" s="23">
        <v>20200409</v>
      </c>
      <c r="D172" s="22" t="s">
        <v>2</v>
      </c>
      <c r="E172" s="22" t="s">
        <v>934</v>
      </c>
      <c r="F172" s="24" t="s">
        <v>67</v>
      </c>
      <c r="G172" s="24" t="s">
        <v>67</v>
      </c>
      <c r="H172" s="22" t="s">
        <v>830</v>
      </c>
      <c r="I172" s="22" t="s">
        <v>331</v>
      </c>
      <c r="J172" s="22" t="s">
        <v>67</v>
      </c>
      <c r="K172" s="22" t="s">
        <v>67</v>
      </c>
      <c r="L172" s="24">
        <v>1.4</v>
      </c>
      <c r="M172" s="24" t="s">
        <v>833</v>
      </c>
      <c r="N172" s="25" t="s">
        <v>839</v>
      </c>
      <c r="O172" s="95" t="s">
        <v>67</v>
      </c>
      <c r="P172" s="22" t="s">
        <v>72</v>
      </c>
      <c r="Q172" s="22"/>
      <c r="R172" s="22"/>
      <c r="S172" s="22"/>
      <c r="T172" s="22">
        <v>24.375</v>
      </c>
      <c r="U172" s="22">
        <v>24.375</v>
      </c>
      <c r="V172" s="22">
        <v>1.5</v>
      </c>
      <c r="W172" s="22">
        <v>2</v>
      </c>
      <c r="X172" s="22" t="s">
        <v>79</v>
      </c>
      <c r="Y172" s="26">
        <v>43931</v>
      </c>
      <c r="Z172" s="26">
        <v>43931</v>
      </c>
      <c r="AA172" s="26">
        <v>43931</v>
      </c>
      <c r="AB172" s="26">
        <v>43931</v>
      </c>
      <c r="AC172" s="26" t="s">
        <v>201</v>
      </c>
      <c r="AD172" s="114"/>
      <c r="AE172" s="114"/>
      <c r="AF172" s="52">
        <v>1</v>
      </c>
      <c r="AG172" s="52">
        <v>1</v>
      </c>
      <c r="AH172" s="52" t="s">
        <v>216</v>
      </c>
      <c r="AI172" s="22"/>
      <c r="AJ172" s="22"/>
      <c r="AK172" s="22"/>
    </row>
    <row r="173" spans="2:37" x14ac:dyDescent="0.25">
      <c r="B173" s="104">
        <v>193</v>
      </c>
      <c r="C173" s="23">
        <v>20200409</v>
      </c>
      <c r="D173" s="22" t="s">
        <v>2</v>
      </c>
      <c r="E173" s="22" t="s">
        <v>934</v>
      </c>
      <c r="F173" s="24" t="s">
        <v>67</v>
      </c>
      <c r="G173" s="24" t="s">
        <v>67</v>
      </c>
      <c r="H173" s="22" t="s">
        <v>831</v>
      </c>
      <c r="I173" s="22" t="s">
        <v>331</v>
      </c>
      <c r="J173" s="22" t="s">
        <v>67</v>
      </c>
      <c r="K173" s="22" t="s">
        <v>67</v>
      </c>
      <c r="L173" s="24">
        <v>1.1000000000000001</v>
      </c>
      <c r="M173" s="24" t="s">
        <v>833</v>
      </c>
      <c r="N173" s="25" t="s">
        <v>840</v>
      </c>
      <c r="O173" s="95" t="s">
        <v>67</v>
      </c>
      <c r="P173" s="22" t="s">
        <v>6</v>
      </c>
      <c r="Q173" s="22"/>
      <c r="R173" s="22"/>
      <c r="S173" s="22"/>
      <c r="T173" s="22">
        <v>24.375</v>
      </c>
      <c r="U173" s="22">
        <v>24.375</v>
      </c>
      <c r="V173" s="22">
        <v>1.5</v>
      </c>
      <c r="W173" s="22">
        <v>1</v>
      </c>
      <c r="X173" s="22" t="s">
        <v>79</v>
      </c>
      <c r="Y173" s="26">
        <v>43931</v>
      </c>
      <c r="Z173" s="26">
        <v>43931</v>
      </c>
      <c r="AA173" s="26">
        <v>43931</v>
      </c>
      <c r="AB173" s="26">
        <v>43931</v>
      </c>
      <c r="AC173" s="26" t="s">
        <v>201</v>
      </c>
      <c r="AD173" s="114"/>
      <c r="AE173" s="114"/>
      <c r="AF173" s="52">
        <v>1</v>
      </c>
      <c r="AG173" s="52">
        <v>1</v>
      </c>
      <c r="AH173" s="52" t="s">
        <v>216</v>
      </c>
      <c r="AI173" s="22"/>
      <c r="AJ173" s="22"/>
      <c r="AK173" s="22"/>
    </row>
    <row r="174" spans="2:37" x14ac:dyDescent="0.25">
      <c r="B174" s="104">
        <v>194</v>
      </c>
      <c r="C174" s="23">
        <v>20200409</v>
      </c>
      <c r="D174" s="22" t="s">
        <v>2</v>
      </c>
      <c r="E174" s="22" t="s">
        <v>934</v>
      </c>
      <c r="F174" s="24" t="s">
        <v>67</v>
      </c>
      <c r="G174" s="24" t="s">
        <v>67</v>
      </c>
      <c r="H174" s="22" t="s">
        <v>832</v>
      </c>
      <c r="I174" s="22" t="s">
        <v>331</v>
      </c>
      <c r="J174" s="22" t="s">
        <v>67</v>
      </c>
      <c r="K174" s="22" t="s">
        <v>67</v>
      </c>
      <c r="L174" s="24">
        <v>1.7</v>
      </c>
      <c r="M174" s="24" t="s">
        <v>833</v>
      </c>
      <c r="N174" s="25" t="s">
        <v>841</v>
      </c>
      <c r="O174" s="95" t="s">
        <v>67</v>
      </c>
      <c r="P174" s="22" t="s">
        <v>70</v>
      </c>
      <c r="Q174" s="22"/>
      <c r="R174" s="22"/>
      <c r="S174" s="22"/>
      <c r="T174" s="22">
        <v>24.375</v>
      </c>
      <c r="U174" s="22">
        <v>24.375</v>
      </c>
      <c r="V174" s="22">
        <v>1.5</v>
      </c>
      <c r="W174" s="22">
        <v>1.5</v>
      </c>
      <c r="X174" s="22" t="s">
        <v>79</v>
      </c>
      <c r="Y174" s="26">
        <v>43931</v>
      </c>
      <c r="Z174" s="26">
        <v>43931</v>
      </c>
      <c r="AA174" s="26">
        <v>43931</v>
      </c>
      <c r="AB174" s="26">
        <v>43931</v>
      </c>
      <c r="AC174" s="26" t="s">
        <v>201</v>
      </c>
      <c r="AD174" s="114"/>
      <c r="AE174" s="114"/>
      <c r="AF174" s="52">
        <v>1</v>
      </c>
      <c r="AG174" s="52">
        <v>1</v>
      </c>
      <c r="AH174" s="52" t="s">
        <v>216</v>
      </c>
      <c r="AI174" s="22"/>
      <c r="AJ174" s="22"/>
      <c r="AK174" s="22"/>
    </row>
    <row r="175" spans="2:37" x14ac:dyDescent="0.25">
      <c r="B175" s="105">
        <v>195</v>
      </c>
      <c r="C175" s="23">
        <v>20200409</v>
      </c>
      <c r="D175" s="22" t="s">
        <v>2</v>
      </c>
      <c r="E175" s="22" t="s">
        <v>842</v>
      </c>
      <c r="F175" s="24" t="s">
        <v>67</v>
      </c>
      <c r="G175" s="22" t="s">
        <v>673</v>
      </c>
      <c r="H175" s="22" t="s">
        <v>844</v>
      </c>
      <c r="I175" s="22" t="s">
        <v>331</v>
      </c>
      <c r="J175" s="22" t="s">
        <v>67</v>
      </c>
      <c r="K175" s="22" t="s">
        <v>67</v>
      </c>
      <c r="L175" s="24" t="s">
        <v>845</v>
      </c>
      <c r="M175" s="24" t="s">
        <v>843</v>
      </c>
      <c r="N175" s="25" t="s">
        <v>847</v>
      </c>
      <c r="O175" s="23" t="s">
        <v>199</v>
      </c>
      <c r="P175" s="22" t="s">
        <v>70</v>
      </c>
      <c r="Q175" s="22"/>
      <c r="R175" s="22"/>
      <c r="S175" s="22"/>
      <c r="T175" s="22">
        <v>52</v>
      </c>
      <c r="U175" s="22">
        <v>52</v>
      </c>
      <c r="V175" s="22">
        <v>3.2</v>
      </c>
      <c r="W175" s="22">
        <v>3.2</v>
      </c>
      <c r="X175" s="22" t="s">
        <v>79</v>
      </c>
      <c r="Y175" s="26">
        <v>43931</v>
      </c>
      <c r="Z175" s="26">
        <v>43931</v>
      </c>
      <c r="AA175" s="26">
        <v>43931</v>
      </c>
      <c r="AB175" s="26">
        <v>43931</v>
      </c>
      <c r="AC175" s="26" t="s">
        <v>201</v>
      </c>
      <c r="AD175" s="114"/>
      <c r="AE175" s="114"/>
      <c r="AF175" s="52">
        <v>1</v>
      </c>
      <c r="AG175" s="52">
        <v>1</v>
      </c>
      <c r="AH175" s="52">
        <v>1</v>
      </c>
      <c r="AI175" s="22"/>
      <c r="AJ175" s="22"/>
      <c r="AK175" s="22"/>
    </row>
    <row r="176" spans="2:37" x14ac:dyDescent="0.25">
      <c r="B176" s="115">
        <v>196</v>
      </c>
      <c r="C176" s="23">
        <v>20200409</v>
      </c>
      <c r="D176" s="22" t="s">
        <v>2</v>
      </c>
      <c r="E176" s="22" t="s">
        <v>857</v>
      </c>
      <c r="F176" s="24" t="s">
        <v>67</v>
      </c>
      <c r="G176" s="22" t="s">
        <v>730</v>
      </c>
      <c r="H176" s="22" t="s">
        <v>859</v>
      </c>
      <c r="I176" s="22" t="s">
        <v>331</v>
      </c>
      <c r="J176" s="22" t="s">
        <v>67</v>
      </c>
      <c r="K176" s="22" t="s">
        <v>67</v>
      </c>
      <c r="L176" s="24">
        <v>3.1</v>
      </c>
      <c r="M176" s="24" t="s">
        <v>858</v>
      </c>
      <c r="N176" s="25" t="s">
        <v>855</v>
      </c>
      <c r="O176" s="23" t="s">
        <v>320</v>
      </c>
      <c r="P176" s="22" t="s">
        <v>71</v>
      </c>
      <c r="Q176" s="22"/>
      <c r="R176" s="22"/>
      <c r="S176" s="22"/>
      <c r="T176" s="22">
        <v>78</v>
      </c>
      <c r="U176" s="22">
        <v>78</v>
      </c>
      <c r="V176" s="22">
        <v>4.8</v>
      </c>
      <c r="W176" s="22">
        <v>5</v>
      </c>
      <c r="X176" s="22" t="s">
        <v>79</v>
      </c>
      <c r="Y176" s="26">
        <v>43934</v>
      </c>
      <c r="Z176" s="26">
        <v>43934</v>
      </c>
      <c r="AA176" s="26">
        <v>43934</v>
      </c>
      <c r="AB176" s="26">
        <v>43934</v>
      </c>
      <c r="AC176" s="26" t="s">
        <v>201</v>
      </c>
      <c r="AD176" s="114"/>
      <c r="AE176" s="114"/>
      <c r="AF176" s="52">
        <v>1</v>
      </c>
      <c r="AG176" s="52">
        <v>1</v>
      </c>
      <c r="AH176" s="52">
        <v>1</v>
      </c>
      <c r="AI176" s="22"/>
      <c r="AJ176" s="22"/>
      <c r="AK176" s="22"/>
    </row>
    <row r="177" spans="2:37" x14ac:dyDescent="0.25">
      <c r="B177" s="115">
        <v>197</v>
      </c>
      <c r="C177" s="23">
        <v>20200409</v>
      </c>
      <c r="D177" s="22" t="s">
        <v>2</v>
      </c>
      <c r="E177" s="22" t="s">
        <v>857</v>
      </c>
      <c r="F177" s="24" t="s">
        <v>67</v>
      </c>
      <c r="G177" s="22" t="s">
        <v>731</v>
      </c>
      <c r="H177" s="22" t="s">
        <v>860</v>
      </c>
      <c r="I177" s="22" t="s">
        <v>854</v>
      </c>
      <c r="J177" s="22" t="s">
        <v>67</v>
      </c>
      <c r="K177" s="22" t="s">
        <v>67</v>
      </c>
      <c r="L177" s="24">
        <v>1.4</v>
      </c>
      <c r="M177" s="24" t="s">
        <v>858</v>
      </c>
      <c r="N177" s="25" t="s">
        <v>856</v>
      </c>
      <c r="O177" s="23" t="s">
        <v>321</v>
      </c>
      <c r="P177" s="22" t="s">
        <v>6</v>
      </c>
      <c r="Q177" s="22"/>
      <c r="R177" s="22"/>
      <c r="S177" s="22"/>
      <c r="T177" s="22">
        <v>91</v>
      </c>
      <c r="U177" s="22">
        <v>91</v>
      </c>
      <c r="V177" s="22">
        <v>5.6</v>
      </c>
      <c r="W177" s="22">
        <v>4</v>
      </c>
      <c r="X177" s="22" t="s">
        <v>79</v>
      </c>
      <c r="Y177" s="26">
        <v>43934</v>
      </c>
      <c r="Z177" s="26">
        <v>43934</v>
      </c>
      <c r="AA177" s="26">
        <v>43934</v>
      </c>
      <c r="AB177" s="26">
        <v>43934</v>
      </c>
      <c r="AC177" s="26" t="s">
        <v>201</v>
      </c>
      <c r="AD177" s="114"/>
      <c r="AE177" s="114"/>
      <c r="AF177" s="52">
        <v>0.92300000000000004</v>
      </c>
      <c r="AG177" s="52">
        <v>0.92300000000000004</v>
      </c>
      <c r="AH177" s="52">
        <v>1</v>
      </c>
      <c r="AI177" s="22" t="s">
        <v>933</v>
      </c>
      <c r="AJ177" s="22"/>
      <c r="AK177" s="22"/>
    </row>
    <row r="178" spans="2:37" x14ac:dyDescent="0.25">
      <c r="B178" s="116">
        <v>198</v>
      </c>
      <c r="C178" s="23">
        <v>20200413</v>
      </c>
      <c r="D178" s="22" t="s">
        <v>3</v>
      </c>
      <c r="E178" s="22" t="s">
        <v>929</v>
      </c>
      <c r="F178" s="24" t="s">
        <v>926</v>
      </c>
      <c r="G178" s="22" t="s">
        <v>904</v>
      </c>
      <c r="H178" s="22" t="s">
        <v>894</v>
      </c>
      <c r="I178" s="22" t="s">
        <v>331</v>
      </c>
      <c r="J178" s="22" t="s">
        <v>67</v>
      </c>
      <c r="K178" s="22" t="s">
        <v>930</v>
      </c>
      <c r="L178" s="24" t="s">
        <v>67</v>
      </c>
      <c r="M178" s="24" t="s">
        <v>914</v>
      </c>
      <c r="N178" s="25" t="s">
        <v>915</v>
      </c>
      <c r="O178" s="23" t="s">
        <v>199</v>
      </c>
      <c r="P178" s="22" t="s">
        <v>931</v>
      </c>
      <c r="Q178" s="22"/>
      <c r="R178" s="22"/>
      <c r="S178" s="22">
        <v>211</v>
      </c>
      <c r="T178" s="22">
        <v>292.5</v>
      </c>
      <c r="U178" s="22">
        <v>292.5</v>
      </c>
      <c r="V178" s="22">
        <v>5.2</v>
      </c>
      <c r="W178" s="22">
        <v>5</v>
      </c>
      <c r="X178" s="22" t="s">
        <v>79</v>
      </c>
      <c r="Y178" s="26">
        <v>43934</v>
      </c>
      <c r="Z178" s="26">
        <v>43935</v>
      </c>
      <c r="AA178" s="26">
        <v>43934</v>
      </c>
      <c r="AB178" s="26">
        <v>43934</v>
      </c>
      <c r="AC178" s="26" t="s">
        <v>201</v>
      </c>
      <c r="AD178" s="114"/>
      <c r="AE178" s="114"/>
      <c r="AF178" s="52">
        <v>1</v>
      </c>
      <c r="AG178" s="52">
        <v>1</v>
      </c>
      <c r="AH178" s="52">
        <v>1</v>
      </c>
      <c r="AI178" s="22"/>
      <c r="AJ178" s="22"/>
      <c r="AK178" s="22"/>
    </row>
    <row r="179" spans="2:37" x14ac:dyDescent="0.25">
      <c r="B179" s="116">
        <v>199</v>
      </c>
      <c r="C179" s="23">
        <v>20200413</v>
      </c>
      <c r="D179" s="22" t="s">
        <v>3</v>
      </c>
      <c r="E179" s="22" t="s">
        <v>929</v>
      </c>
      <c r="F179" s="24" t="s">
        <v>926</v>
      </c>
      <c r="G179" s="22" t="s">
        <v>905</v>
      </c>
      <c r="H179" s="22" t="s">
        <v>895</v>
      </c>
      <c r="I179" s="22" t="s">
        <v>331</v>
      </c>
      <c r="J179" s="22" t="s">
        <v>67</v>
      </c>
      <c r="K179" s="22" t="s">
        <v>930</v>
      </c>
      <c r="L179" s="24" t="s">
        <v>67</v>
      </c>
      <c r="M179" s="24" t="s">
        <v>914</v>
      </c>
      <c r="N179" s="25" t="s">
        <v>916</v>
      </c>
      <c r="O179" s="23" t="s">
        <v>198</v>
      </c>
      <c r="P179" s="22" t="s">
        <v>71</v>
      </c>
      <c r="Q179" s="22"/>
      <c r="R179" s="22"/>
      <c r="S179" s="22">
        <v>125</v>
      </c>
      <c r="T179" s="22">
        <v>180</v>
      </c>
      <c r="U179" s="22">
        <v>180</v>
      </c>
      <c r="V179" s="22">
        <v>3.2</v>
      </c>
      <c r="W179" s="22">
        <v>3</v>
      </c>
      <c r="X179" s="22" t="s">
        <v>19</v>
      </c>
      <c r="Y179" s="26">
        <v>43934</v>
      </c>
      <c r="Z179" s="26">
        <v>43935</v>
      </c>
      <c r="AA179" s="26">
        <v>43934</v>
      </c>
      <c r="AB179" s="26">
        <v>43934</v>
      </c>
      <c r="AC179" s="26" t="s">
        <v>201</v>
      </c>
      <c r="AD179" s="114"/>
      <c r="AE179" s="114"/>
      <c r="AF179" s="52">
        <v>1</v>
      </c>
      <c r="AG179" s="52">
        <v>1</v>
      </c>
      <c r="AH179" s="52">
        <v>1</v>
      </c>
      <c r="AI179" s="22"/>
      <c r="AJ179" s="22"/>
      <c r="AK179" s="22"/>
    </row>
    <row r="180" spans="2:37" x14ac:dyDescent="0.25">
      <c r="B180" s="116">
        <v>200</v>
      </c>
      <c r="C180" s="23">
        <v>20200413</v>
      </c>
      <c r="D180" s="22" t="s">
        <v>3</v>
      </c>
      <c r="E180" s="22" t="s">
        <v>929</v>
      </c>
      <c r="F180" s="24" t="s">
        <v>926</v>
      </c>
      <c r="G180" s="22" t="s">
        <v>906</v>
      </c>
      <c r="H180" s="22" t="s">
        <v>896</v>
      </c>
      <c r="I180" s="22" t="s">
        <v>331</v>
      </c>
      <c r="J180" s="22" t="s">
        <v>67</v>
      </c>
      <c r="K180" s="22" t="s">
        <v>930</v>
      </c>
      <c r="L180" s="24" t="s">
        <v>67</v>
      </c>
      <c r="M180" s="24" t="s">
        <v>914</v>
      </c>
      <c r="N180" s="25" t="s">
        <v>917</v>
      </c>
      <c r="O180" s="23" t="s">
        <v>200</v>
      </c>
      <c r="P180" s="22" t="s">
        <v>932</v>
      </c>
      <c r="Q180" s="22"/>
      <c r="R180" s="22"/>
      <c r="S180" s="22">
        <v>167</v>
      </c>
      <c r="T180" s="22">
        <v>180</v>
      </c>
      <c r="U180" s="22"/>
      <c r="V180" s="22">
        <v>3.2</v>
      </c>
      <c r="W180" s="22"/>
      <c r="X180" s="22"/>
      <c r="Y180" s="26">
        <v>43934</v>
      </c>
      <c r="Z180" s="26">
        <v>43935</v>
      </c>
      <c r="AA180" s="26"/>
      <c r="AB180" s="26"/>
      <c r="AC180" s="26"/>
      <c r="AD180" s="114"/>
      <c r="AE180" s="114"/>
      <c r="AF180" s="52"/>
      <c r="AG180" s="52"/>
      <c r="AH180" s="52"/>
      <c r="AI180" s="22"/>
      <c r="AJ180" s="22"/>
      <c r="AK180" s="22"/>
    </row>
    <row r="181" spans="2:37" x14ac:dyDescent="0.25">
      <c r="B181" s="116">
        <v>201</v>
      </c>
      <c r="C181" s="23">
        <v>20200413</v>
      </c>
      <c r="D181" s="22" t="s">
        <v>3</v>
      </c>
      <c r="E181" s="22" t="s">
        <v>929</v>
      </c>
      <c r="F181" s="24" t="s">
        <v>926</v>
      </c>
      <c r="G181" s="22" t="s">
        <v>907</v>
      </c>
      <c r="H181" s="22" t="s">
        <v>897</v>
      </c>
      <c r="I181" s="22" t="s">
        <v>331</v>
      </c>
      <c r="J181" s="22" t="s">
        <v>67</v>
      </c>
      <c r="K181" s="22" t="s">
        <v>930</v>
      </c>
      <c r="L181" s="24" t="s">
        <v>67</v>
      </c>
      <c r="M181" s="24" t="s">
        <v>914</v>
      </c>
      <c r="N181" s="25" t="s">
        <v>918</v>
      </c>
      <c r="O181" s="23" t="s">
        <v>200</v>
      </c>
      <c r="P181" s="22" t="s">
        <v>70</v>
      </c>
      <c r="Q181" s="22"/>
      <c r="R181" s="22"/>
      <c r="S181" s="22">
        <v>446</v>
      </c>
      <c r="T181" s="22">
        <v>540</v>
      </c>
      <c r="U181" s="22">
        <v>540</v>
      </c>
      <c r="V181" s="22">
        <v>9.6</v>
      </c>
      <c r="W181" s="22">
        <v>8</v>
      </c>
      <c r="X181" s="22" t="s">
        <v>79</v>
      </c>
      <c r="Y181" s="26">
        <v>43934</v>
      </c>
      <c r="Z181" s="26">
        <v>43935</v>
      </c>
      <c r="AA181" s="26">
        <v>43934</v>
      </c>
      <c r="AB181" s="26">
        <v>43934</v>
      </c>
      <c r="AC181" s="26" t="s">
        <v>201</v>
      </c>
      <c r="AD181" s="114"/>
      <c r="AE181" s="114"/>
      <c r="AF181" s="52">
        <v>1</v>
      </c>
      <c r="AG181" s="52">
        <v>1</v>
      </c>
      <c r="AH181" s="52">
        <v>1</v>
      </c>
      <c r="AI181" s="22"/>
      <c r="AJ181" s="22"/>
      <c r="AK181" s="22"/>
    </row>
    <row r="182" spans="2:37" x14ac:dyDescent="0.25">
      <c r="B182" s="116">
        <v>202</v>
      </c>
      <c r="C182" s="23">
        <v>20200413</v>
      </c>
      <c r="D182" s="22" t="s">
        <v>3</v>
      </c>
      <c r="E182" s="22" t="s">
        <v>929</v>
      </c>
      <c r="F182" s="24" t="s">
        <v>926</v>
      </c>
      <c r="G182" s="22" t="s">
        <v>908</v>
      </c>
      <c r="H182" s="22" t="s">
        <v>898</v>
      </c>
      <c r="I182" s="22" t="s">
        <v>331</v>
      </c>
      <c r="J182" s="22" t="s">
        <v>67</v>
      </c>
      <c r="K182" s="22" t="s">
        <v>930</v>
      </c>
      <c r="L182" s="24" t="s">
        <v>67</v>
      </c>
      <c r="M182" s="24" t="s">
        <v>914</v>
      </c>
      <c r="N182" s="25" t="s">
        <v>919</v>
      </c>
      <c r="O182" s="23" t="s">
        <v>651</v>
      </c>
      <c r="P182" s="22" t="s">
        <v>72</v>
      </c>
      <c r="Q182" s="22"/>
      <c r="R182" s="22"/>
      <c r="S182" s="22">
        <v>87</v>
      </c>
      <c r="T182" s="22">
        <v>135</v>
      </c>
      <c r="U182" s="22"/>
      <c r="V182" s="22">
        <v>2.4</v>
      </c>
      <c r="W182" s="22"/>
      <c r="X182" s="22"/>
      <c r="Y182" s="26">
        <v>43934</v>
      </c>
      <c r="Z182" s="26">
        <v>43935</v>
      </c>
      <c r="AA182" s="26"/>
      <c r="AB182" s="26"/>
      <c r="AC182" s="26"/>
      <c r="AD182" s="114"/>
      <c r="AE182" s="114"/>
      <c r="AF182" s="52"/>
      <c r="AG182" s="52"/>
      <c r="AH182" s="52"/>
      <c r="AI182" s="22"/>
      <c r="AJ182" s="22"/>
      <c r="AK182" s="22"/>
    </row>
    <row r="183" spans="2:37" x14ac:dyDescent="0.25">
      <c r="B183" s="116">
        <v>203</v>
      </c>
      <c r="C183" s="23">
        <v>20200413</v>
      </c>
      <c r="D183" s="22" t="s">
        <v>3</v>
      </c>
      <c r="E183" s="22" t="s">
        <v>929</v>
      </c>
      <c r="F183" s="24" t="s">
        <v>926</v>
      </c>
      <c r="G183" s="22" t="s">
        <v>909</v>
      </c>
      <c r="H183" s="22" t="s">
        <v>899</v>
      </c>
      <c r="I183" s="22" t="s">
        <v>331</v>
      </c>
      <c r="J183" s="22" t="s">
        <v>67</v>
      </c>
      <c r="K183" s="22" t="s">
        <v>930</v>
      </c>
      <c r="L183" s="24" t="s">
        <v>67</v>
      </c>
      <c r="M183" s="24" t="s">
        <v>914</v>
      </c>
      <c r="N183" s="25" t="s">
        <v>920</v>
      </c>
      <c r="O183" s="23" t="s">
        <v>651</v>
      </c>
      <c r="P183" s="22" t="s">
        <v>72</v>
      </c>
      <c r="Q183" s="22"/>
      <c r="R183" s="22"/>
      <c r="S183" s="22">
        <v>57</v>
      </c>
      <c r="T183" s="97">
        <v>90</v>
      </c>
      <c r="U183" s="22"/>
      <c r="V183" s="22">
        <v>1.6</v>
      </c>
      <c r="W183" s="22"/>
      <c r="X183" s="22"/>
      <c r="Y183" s="26">
        <v>43934</v>
      </c>
      <c r="Z183" s="26">
        <v>43935</v>
      </c>
      <c r="AA183" s="26"/>
      <c r="AB183" s="26"/>
      <c r="AC183" s="26"/>
      <c r="AD183" s="114"/>
      <c r="AE183" s="114"/>
      <c r="AF183" s="52"/>
      <c r="AG183" s="52"/>
      <c r="AH183" s="52"/>
      <c r="AI183" s="22"/>
      <c r="AJ183" s="22"/>
    </row>
    <row r="184" spans="2:37" x14ac:dyDescent="0.25">
      <c r="B184" s="116">
        <v>204</v>
      </c>
      <c r="C184" s="23">
        <v>20200413</v>
      </c>
      <c r="D184" s="22" t="s">
        <v>3</v>
      </c>
      <c r="E184" s="22" t="s">
        <v>929</v>
      </c>
      <c r="F184" s="24" t="s">
        <v>927</v>
      </c>
      <c r="G184" s="22" t="s">
        <v>910</v>
      </c>
      <c r="H184" s="22" t="s">
        <v>900</v>
      </c>
      <c r="I184" s="22" t="s">
        <v>331</v>
      </c>
      <c r="J184" s="22" t="s">
        <v>67</v>
      </c>
      <c r="K184" s="22" t="s">
        <v>930</v>
      </c>
      <c r="L184" s="24" t="s">
        <v>67</v>
      </c>
      <c r="M184" s="24" t="s">
        <v>914</v>
      </c>
      <c r="N184" s="25" t="s">
        <v>921</v>
      </c>
      <c r="O184" s="23" t="s">
        <v>651</v>
      </c>
      <c r="P184" s="22" t="s">
        <v>932</v>
      </c>
      <c r="Q184" s="22"/>
      <c r="R184" s="22"/>
      <c r="S184" s="22">
        <v>8</v>
      </c>
      <c r="T184" s="97">
        <v>67.5</v>
      </c>
      <c r="U184" s="22"/>
      <c r="V184" s="22">
        <v>1.2</v>
      </c>
      <c r="W184" s="22"/>
      <c r="X184" s="22"/>
      <c r="Y184" s="26">
        <v>43934</v>
      </c>
      <c r="Z184" s="26">
        <v>43935</v>
      </c>
      <c r="AA184" s="26"/>
      <c r="AB184" s="26"/>
      <c r="AC184" s="26"/>
      <c r="AD184" s="114"/>
      <c r="AE184" s="114"/>
      <c r="AF184" s="52"/>
      <c r="AG184" s="52"/>
      <c r="AH184" s="52"/>
      <c r="AI184" s="22"/>
      <c r="AJ184" s="22"/>
    </row>
    <row r="185" spans="2:37" x14ac:dyDescent="0.25">
      <c r="B185" s="116">
        <v>205</v>
      </c>
      <c r="C185" s="23">
        <v>20200413</v>
      </c>
      <c r="D185" s="22" t="s">
        <v>3</v>
      </c>
      <c r="E185" s="22" t="s">
        <v>929</v>
      </c>
      <c r="F185" s="24" t="s">
        <v>926</v>
      </c>
      <c r="G185" s="22" t="s">
        <v>911</v>
      </c>
      <c r="H185" s="22" t="s">
        <v>901</v>
      </c>
      <c r="I185" s="22" t="s">
        <v>331</v>
      </c>
      <c r="J185" s="22" t="s">
        <v>67</v>
      </c>
      <c r="K185" s="22" t="s">
        <v>930</v>
      </c>
      <c r="L185" s="24" t="s">
        <v>67</v>
      </c>
      <c r="M185" s="24" t="s">
        <v>914</v>
      </c>
      <c r="N185" s="25" t="s">
        <v>922</v>
      </c>
      <c r="O185" s="23" t="s">
        <v>651</v>
      </c>
      <c r="P185" s="22" t="s">
        <v>72</v>
      </c>
      <c r="Q185" s="22"/>
      <c r="R185" s="22"/>
      <c r="S185" s="22">
        <v>30</v>
      </c>
      <c r="T185" s="97">
        <v>67.5</v>
      </c>
      <c r="U185" s="22"/>
      <c r="V185" s="22">
        <v>1.2</v>
      </c>
      <c r="W185" s="22"/>
      <c r="X185" s="22"/>
      <c r="Y185" s="26">
        <v>43934</v>
      </c>
      <c r="Z185" s="26">
        <v>43935</v>
      </c>
      <c r="AA185" s="26"/>
      <c r="AB185" s="26"/>
      <c r="AC185" s="26"/>
      <c r="AD185" s="114"/>
      <c r="AE185" s="114"/>
      <c r="AF185" s="52"/>
      <c r="AG185" s="52"/>
      <c r="AH185" s="52"/>
      <c r="AI185" s="22"/>
      <c r="AJ185" s="22"/>
    </row>
    <row r="186" spans="2:37" x14ac:dyDescent="0.25">
      <c r="B186" s="116">
        <v>206</v>
      </c>
      <c r="C186" s="23">
        <v>20200413</v>
      </c>
      <c r="D186" s="22" t="s">
        <v>3</v>
      </c>
      <c r="E186" s="22" t="s">
        <v>929</v>
      </c>
      <c r="F186" s="24" t="s">
        <v>928</v>
      </c>
      <c r="G186" s="22" t="s">
        <v>912</v>
      </c>
      <c r="H186" s="22" t="s">
        <v>902</v>
      </c>
      <c r="I186" s="22" t="s">
        <v>331</v>
      </c>
      <c r="J186" s="22" t="s">
        <v>67</v>
      </c>
      <c r="K186" s="22" t="s">
        <v>930</v>
      </c>
      <c r="L186" s="24" t="s">
        <v>67</v>
      </c>
      <c r="M186" s="24" t="s">
        <v>914</v>
      </c>
      <c r="N186" s="25" t="s">
        <v>923</v>
      </c>
      <c r="O186" s="23" t="s">
        <v>651</v>
      </c>
      <c r="P186" s="22" t="s">
        <v>72</v>
      </c>
      <c r="Q186" s="22"/>
      <c r="R186" s="22"/>
      <c r="S186" s="22">
        <v>110</v>
      </c>
      <c r="T186" s="97">
        <v>180</v>
      </c>
      <c r="U186" s="22"/>
      <c r="V186" s="22">
        <v>3.2</v>
      </c>
      <c r="W186" s="22"/>
      <c r="X186" s="22"/>
      <c r="Y186" s="26">
        <v>43934</v>
      </c>
      <c r="Z186" s="26">
        <v>43935</v>
      </c>
      <c r="AA186" s="26"/>
      <c r="AB186" s="26"/>
      <c r="AC186" s="26"/>
      <c r="AD186" s="114"/>
      <c r="AE186" s="114"/>
      <c r="AF186" s="52"/>
      <c r="AG186" s="52"/>
      <c r="AH186" s="52"/>
      <c r="AI186" s="22"/>
      <c r="AJ186" s="22"/>
    </row>
    <row r="187" spans="2:37" x14ac:dyDescent="0.25">
      <c r="B187" s="116">
        <v>207</v>
      </c>
      <c r="C187" s="23">
        <v>20200413</v>
      </c>
      <c r="D187" s="22" t="s">
        <v>3</v>
      </c>
      <c r="E187" s="22" t="s">
        <v>929</v>
      </c>
      <c r="F187" s="24" t="s">
        <v>928</v>
      </c>
      <c r="G187" s="22" t="s">
        <v>913</v>
      </c>
      <c r="H187" s="22" t="s">
        <v>903</v>
      </c>
      <c r="I187" s="22" t="s">
        <v>331</v>
      </c>
      <c r="J187" s="22" t="s">
        <v>67</v>
      </c>
      <c r="K187" s="22" t="s">
        <v>930</v>
      </c>
      <c r="L187" s="24" t="s">
        <v>67</v>
      </c>
      <c r="M187" s="24" t="s">
        <v>914</v>
      </c>
      <c r="N187" s="25" t="s">
        <v>924</v>
      </c>
      <c r="O187" s="23" t="s">
        <v>198</v>
      </c>
      <c r="P187" s="22" t="s">
        <v>71</v>
      </c>
      <c r="Q187" s="22"/>
      <c r="R187" s="22"/>
      <c r="S187" s="22">
        <v>112</v>
      </c>
      <c r="T187" s="97">
        <v>90</v>
      </c>
      <c r="U187" s="22">
        <v>90</v>
      </c>
      <c r="V187" s="22">
        <v>1.6</v>
      </c>
      <c r="W187" s="22">
        <v>2</v>
      </c>
      <c r="X187" s="22" t="s">
        <v>19</v>
      </c>
      <c r="Y187" s="26">
        <v>43934</v>
      </c>
      <c r="Z187" s="26">
        <v>43935</v>
      </c>
      <c r="AA187" s="26">
        <v>43934</v>
      </c>
      <c r="AB187" s="26">
        <v>43934</v>
      </c>
      <c r="AC187" s="26" t="s">
        <v>201</v>
      </c>
      <c r="AD187" s="114"/>
      <c r="AE187" s="114"/>
      <c r="AF187" s="52">
        <v>1</v>
      </c>
      <c r="AG187" s="52">
        <v>1</v>
      </c>
      <c r="AH187" s="52">
        <v>1</v>
      </c>
      <c r="AI187" s="22"/>
      <c r="AJ187" s="22"/>
    </row>
    <row r="188" spans="2:37" x14ac:dyDescent="0.25">
      <c r="B188" s="116">
        <v>208</v>
      </c>
      <c r="C188" s="23">
        <v>20200413</v>
      </c>
      <c r="D188" s="22" t="s">
        <v>3</v>
      </c>
      <c r="E188" s="22" t="s">
        <v>929</v>
      </c>
      <c r="F188" s="24" t="s">
        <v>928</v>
      </c>
      <c r="G188" s="22" t="s">
        <v>289</v>
      </c>
      <c r="H188" s="22" t="s">
        <v>901</v>
      </c>
      <c r="I188" s="22" t="s">
        <v>331</v>
      </c>
      <c r="J188" s="22" t="s">
        <v>67</v>
      </c>
      <c r="K188" s="22" t="s">
        <v>930</v>
      </c>
      <c r="L188" s="24" t="s">
        <v>67</v>
      </c>
      <c r="M188" s="24" t="s">
        <v>914</v>
      </c>
      <c r="N188" s="25" t="s">
        <v>925</v>
      </c>
      <c r="O188" s="23" t="s">
        <v>198</v>
      </c>
      <c r="P188" s="22" t="s">
        <v>71</v>
      </c>
      <c r="Q188" s="22"/>
      <c r="R188" s="22"/>
      <c r="S188" s="22">
        <v>30</v>
      </c>
      <c r="T188" s="97">
        <v>67.5</v>
      </c>
      <c r="U188" s="22">
        <v>67.5</v>
      </c>
      <c r="V188" s="22">
        <v>1.2</v>
      </c>
      <c r="W188" s="22">
        <v>1</v>
      </c>
      <c r="X188" s="22" t="s">
        <v>19</v>
      </c>
      <c r="Y188" s="26">
        <v>43934</v>
      </c>
      <c r="Z188" s="26">
        <v>43935</v>
      </c>
      <c r="AA188" s="26">
        <v>43934</v>
      </c>
      <c r="AB188" s="26">
        <v>43934</v>
      </c>
      <c r="AC188" s="26" t="s">
        <v>201</v>
      </c>
      <c r="AD188" s="114"/>
      <c r="AE188" s="114"/>
      <c r="AF188" s="52">
        <v>1</v>
      </c>
      <c r="AG188" s="52">
        <v>1</v>
      </c>
      <c r="AH188" s="52">
        <v>1</v>
      </c>
      <c r="AI188" s="22"/>
      <c r="AJ188" s="22"/>
    </row>
    <row r="189" spans="2:37" x14ac:dyDescent="0.25">
      <c r="B189" s="28"/>
      <c r="C189" s="23"/>
      <c r="D189" s="22"/>
      <c r="E189" s="22"/>
      <c r="F189" s="24"/>
      <c r="G189" s="22"/>
      <c r="H189" s="22"/>
      <c r="I189" s="22"/>
      <c r="J189" s="22"/>
      <c r="K189" s="22"/>
      <c r="L189" s="24"/>
      <c r="M189" s="24"/>
      <c r="N189" s="25"/>
      <c r="O189" s="23"/>
      <c r="P189" s="22"/>
      <c r="Q189" s="22"/>
      <c r="R189" s="22"/>
      <c r="S189" s="22"/>
      <c r="T189" s="3"/>
      <c r="U189" s="22"/>
      <c r="V189" s="22"/>
      <c r="W189" s="22"/>
      <c r="X189" s="22"/>
      <c r="Y189" s="26"/>
      <c r="Z189" s="26"/>
      <c r="AA189" s="26"/>
      <c r="AB189" s="26"/>
      <c r="AC189" s="26"/>
      <c r="AD189" s="114"/>
      <c r="AE189" s="114"/>
      <c r="AF189" s="52"/>
      <c r="AG189" s="52"/>
      <c r="AH189" s="52"/>
      <c r="AI189" s="22"/>
      <c r="AJ189" s="22"/>
    </row>
    <row r="190" spans="2:37" x14ac:dyDescent="0.25">
      <c r="B190" s="28"/>
      <c r="C190" s="23"/>
      <c r="D190" s="22"/>
      <c r="E190" s="22"/>
      <c r="F190" s="24"/>
      <c r="G190" s="22"/>
      <c r="H190" s="22"/>
      <c r="I190" s="22"/>
      <c r="J190" s="22"/>
      <c r="K190" s="22"/>
      <c r="L190" s="24"/>
      <c r="M190" s="24"/>
      <c r="N190" s="25"/>
      <c r="O190" s="23"/>
      <c r="P190" s="22"/>
      <c r="Q190" s="22"/>
      <c r="R190" s="22"/>
      <c r="S190" s="22"/>
      <c r="T190" s="3"/>
      <c r="U190" s="22"/>
      <c r="V190" s="22"/>
      <c r="W190" s="22"/>
      <c r="X190" s="22"/>
      <c r="Y190" s="26"/>
      <c r="Z190" s="26"/>
      <c r="AA190" s="26"/>
      <c r="AB190" s="26"/>
      <c r="AC190" s="26"/>
      <c r="AD190" s="114"/>
      <c r="AE190" s="114"/>
      <c r="AF190" s="52"/>
      <c r="AG190" s="52"/>
      <c r="AH190" s="52"/>
      <c r="AI190" s="22"/>
      <c r="AJ190" s="22"/>
    </row>
    <row r="191" spans="2:37" x14ac:dyDescent="0.25">
      <c r="B191" s="28"/>
      <c r="C191" s="23"/>
      <c r="D191" s="22"/>
      <c r="E191" s="22"/>
      <c r="F191" s="24"/>
      <c r="G191" s="22"/>
      <c r="H191" s="22"/>
      <c r="I191" s="22"/>
      <c r="J191" s="22"/>
      <c r="K191" s="22"/>
      <c r="L191" s="24"/>
      <c r="M191" s="24"/>
      <c r="N191" s="25"/>
      <c r="O191" s="23"/>
      <c r="P191" s="22"/>
      <c r="Q191" s="22"/>
      <c r="R191" s="22"/>
      <c r="S191" s="22"/>
      <c r="T191" s="3"/>
      <c r="U191" s="22"/>
      <c r="V191" s="22"/>
      <c r="W191" s="22"/>
      <c r="X191" s="22"/>
      <c r="Y191" s="26"/>
      <c r="Z191" s="26"/>
      <c r="AA191" s="26"/>
      <c r="AB191" s="26"/>
      <c r="AC191" s="26"/>
      <c r="AD191" s="114"/>
      <c r="AE191" s="114"/>
      <c r="AF191" s="52"/>
      <c r="AG191" s="52"/>
      <c r="AH191" s="52"/>
      <c r="AI191" s="22"/>
      <c r="AJ191" s="22"/>
    </row>
    <row r="192" spans="2:37" x14ac:dyDescent="0.25">
      <c r="B192" s="28"/>
      <c r="C192" s="23"/>
      <c r="D192" s="22"/>
      <c r="E192" s="22"/>
      <c r="F192" s="24"/>
      <c r="G192" s="22"/>
      <c r="H192" s="22"/>
      <c r="I192" s="22"/>
      <c r="J192" s="22"/>
      <c r="K192" s="22"/>
      <c r="L192" s="24"/>
      <c r="M192" s="24"/>
      <c r="N192" s="25"/>
      <c r="O192" s="23"/>
      <c r="P192" s="22"/>
      <c r="Q192" s="22"/>
      <c r="R192" s="22"/>
      <c r="S192" s="22"/>
      <c r="T192" s="3"/>
      <c r="U192" s="22"/>
      <c r="V192" s="22"/>
      <c r="W192" s="22"/>
      <c r="X192" s="22"/>
      <c r="Y192" s="26"/>
      <c r="Z192" s="26"/>
      <c r="AA192" s="26"/>
      <c r="AB192" s="26"/>
      <c r="AC192" s="26"/>
      <c r="AD192" s="114"/>
      <c r="AE192" s="114"/>
      <c r="AF192" s="52"/>
      <c r="AG192" s="52"/>
      <c r="AH192" s="52"/>
      <c r="AI192" s="22"/>
      <c r="AJ192" s="22"/>
    </row>
    <row r="193" spans="2:36" x14ac:dyDescent="0.25">
      <c r="B193" s="28"/>
      <c r="C193" s="23"/>
      <c r="D193" s="22"/>
      <c r="E193" s="22"/>
      <c r="F193" s="24"/>
      <c r="G193" s="22"/>
      <c r="H193" s="22"/>
      <c r="I193" s="22"/>
      <c r="J193" s="22"/>
      <c r="K193" s="22"/>
      <c r="L193" s="24"/>
      <c r="M193" s="24"/>
      <c r="N193" s="25"/>
      <c r="O193" s="23"/>
      <c r="P193" s="22"/>
      <c r="Q193" s="22"/>
      <c r="R193" s="22"/>
      <c r="S193" s="22"/>
      <c r="T193" s="3"/>
      <c r="U193" s="22"/>
      <c r="V193" s="22"/>
      <c r="W193" s="22"/>
      <c r="X193" s="22"/>
      <c r="Y193" s="26"/>
      <c r="Z193" s="26"/>
      <c r="AA193" s="26"/>
      <c r="AB193" s="26"/>
      <c r="AC193" s="26"/>
      <c r="AD193" s="114"/>
      <c r="AE193" s="114"/>
      <c r="AF193" s="52"/>
      <c r="AG193" s="52"/>
      <c r="AH193" s="52"/>
      <c r="AI193" s="22"/>
      <c r="AJ193" s="22"/>
    </row>
    <row r="194" spans="2:36" x14ac:dyDescent="0.25">
      <c r="B194" s="28"/>
      <c r="C194" s="23"/>
      <c r="D194" s="22"/>
      <c r="E194" s="22"/>
      <c r="F194" s="24"/>
      <c r="G194" s="22"/>
      <c r="H194" s="22"/>
      <c r="I194" s="22"/>
      <c r="J194" s="22"/>
      <c r="K194" s="22"/>
      <c r="L194" s="24"/>
      <c r="M194" s="24"/>
      <c r="N194" s="25"/>
      <c r="O194" s="23"/>
      <c r="P194" s="22"/>
      <c r="Q194" s="22"/>
      <c r="R194" s="22"/>
      <c r="S194" s="22"/>
      <c r="T194" s="3"/>
      <c r="U194" s="22"/>
      <c r="V194" s="22"/>
      <c r="W194" s="22"/>
      <c r="X194" s="22"/>
      <c r="Y194" s="26"/>
      <c r="Z194" s="26"/>
      <c r="AA194" s="26"/>
      <c r="AB194" s="26"/>
      <c r="AC194" s="26"/>
      <c r="AD194" s="114"/>
      <c r="AE194" s="114"/>
      <c r="AF194" s="52"/>
      <c r="AG194" s="52"/>
      <c r="AH194" s="52"/>
      <c r="AI194" s="22"/>
      <c r="AJ194" s="22"/>
    </row>
    <row r="195" spans="2:36" x14ac:dyDescent="0.25">
      <c r="B195" s="28"/>
      <c r="C195" s="23"/>
      <c r="D195" s="22"/>
      <c r="E195" s="22"/>
      <c r="F195" s="24"/>
      <c r="G195" s="22"/>
      <c r="H195" s="22"/>
      <c r="I195" s="22"/>
      <c r="J195" s="22"/>
      <c r="K195" s="22"/>
      <c r="L195" s="24"/>
      <c r="M195" s="24"/>
      <c r="N195" s="25"/>
      <c r="O195" s="23"/>
      <c r="P195" s="22"/>
      <c r="Q195" s="22"/>
      <c r="R195" s="22"/>
      <c r="S195" s="22"/>
      <c r="T195" s="3"/>
      <c r="U195" s="22"/>
      <c r="V195" s="22"/>
      <c r="W195" s="22"/>
      <c r="X195" s="22"/>
      <c r="Y195" s="26"/>
      <c r="Z195" s="26"/>
      <c r="AA195" s="26"/>
      <c r="AB195" s="26"/>
      <c r="AC195" s="26"/>
      <c r="AD195" s="114"/>
      <c r="AE195" s="114"/>
      <c r="AF195" s="52"/>
      <c r="AG195" s="52"/>
      <c r="AH195" s="52"/>
      <c r="AI195" s="22"/>
      <c r="AJ195" s="22"/>
    </row>
    <row r="196" spans="2:36" x14ac:dyDescent="0.25">
      <c r="B196" s="28"/>
      <c r="C196" s="23"/>
      <c r="D196" s="22"/>
      <c r="E196" s="22"/>
      <c r="F196" s="24"/>
      <c r="G196" s="22"/>
      <c r="H196" s="22"/>
      <c r="I196" s="22"/>
      <c r="J196" s="22"/>
      <c r="K196" s="22"/>
      <c r="L196" s="24"/>
      <c r="M196" s="24"/>
      <c r="N196" s="25"/>
      <c r="O196" s="23"/>
      <c r="P196" s="22"/>
      <c r="Q196" s="22"/>
      <c r="R196" s="22"/>
      <c r="S196" s="22"/>
      <c r="T196" s="3"/>
      <c r="U196" s="22"/>
      <c r="V196" s="22"/>
      <c r="W196" s="22"/>
      <c r="X196" s="22"/>
      <c r="Y196" s="26"/>
      <c r="Z196" s="26"/>
      <c r="AA196" s="26"/>
      <c r="AB196" s="26"/>
      <c r="AC196" s="26"/>
      <c r="AD196" s="114"/>
      <c r="AE196" s="114"/>
      <c r="AF196" s="52"/>
      <c r="AG196" s="52"/>
      <c r="AH196" s="52"/>
      <c r="AI196" s="22"/>
      <c r="AJ196" s="22"/>
    </row>
    <row r="197" spans="2:36" x14ac:dyDescent="0.25">
      <c r="B197" s="28"/>
      <c r="C197" s="23"/>
      <c r="D197" s="22"/>
      <c r="E197" s="22"/>
      <c r="F197" s="24"/>
      <c r="G197" s="22"/>
      <c r="H197" s="22"/>
      <c r="I197" s="22"/>
      <c r="J197" s="22"/>
      <c r="K197" s="22"/>
      <c r="L197" s="24"/>
      <c r="M197" s="24"/>
      <c r="N197" s="25"/>
      <c r="O197" s="23"/>
      <c r="P197" s="22"/>
      <c r="Q197" s="22"/>
      <c r="R197" s="22"/>
      <c r="S197" s="22"/>
      <c r="T197" s="3"/>
      <c r="U197" s="22"/>
      <c r="V197" s="22"/>
      <c r="W197" s="22"/>
      <c r="X197" s="22"/>
      <c r="Y197" s="26"/>
      <c r="Z197" s="26"/>
      <c r="AA197" s="26"/>
      <c r="AB197" s="26"/>
      <c r="AC197" s="26"/>
      <c r="AD197" s="114"/>
      <c r="AE197" s="114"/>
      <c r="AF197" s="52"/>
      <c r="AG197" s="52"/>
      <c r="AH197" s="52"/>
      <c r="AI197" s="22"/>
      <c r="AJ197" s="22"/>
    </row>
    <row r="198" spans="2:36" x14ac:dyDescent="0.25">
      <c r="B198" s="28"/>
      <c r="C198" s="23"/>
      <c r="D198" s="22"/>
      <c r="E198" s="22"/>
      <c r="F198" s="24"/>
      <c r="G198" s="22"/>
      <c r="H198" s="22"/>
      <c r="I198" s="22"/>
      <c r="J198" s="22"/>
      <c r="K198" s="22"/>
      <c r="L198" s="24"/>
      <c r="M198" s="24"/>
      <c r="N198" s="25"/>
      <c r="O198" s="23"/>
      <c r="P198" s="22"/>
      <c r="Q198" s="22"/>
      <c r="R198" s="22"/>
      <c r="S198" s="22"/>
      <c r="T198" s="3"/>
      <c r="U198" s="22"/>
      <c r="V198" s="22"/>
      <c r="W198" s="22"/>
      <c r="X198" s="22"/>
      <c r="Y198" s="26"/>
      <c r="Z198" s="26"/>
      <c r="AA198" s="26"/>
      <c r="AB198" s="26"/>
      <c r="AC198" s="26"/>
      <c r="AD198" s="114"/>
      <c r="AE198" s="114"/>
      <c r="AF198" s="52"/>
      <c r="AG198" s="52"/>
      <c r="AH198" s="52"/>
      <c r="AI198" s="22"/>
      <c r="AJ198" s="22"/>
    </row>
    <row r="199" spans="2:36" x14ac:dyDescent="0.25">
      <c r="B199" s="28"/>
      <c r="C199" s="23"/>
      <c r="D199" s="22"/>
      <c r="E199" s="22"/>
      <c r="F199" s="24"/>
      <c r="G199" s="22"/>
      <c r="H199" s="22"/>
      <c r="I199" s="22"/>
      <c r="J199" s="22"/>
      <c r="K199" s="22"/>
      <c r="L199" s="24"/>
      <c r="M199" s="24"/>
      <c r="N199" s="25"/>
      <c r="O199" s="23"/>
      <c r="P199" s="22"/>
      <c r="Q199" s="22"/>
      <c r="R199" s="22"/>
      <c r="S199" s="22"/>
      <c r="T199" s="3"/>
      <c r="U199" s="22"/>
      <c r="V199" s="22"/>
      <c r="W199" s="22"/>
      <c r="X199" s="22"/>
      <c r="Y199" s="26"/>
      <c r="Z199" s="26"/>
      <c r="AA199" s="26"/>
      <c r="AB199" s="26"/>
      <c r="AC199" s="26"/>
      <c r="AD199" s="114"/>
      <c r="AE199" s="114"/>
      <c r="AF199" s="52"/>
      <c r="AG199" s="52"/>
      <c r="AH199" s="52"/>
      <c r="AI199" s="22"/>
      <c r="AJ199" s="22"/>
    </row>
    <row r="200" spans="2:36" x14ac:dyDescent="0.25">
      <c r="B200" s="28"/>
      <c r="C200" s="23"/>
      <c r="D200" s="22"/>
      <c r="E200" s="22"/>
      <c r="F200" s="24"/>
      <c r="G200" s="22"/>
      <c r="H200" s="22"/>
      <c r="I200" s="22"/>
      <c r="J200" s="22"/>
      <c r="K200" s="22"/>
      <c r="L200" s="24"/>
      <c r="M200" s="24"/>
      <c r="N200" s="25"/>
      <c r="O200" s="23"/>
      <c r="P200" s="22"/>
      <c r="Q200" s="22"/>
      <c r="R200" s="22"/>
      <c r="S200" s="22"/>
      <c r="T200" s="3"/>
      <c r="U200" s="22"/>
      <c r="V200" s="22"/>
      <c r="W200" s="22"/>
      <c r="X200" s="22"/>
      <c r="Y200" s="26"/>
      <c r="Z200" s="26"/>
      <c r="AA200" s="26"/>
      <c r="AB200" s="26"/>
      <c r="AC200" s="26"/>
      <c r="AD200" s="114"/>
      <c r="AE200" s="114"/>
      <c r="AF200" s="52"/>
      <c r="AG200" s="52"/>
      <c r="AH200" s="52"/>
      <c r="AI200" s="22"/>
      <c r="AJ200" s="22"/>
    </row>
    <row r="201" spans="2:36" x14ac:dyDescent="0.25">
      <c r="B201" s="28"/>
      <c r="C201" s="23"/>
      <c r="D201" s="22"/>
      <c r="E201" s="22"/>
      <c r="F201" s="24"/>
      <c r="G201" s="22"/>
      <c r="H201" s="22"/>
      <c r="I201" s="22"/>
      <c r="J201" s="22"/>
      <c r="K201" s="22"/>
      <c r="L201" s="24"/>
      <c r="M201" s="24"/>
      <c r="N201" s="25"/>
      <c r="O201" s="23"/>
      <c r="P201" s="22"/>
      <c r="Q201" s="22"/>
      <c r="R201" s="22"/>
      <c r="S201" s="22"/>
      <c r="T201" s="3"/>
      <c r="U201" s="22"/>
      <c r="V201" s="22"/>
      <c r="W201" s="22"/>
      <c r="X201" s="22"/>
      <c r="Y201" s="26"/>
      <c r="Z201" s="26"/>
      <c r="AA201" s="26"/>
      <c r="AB201" s="26"/>
      <c r="AC201" s="26"/>
      <c r="AD201" s="114"/>
      <c r="AE201" s="114"/>
      <c r="AF201" s="52"/>
      <c r="AG201" s="52"/>
      <c r="AH201" s="52"/>
      <c r="AI201" s="22"/>
      <c r="AJ201" s="22"/>
    </row>
    <row r="202" spans="2:36" x14ac:dyDescent="0.25">
      <c r="B202" s="28"/>
      <c r="C202" s="23"/>
      <c r="D202" s="22"/>
      <c r="E202" s="22"/>
      <c r="F202" s="24"/>
      <c r="G202" s="22"/>
      <c r="H202" s="22"/>
      <c r="I202" s="22"/>
      <c r="J202" s="22"/>
      <c r="K202" s="22"/>
      <c r="L202" s="24"/>
      <c r="M202" s="24"/>
      <c r="N202" s="25"/>
      <c r="O202" s="23"/>
      <c r="P202" s="22"/>
      <c r="Q202" s="22"/>
      <c r="R202" s="22"/>
      <c r="S202" s="22"/>
      <c r="T202" s="3"/>
      <c r="U202" s="22"/>
      <c r="V202" s="22"/>
      <c r="W202" s="22"/>
      <c r="X202" s="22"/>
      <c r="Y202" s="26"/>
      <c r="Z202" s="26"/>
      <c r="AA202" s="26"/>
      <c r="AB202" s="26"/>
      <c r="AC202" s="26"/>
      <c r="AD202" s="114"/>
      <c r="AE202" s="114"/>
      <c r="AF202" s="52"/>
      <c r="AG202" s="52"/>
      <c r="AH202" s="52"/>
      <c r="AI202" s="22"/>
      <c r="AJ202" s="22"/>
    </row>
    <row r="203" spans="2:36" x14ac:dyDescent="0.25">
      <c r="B203" s="28"/>
      <c r="C203" s="23"/>
      <c r="D203" s="22"/>
      <c r="E203" s="22"/>
      <c r="F203" s="24"/>
      <c r="G203" s="22"/>
      <c r="H203" s="22"/>
      <c r="I203" s="22"/>
      <c r="J203" s="22"/>
      <c r="K203" s="22"/>
      <c r="L203" s="24"/>
      <c r="M203" s="24"/>
      <c r="N203" s="25"/>
      <c r="O203" s="23"/>
      <c r="P203" s="22"/>
      <c r="Q203" s="22"/>
      <c r="R203" s="22"/>
      <c r="S203" s="22"/>
      <c r="T203" s="3"/>
      <c r="U203" s="22"/>
      <c r="V203" s="22"/>
      <c r="W203" s="22"/>
      <c r="X203" s="22"/>
      <c r="Y203" s="26"/>
      <c r="Z203" s="26"/>
      <c r="AA203" s="26"/>
      <c r="AB203" s="26"/>
      <c r="AC203" s="26"/>
      <c r="AD203" s="114"/>
      <c r="AE203" s="114"/>
      <c r="AF203" s="52"/>
      <c r="AG203" s="52"/>
      <c r="AH203" s="52"/>
      <c r="AI203" s="22"/>
      <c r="AJ203" s="22"/>
    </row>
    <row r="204" spans="2:36" x14ac:dyDescent="0.25">
      <c r="B204" s="28"/>
      <c r="C204" s="23"/>
      <c r="D204" s="22"/>
      <c r="E204" s="22"/>
      <c r="F204" s="24"/>
      <c r="G204" s="22"/>
      <c r="H204" s="22"/>
      <c r="I204" s="22"/>
      <c r="J204" s="22"/>
      <c r="K204" s="22"/>
      <c r="L204" s="24"/>
      <c r="M204" s="24"/>
      <c r="N204" s="25"/>
      <c r="O204" s="23"/>
      <c r="P204" s="22"/>
      <c r="Q204" s="22"/>
      <c r="R204" s="22"/>
      <c r="S204" s="22"/>
      <c r="T204" s="3"/>
      <c r="U204" s="22"/>
      <c r="V204" s="22"/>
      <c r="W204" s="22"/>
      <c r="X204" s="22"/>
      <c r="Y204" s="26"/>
      <c r="Z204" s="26"/>
      <c r="AA204" s="26"/>
      <c r="AB204" s="26"/>
      <c r="AC204" s="26"/>
      <c r="AD204" s="114"/>
      <c r="AE204" s="114"/>
      <c r="AF204" s="52"/>
      <c r="AG204" s="52"/>
      <c r="AH204" s="52"/>
      <c r="AI204" s="22"/>
      <c r="AJ204" s="22"/>
    </row>
    <row r="205" spans="2:36" x14ac:dyDescent="0.25">
      <c r="B205" s="28"/>
      <c r="C205" s="23"/>
      <c r="D205" s="22"/>
      <c r="E205" s="22"/>
      <c r="F205" s="24"/>
      <c r="G205" s="22"/>
      <c r="H205" s="22"/>
      <c r="I205" s="22"/>
      <c r="J205" s="22"/>
      <c r="K205" s="22"/>
      <c r="L205" s="24"/>
      <c r="M205" s="24"/>
      <c r="N205" s="25"/>
      <c r="O205" s="23"/>
      <c r="P205" s="22"/>
      <c r="Q205" s="22"/>
      <c r="R205" s="22"/>
      <c r="S205" s="22"/>
      <c r="T205" s="3"/>
      <c r="U205" s="22"/>
      <c r="V205" s="22"/>
      <c r="W205" s="22"/>
      <c r="X205" s="22"/>
      <c r="Y205" s="26"/>
      <c r="Z205" s="26"/>
      <c r="AA205" s="26"/>
      <c r="AB205" s="26"/>
      <c r="AC205" s="26"/>
      <c r="AD205" s="114"/>
      <c r="AE205" s="114"/>
      <c r="AF205" s="52"/>
      <c r="AG205" s="52"/>
      <c r="AH205" s="52"/>
      <c r="AI205" s="22"/>
      <c r="AJ205" s="22"/>
    </row>
    <row r="206" spans="2:36" x14ac:dyDescent="0.25">
      <c r="B206" s="28"/>
      <c r="C206" s="23"/>
      <c r="D206" s="22"/>
      <c r="E206" s="22"/>
      <c r="F206" s="24"/>
      <c r="G206" s="22"/>
      <c r="H206" s="22"/>
      <c r="I206" s="22"/>
      <c r="J206" s="22"/>
      <c r="K206" s="22"/>
      <c r="L206" s="24"/>
      <c r="M206" s="24"/>
      <c r="N206" s="25"/>
      <c r="O206" s="23"/>
      <c r="P206" s="22"/>
      <c r="Q206" s="22"/>
      <c r="R206" s="22"/>
      <c r="S206" s="22"/>
      <c r="T206" s="3"/>
      <c r="U206" s="22"/>
      <c r="V206" s="22"/>
      <c r="W206" s="22"/>
      <c r="X206" s="22"/>
      <c r="Y206" s="26"/>
      <c r="Z206" s="26"/>
      <c r="AA206" s="26"/>
      <c r="AB206" s="26"/>
      <c r="AC206" s="26"/>
      <c r="AD206" s="114"/>
      <c r="AE206" s="114"/>
      <c r="AF206" s="52"/>
      <c r="AG206" s="52"/>
      <c r="AH206" s="52"/>
      <c r="AI206" s="22"/>
      <c r="AJ206" s="22"/>
    </row>
    <row r="207" spans="2:36" x14ac:dyDescent="0.25">
      <c r="B207" s="28"/>
      <c r="C207" s="23"/>
      <c r="D207" s="22"/>
      <c r="E207" s="22"/>
      <c r="F207" s="24"/>
      <c r="G207" s="22"/>
      <c r="H207" s="22"/>
      <c r="I207" s="22"/>
      <c r="J207" s="22"/>
      <c r="K207" s="22"/>
      <c r="L207" s="24"/>
      <c r="M207" s="24"/>
      <c r="N207" s="25"/>
      <c r="O207" s="23"/>
      <c r="P207" s="22"/>
      <c r="Q207" s="22"/>
      <c r="R207" s="22"/>
      <c r="S207" s="22"/>
      <c r="T207" s="3"/>
      <c r="U207" s="22"/>
      <c r="V207" s="22"/>
      <c r="W207" s="22"/>
      <c r="X207" s="22"/>
      <c r="Y207" s="26"/>
      <c r="Z207" s="26"/>
      <c r="AA207" s="26"/>
      <c r="AB207" s="26"/>
      <c r="AC207" s="26"/>
      <c r="AD207" s="114"/>
      <c r="AE207" s="114"/>
      <c r="AF207" s="52"/>
      <c r="AG207" s="52"/>
      <c r="AH207" s="52"/>
      <c r="AI207" s="22"/>
      <c r="AJ207" s="22"/>
    </row>
    <row r="208" spans="2:36" x14ac:dyDescent="0.25">
      <c r="B208" s="28"/>
      <c r="C208" s="23"/>
      <c r="D208" s="22"/>
      <c r="E208" s="22"/>
      <c r="F208" s="24"/>
      <c r="G208" s="22"/>
      <c r="H208" s="22"/>
      <c r="I208" s="22"/>
      <c r="J208" s="22"/>
      <c r="K208" s="22"/>
      <c r="L208" s="24"/>
      <c r="M208" s="24"/>
      <c r="N208" s="25"/>
      <c r="O208" s="23"/>
      <c r="P208" s="22"/>
      <c r="Q208" s="22"/>
      <c r="R208" s="22"/>
      <c r="S208" s="22"/>
      <c r="T208" s="3"/>
      <c r="U208" s="22"/>
      <c r="V208" s="22"/>
      <c r="W208" s="22"/>
      <c r="X208" s="22"/>
      <c r="Y208" s="26"/>
      <c r="Z208" s="26"/>
      <c r="AA208" s="26"/>
      <c r="AB208" s="26"/>
      <c r="AC208" s="26"/>
      <c r="AD208" s="114"/>
      <c r="AE208" s="114"/>
      <c r="AF208" s="52"/>
      <c r="AG208" s="52"/>
      <c r="AH208" s="52"/>
      <c r="AI208" s="22"/>
      <c r="AJ208" s="22"/>
    </row>
    <row r="209" spans="2:36" x14ac:dyDescent="0.25">
      <c r="B209" s="28"/>
      <c r="C209" s="23"/>
      <c r="D209" s="22"/>
      <c r="E209" s="22"/>
      <c r="F209" s="24"/>
      <c r="G209" s="22"/>
      <c r="H209" s="22"/>
      <c r="I209" s="22"/>
      <c r="J209" s="22"/>
      <c r="K209" s="22"/>
      <c r="L209" s="24"/>
      <c r="M209" s="24"/>
      <c r="N209" s="25"/>
      <c r="O209" s="23"/>
      <c r="P209" s="22"/>
      <c r="Q209" s="22"/>
      <c r="R209" s="22"/>
      <c r="S209" s="22"/>
      <c r="T209" s="3"/>
      <c r="U209" s="22"/>
      <c r="V209" s="22"/>
      <c r="W209" s="22"/>
      <c r="X209" s="22"/>
      <c r="Y209" s="26"/>
      <c r="Z209" s="26"/>
      <c r="AA209" s="26"/>
      <c r="AB209" s="26"/>
      <c r="AC209" s="26"/>
      <c r="AD209" s="114"/>
      <c r="AE209" s="114"/>
      <c r="AF209" s="52"/>
      <c r="AG209" s="52"/>
      <c r="AH209" s="52"/>
      <c r="AI209" s="22"/>
      <c r="AJ209" s="22"/>
    </row>
    <row r="210" spans="2:36" x14ac:dyDescent="0.25">
      <c r="B210" s="28"/>
      <c r="C210" s="23"/>
      <c r="D210" s="22"/>
      <c r="E210" s="22"/>
      <c r="F210" s="24"/>
      <c r="G210" s="22"/>
      <c r="H210" s="22"/>
      <c r="I210" s="22"/>
      <c r="J210" s="22"/>
      <c r="K210" s="22"/>
      <c r="L210" s="24"/>
      <c r="M210" s="24"/>
      <c r="N210" s="25"/>
      <c r="O210" s="23"/>
      <c r="P210" s="22"/>
      <c r="Q210" s="22"/>
      <c r="R210" s="22"/>
      <c r="S210" s="22"/>
      <c r="T210" s="3"/>
      <c r="U210" s="22"/>
      <c r="V210" s="22"/>
      <c r="W210" s="22"/>
      <c r="X210" s="22"/>
      <c r="Y210" s="26"/>
      <c r="Z210" s="26"/>
      <c r="AA210" s="26"/>
      <c r="AB210" s="26"/>
      <c r="AC210" s="26"/>
      <c r="AD210" s="114"/>
      <c r="AE210" s="114"/>
      <c r="AF210" s="52"/>
      <c r="AG210" s="52"/>
      <c r="AH210" s="52"/>
      <c r="AI210" s="22"/>
      <c r="AJ210" s="22"/>
    </row>
    <row r="211" spans="2:36" x14ac:dyDescent="0.25">
      <c r="B211" s="28"/>
      <c r="C211" s="23"/>
      <c r="D211" s="22"/>
      <c r="E211" s="22"/>
      <c r="F211" s="24"/>
      <c r="G211" s="22"/>
      <c r="H211" s="22"/>
      <c r="I211" s="22"/>
      <c r="J211" s="22"/>
      <c r="K211" s="22"/>
      <c r="L211" s="24"/>
      <c r="M211" s="24"/>
      <c r="N211" s="25"/>
      <c r="O211" s="23"/>
      <c r="P211" s="22"/>
      <c r="Q211" s="22"/>
      <c r="R211" s="22"/>
      <c r="S211" s="22"/>
      <c r="T211" s="3"/>
      <c r="U211" s="22"/>
      <c r="V211" s="22"/>
      <c r="W211" s="22"/>
      <c r="X211" s="22"/>
      <c r="Y211" s="26"/>
      <c r="Z211" s="26"/>
      <c r="AA211" s="26"/>
      <c r="AB211" s="26"/>
      <c r="AC211" s="26"/>
      <c r="AD211" s="114"/>
      <c r="AE211" s="114"/>
      <c r="AF211" s="52"/>
      <c r="AG211" s="52"/>
      <c r="AH211" s="52"/>
      <c r="AI211" s="22"/>
      <c r="AJ211" s="22"/>
    </row>
    <row r="212" spans="2:36" x14ac:dyDescent="0.25">
      <c r="B212" s="28"/>
      <c r="C212" s="23"/>
      <c r="D212" s="22"/>
      <c r="E212" s="22"/>
      <c r="F212" s="24"/>
      <c r="G212" s="22"/>
      <c r="H212" s="22"/>
      <c r="I212" s="22"/>
      <c r="J212" s="22"/>
      <c r="K212" s="22"/>
      <c r="L212" s="24"/>
      <c r="M212" s="24"/>
      <c r="N212" s="25"/>
      <c r="O212" s="23"/>
      <c r="P212" s="22"/>
      <c r="Q212" s="22"/>
      <c r="R212" s="22"/>
      <c r="S212" s="22"/>
      <c r="T212" s="3"/>
      <c r="U212" s="22"/>
      <c r="V212" s="22"/>
      <c r="W212" s="22"/>
      <c r="X212" s="22"/>
      <c r="Y212" s="26"/>
      <c r="Z212" s="26"/>
      <c r="AA212" s="26"/>
      <c r="AB212" s="26"/>
      <c r="AC212" s="26"/>
      <c r="AD212" s="114"/>
      <c r="AE212" s="114"/>
      <c r="AF212" s="52"/>
      <c r="AG212" s="52"/>
      <c r="AH212" s="52"/>
      <c r="AI212" s="22"/>
      <c r="AJ212" s="22"/>
    </row>
    <row r="213" spans="2:36" x14ac:dyDescent="0.25">
      <c r="B213" s="28"/>
      <c r="C213" s="23"/>
      <c r="D213" s="22"/>
      <c r="E213" s="22"/>
      <c r="F213" s="24"/>
      <c r="G213" s="22"/>
      <c r="H213" s="22"/>
      <c r="I213" s="22"/>
      <c r="J213" s="22"/>
      <c r="K213" s="22"/>
      <c r="L213" s="24"/>
      <c r="M213" s="24"/>
      <c r="N213" s="25"/>
      <c r="O213" s="23"/>
      <c r="P213" s="22"/>
      <c r="Q213" s="22"/>
      <c r="R213" s="22"/>
      <c r="S213" s="22"/>
      <c r="T213" s="3"/>
      <c r="U213" s="22"/>
      <c r="V213" s="22"/>
      <c r="W213" s="22"/>
      <c r="X213" s="22"/>
      <c r="Y213" s="26"/>
      <c r="Z213" s="26"/>
      <c r="AA213" s="26"/>
      <c r="AB213" s="26"/>
      <c r="AC213" s="26"/>
      <c r="AD213" s="114"/>
      <c r="AE213" s="114"/>
      <c r="AF213" s="52"/>
      <c r="AG213" s="52"/>
      <c r="AH213" s="52"/>
      <c r="AI213" s="22"/>
      <c r="AJ213" s="22"/>
    </row>
    <row r="214" spans="2:36" x14ac:dyDescent="0.25">
      <c r="B214" s="28"/>
      <c r="C214" s="23"/>
      <c r="D214" s="22"/>
      <c r="E214" s="22"/>
      <c r="F214" s="24"/>
      <c r="G214" s="22"/>
      <c r="H214" s="22"/>
      <c r="I214" s="22"/>
      <c r="J214" s="22"/>
      <c r="K214" s="22"/>
      <c r="L214" s="24"/>
      <c r="M214" s="24"/>
      <c r="N214" s="25"/>
      <c r="O214" s="23"/>
      <c r="P214" s="22"/>
      <c r="Q214" s="22"/>
      <c r="R214" s="22"/>
      <c r="S214" s="22"/>
      <c r="T214" s="3"/>
      <c r="U214" s="22"/>
      <c r="V214" s="22"/>
      <c r="W214" s="22"/>
      <c r="X214" s="22"/>
      <c r="Y214" s="26"/>
      <c r="Z214" s="26"/>
      <c r="AA214" s="26"/>
      <c r="AB214" s="26"/>
      <c r="AC214" s="26"/>
      <c r="AD214" s="114"/>
      <c r="AE214" s="114"/>
      <c r="AF214" s="52"/>
      <c r="AG214" s="52"/>
      <c r="AH214" s="52"/>
      <c r="AI214" s="22"/>
      <c r="AJ214" s="22"/>
    </row>
    <row r="215" spans="2:36" x14ac:dyDescent="0.25">
      <c r="B215" s="28"/>
      <c r="C215" s="23"/>
      <c r="D215" s="22"/>
      <c r="E215" s="22"/>
      <c r="F215" s="24"/>
      <c r="G215" s="22"/>
      <c r="H215" s="22"/>
      <c r="I215" s="22"/>
      <c r="J215" s="22"/>
      <c r="K215" s="22"/>
      <c r="L215" s="24"/>
      <c r="M215" s="24"/>
      <c r="N215" s="25"/>
      <c r="O215" s="23"/>
      <c r="P215" s="22"/>
      <c r="Q215" s="22"/>
      <c r="R215" s="22"/>
      <c r="S215" s="22"/>
      <c r="T215" s="3"/>
      <c r="U215" s="22"/>
      <c r="V215" s="22"/>
      <c r="W215" s="22"/>
      <c r="X215" s="22"/>
      <c r="Y215" s="26"/>
      <c r="Z215" s="26"/>
      <c r="AA215" s="26"/>
      <c r="AB215" s="26"/>
      <c r="AC215" s="26"/>
      <c r="AD215" s="114"/>
      <c r="AE215" s="114"/>
      <c r="AF215" s="52"/>
      <c r="AG215" s="52"/>
      <c r="AH215" s="52"/>
      <c r="AI215" s="22"/>
      <c r="AJ215" s="22"/>
    </row>
    <row r="216" spans="2:36" x14ac:dyDescent="0.25">
      <c r="B216" s="28"/>
      <c r="C216" s="23"/>
      <c r="D216" s="22"/>
      <c r="E216" s="22"/>
      <c r="F216" s="24"/>
      <c r="G216" s="22"/>
      <c r="H216" s="22"/>
      <c r="I216" s="22"/>
      <c r="J216" s="22"/>
      <c r="K216" s="22"/>
      <c r="L216" s="24"/>
      <c r="M216" s="24"/>
      <c r="N216" s="25"/>
      <c r="O216" s="23"/>
      <c r="P216" s="22"/>
      <c r="Q216" s="22"/>
      <c r="R216" s="22"/>
      <c r="S216" s="22"/>
      <c r="T216" s="3"/>
      <c r="U216" s="22"/>
      <c r="V216" s="22"/>
      <c r="W216" s="22"/>
      <c r="X216" s="22"/>
      <c r="Y216" s="26"/>
      <c r="Z216" s="26"/>
      <c r="AA216" s="26"/>
      <c r="AB216" s="26"/>
      <c r="AC216" s="26"/>
      <c r="AD216" s="114"/>
      <c r="AE216" s="114"/>
      <c r="AF216" s="52"/>
      <c r="AG216" s="52"/>
      <c r="AH216" s="52"/>
      <c r="AI216" s="22"/>
      <c r="AJ216" s="22"/>
    </row>
    <row r="217" spans="2:36" x14ac:dyDescent="0.25">
      <c r="B217" s="22"/>
      <c r="C217" s="22"/>
      <c r="D217" s="22"/>
      <c r="E217" s="22"/>
      <c r="F217" s="24"/>
      <c r="G217" s="22"/>
      <c r="H217" s="22"/>
      <c r="I217" s="22"/>
      <c r="J217" s="22"/>
      <c r="K217" s="22"/>
      <c r="L217" s="22"/>
      <c r="M217" s="22"/>
      <c r="N217" s="25"/>
      <c r="O217" s="23"/>
      <c r="P217" s="22"/>
      <c r="Q217" s="22"/>
      <c r="R217" s="22"/>
      <c r="S217" s="22"/>
      <c r="T217" s="22"/>
      <c r="U217" s="22"/>
      <c r="V217" s="22"/>
      <c r="W217" s="22"/>
      <c r="X217" s="22"/>
      <c r="Y217" s="27"/>
      <c r="Z217" s="27"/>
      <c r="AA217" s="27"/>
      <c r="AB217" s="27"/>
      <c r="AC217" s="27"/>
      <c r="AD217" s="114"/>
      <c r="AE217" s="114"/>
      <c r="AF217" s="52"/>
      <c r="AG217" s="52"/>
      <c r="AH217" s="52"/>
      <c r="AI217" s="22"/>
      <c r="AJ217" s="22"/>
    </row>
    <row r="218" spans="2:36" x14ac:dyDescent="0.25">
      <c r="B218" s="22"/>
      <c r="C218" s="22"/>
      <c r="D218" s="22"/>
      <c r="E218" s="22"/>
      <c r="F218" s="24"/>
      <c r="G218" s="22"/>
      <c r="H218" s="22"/>
      <c r="I218" s="22"/>
      <c r="J218" s="22"/>
      <c r="K218" s="22"/>
      <c r="L218" s="22"/>
      <c r="M218" s="22"/>
      <c r="N218" s="25"/>
      <c r="O218" s="23"/>
      <c r="P218" s="22"/>
      <c r="Q218" s="22"/>
      <c r="R218" s="22"/>
      <c r="S218" s="22"/>
      <c r="T218" s="22"/>
      <c r="U218" s="22"/>
      <c r="V218" s="22"/>
      <c r="W218" s="22"/>
      <c r="X218" s="22"/>
      <c r="Y218" s="27"/>
      <c r="Z218" s="27"/>
      <c r="AA218" s="27"/>
      <c r="AB218" s="27"/>
      <c r="AC218" s="27"/>
      <c r="AD218" s="114"/>
      <c r="AE218" s="114"/>
      <c r="AF218" s="52"/>
      <c r="AG218" s="52"/>
      <c r="AH218" s="52"/>
      <c r="AI218" s="22"/>
      <c r="AJ218" s="22"/>
    </row>
    <row r="219" spans="2:36" x14ac:dyDescent="0.25">
      <c r="B219" s="5"/>
      <c r="C219" s="5"/>
      <c r="D219" s="5"/>
      <c r="E219" s="5"/>
      <c r="F219" s="5"/>
      <c r="G219" s="5"/>
      <c r="H219" s="5"/>
      <c r="I219" s="5"/>
      <c r="J219" s="5"/>
      <c r="K219" s="5"/>
      <c r="L219" s="5"/>
      <c r="M219" s="5"/>
      <c r="N219" s="5"/>
      <c r="O219" s="5"/>
      <c r="P219" s="5"/>
      <c r="Q219" s="5"/>
    </row>
  </sheetData>
  <customSheetViews>
    <customSheetView guid="{250915DF-0B97-45D7-B29D-7EED4C89C1C1}" scale="85">
      <selection activeCell="J2" sqref="J2:P32"/>
      <pageMargins left="0.7" right="0.7" top="0.75" bottom="0.75" header="0.3" footer="0.3"/>
    </customSheetView>
    <customSheetView guid="{D33AC7AF-C8AB-4CE9-94C7-9237011A5FC3}" scale="85">
      <selection activeCell="J2" sqref="J2:P32"/>
      <pageMargins left="0.7" right="0.7" top="0.75" bottom="0.75" header="0.3" footer="0.3"/>
    </customSheetView>
    <customSheetView guid="{336B6883-2145-4B58-921E-CEC7185A847E}" scale="70" showAutoFilter="1" topLeftCell="C119">
      <selection activeCell="I138" sqref="I138"/>
      <pageMargins left="0.7" right="0.7" top="0.75" bottom="0.75" header="0.3" footer="0.3"/>
      <autoFilter ref="P49:P219"/>
    </customSheetView>
    <customSheetView guid="{A2C66332-A809-458E-971B-FDB6D62C74C3}" scale="85">
      <selection activeCell="J2" sqref="J2:P32"/>
      <pageMargins left="0.7" right="0.7" top="0.75" bottom="0.75" header="0.3" footer="0.3"/>
    </customSheetView>
    <customSheetView guid="{7ECC2B8E-6A82-42F5-8AB0-4A51C54EA5EC}" scale="85">
      <selection activeCell="J2" sqref="J2:P32"/>
      <pageMargins left="0.7" right="0.7" top="0.75" bottom="0.75" header="0.3" footer="0.3"/>
    </customSheetView>
    <customSheetView guid="{72A6EB0A-84D5-4B8A-AC51-54CCD061630B}" scale="85" topLeftCell="A40">
      <selection activeCell="G55" sqref="G55"/>
      <pageMargins left="0.7" right="0.7" top="0.75" bottom="0.75" header="0.3" footer="0.3"/>
    </customSheetView>
    <customSheetView guid="{3B3E6719-EACB-4D2C-89C1-05FFAB6020FD}" scale="85">
      <selection activeCell="J2" sqref="J2:P32"/>
      <pageMargins left="0.7" right="0.7" top="0.75" bottom="0.75" header="0.3" footer="0.3"/>
    </customSheetView>
  </customSheetViews>
  <conditionalFormatting sqref="H15:H21 H4:H9">
    <cfRule type="cellIs" dxfId="101" priority="77" operator="equal">
      <formula>1</formula>
    </cfRule>
    <cfRule type="cellIs" dxfId="100" priority="78" operator="lessThan">
      <formula>1</formula>
    </cfRule>
  </conditionalFormatting>
  <conditionalFormatting sqref="AC183:AC218 AD50:AE220 AD33:AE47 W2:X32">
    <cfRule type="cellIs" dxfId="99" priority="75" operator="equal">
      <formula>"OK"</formula>
    </cfRule>
    <cfRule type="cellIs" dxfId="98" priority="76" operator="equal">
      <formula>"NG"</formula>
    </cfRule>
  </conditionalFormatting>
  <conditionalFormatting sqref="L183:M216">
    <cfRule type="cellIs" dxfId="97" priority="74" operator="equal">
      <formula>"PUT_VERSION"</formula>
    </cfRule>
  </conditionalFormatting>
  <conditionalFormatting sqref="D10">
    <cfRule type="expression" dxfId="96" priority="62">
      <formula>$D$10=SUM($D$4:$D$9)</formula>
    </cfRule>
  </conditionalFormatting>
  <conditionalFormatting sqref="E10">
    <cfRule type="expression" dxfId="95" priority="61">
      <formula>$E$10=SUM($E$4:$E$9)</formula>
    </cfRule>
  </conditionalFormatting>
  <conditionalFormatting sqref="F10">
    <cfRule type="expression" dxfId="94" priority="60">
      <formula>$F$10=SUM($F$4:$F$9)</formula>
    </cfRule>
  </conditionalFormatting>
  <conditionalFormatting sqref="D21">
    <cfRule type="expression" dxfId="93" priority="59">
      <formula>$D$21=SUM($D$15:$D$20)</formula>
    </cfRule>
  </conditionalFormatting>
  <conditionalFormatting sqref="E21">
    <cfRule type="expression" dxfId="92" priority="58">
      <formula>$E$21=SUM($E$15:$E$20)</formula>
    </cfRule>
  </conditionalFormatting>
  <conditionalFormatting sqref="H26">
    <cfRule type="cellIs" dxfId="91" priority="43" operator="equal">
      <formula>1</formula>
    </cfRule>
    <cfRule type="cellIs" dxfId="90" priority="44" operator="lessThan">
      <formula>1</formula>
    </cfRule>
  </conditionalFormatting>
  <conditionalFormatting sqref="H27">
    <cfRule type="cellIs" dxfId="89" priority="41" operator="equal">
      <formula>1</formula>
    </cfRule>
    <cfRule type="cellIs" dxfId="88" priority="42" operator="lessThan">
      <formula>1</formula>
    </cfRule>
  </conditionalFormatting>
  <conditionalFormatting sqref="H28">
    <cfRule type="cellIs" dxfId="87" priority="39" operator="equal">
      <formula>1</formula>
    </cfRule>
    <cfRule type="cellIs" dxfId="86" priority="40" operator="lessThan">
      <formula>1</formula>
    </cfRule>
  </conditionalFormatting>
  <conditionalFormatting sqref="H29:H31">
    <cfRule type="cellIs" dxfId="85" priority="37" operator="equal">
      <formula>1</formula>
    </cfRule>
    <cfRule type="cellIs" dxfId="84" priority="38" operator="lessThan">
      <formula>1</formula>
    </cfRule>
  </conditionalFormatting>
  <conditionalFormatting sqref="H32">
    <cfRule type="cellIs" dxfId="83" priority="35" operator="equal">
      <formula>1</formula>
    </cfRule>
    <cfRule type="cellIs" dxfId="82" priority="36" operator="lessThan">
      <formula>1</formula>
    </cfRule>
  </conditionalFormatting>
  <conditionalFormatting sqref="AC178:AC182">
    <cfRule type="cellIs" dxfId="81" priority="7" operator="equal">
      <formula>"OK"</formula>
    </cfRule>
    <cfRule type="cellIs" dxfId="80" priority="8" operator="equal">
      <formula>"NG"</formula>
    </cfRule>
  </conditionalFormatting>
  <conditionalFormatting sqref="L178:M182">
    <cfRule type="cellIs" dxfId="79" priority="6" operator="equal">
      <formula>"PUT_VERSION"</formula>
    </cfRule>
  </conditionalFormatting>
  <conditionalFormatting sqref="AC50:AC177">
    <cfRule type="cellIs" dxfId="78" priority="4" operator="equal">
      <formula>"OK"</formula>
    </cfRule>
    <cfRule type="cellIs" dxfId="77" priority="5" operator="equal">
      <formula>"NG"</formula>
    </cfRule>
  </conditionalFormatting>
  <conditionalFormatting sqref="L50:M177">
    <cfRule type="cellIs" dxfId="76" priority="3" operator="equal">
      <formula>"PUT_VERSION"</formula>
    </cfRule>
  </conditionalFormatting>
  <conditionalFormatting sqref="F21">
    <cfRule type="expression" dxfId="75" priority="84">
      <formula>$F$21=SUM($F$15:$F$20)</formula>
    </cfRule>
  </conditionalFormatting>
  <dataValidations count="2">
    <dataValidation type="list" allowBlank="1" showInputMessage="1" showErrorMessage="1" sqref="AC50:AC218">
      <formula1>"OK,NG"</formula1>
    </dataValidation>
    <dataValidation type="list" allowBlank="1" showInputMessage="1" showErrorMessage="1" sqref="R50:R218">
      <formula1>"Yes,No"</formula1>
    </dataValidation>
  </dataValidation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cellIs" priority="79" operator="greaterThanOrEqual" id="{1BB81BBE-AD47-4A89-A86F-F447FAEB83AC}">
            <xm:f>Table!$C$4</xm:f>
            <x14:dxf>
              <font>
                <color rgb="FF006100"/>
              </font>
              <fill>
                <patternFill>
                  <bgColor rgb="FFC6EFCE"/>
                </patternFill>
              </fill>
            </x14:dxf>
          </x14:cfRule>
          <x14:cfRule type="cellIs" priority="80" operator="lessThan" id="{DAEF0A6A-13B5-4AD7-B57B-990B7B7412A4}">
            <xm:f>Table!$C$4</xm:f>
            <x14:dxf>
              <font>
                <color rgb="FF9C0006"/>
              </font>
              <fill>
                <patternFill>
                  <bgColor rgb="FFFFC7CE"/>
                </patternFill>
              </fill>
            </x14:dxf>
          </x14:cfRule>
          <xm:sqref>G15:G21</xm:sqref>
        </x14:conditionalFormatting>
        <x14:conditionalFormatting xmlns:xm="http://schemas.microsoft.com/office/excel/2006/main">
          <x14:cfRule type="cellIs" priority="81" operator="greaterThanOrEqual" id="{5A921AA7-432D-4BF7-BB5C-D691D16A4C26}">
            <xm:f>Table!$D$4</xm:f>
            <x14:dxf>
              <font>
                <color rgb="FF006100"/>
              </font>
              <fill>
                <patternFill>
                  <bgColor rgb="FFC6EFCE"/>
                </patternFill>
              </fill>
            </x14:dxf>
          </x14:cfRule>
          <x14:cfRule type="cellIs" priority="82" operator="lessThan" id="{22BAC1B3-5E88-426C-B10F-EE4D9613E6FF}">
            <xm:f>Table!$D$4</xm:f>
            <x14:dxf>
              <font>
                <color rgb="FF9C0006"/>
              </font>
              <fill>
                <patternFill>
                  <bgColor rgb="FFFFC7CE"/>
                </patternFill>
              </fill>
            </x14:dxf>
          </x14:cfRule>
          <xm:sqref>G4:G9</xm:sqref>
        </x14:conditionalFormatting>
        <x14:conditionalFormatting xmlns:xm="http://schemas.microsoft.com/office/excel/2006/main">
          <x14:cfRule type="cellIs" priority="55" operator="greaterThanOrEqual" id="{12813673-7AC6-4514-A993-6854EBC98819}">
            <xm:f>Table!$D$4</xm:f>
            <x14:dxf>
              <font>
                <color rgb="FF006100"/>
              </font>
              <fill>
                <patternFill>
                  <bgColor rgb="FFC6EFCE"/>
                </patternFill>
              </fill>
            </x14:dxf>
          </x14:cfRule>
          <x14:cfRule type="cellIs" priority="56" operator="lessThan" id="{FFD1CB70-9125-4461-878F-20BC825A012B}">
            <xm:f>Table!$D$4</xm:f>
            <x14:dxf>
              <font>
                <color rgb="FF9C0006"/>
              </font>
              <fill>
                <patternFill>
                  <bgColor rgb="FFFFC7CE"/>
                </patternFill>
              </fill>
            </x14:dxf>
          </x14:cfRule>
          <xm:sqref>G10</xm:sqref>
        </x14:conditionalFormatting>
        <x14:conditionalFormatting xmlns:xm="http://schemas.microsoft.com/office/excel/2006/main">
          <x14:cfRule type="cellIs" priority="53" operator="greaterThanOrEqual" id="{22F77198-3191-4E6D-B3B8-A304844F6728}">
            <xm:f>Table!$D$4</xm:f>
            <x14:dxf>
              <font>
                <color rgb="FF006100"/>
              </font>
              <fill>
                <patternFill>
                  <bgColor rgb="FFC6EFCE"/>
                </patternFill>
              </fill>
            </x14:dxf>
          </x14:cfRule>
          <x14:cfRule type="cellIs" priority="54" operator="lessThan" id="{E80D3DD1-A054-4EAD-B284-21497AD5518B}">
            <xm:f>Table!$D$4</xm:f>
            <x14:dxf>
              <font>
                <color rgb="FF9C0006"/>
              </font>
              <fill>
                <patternFill>
                  <bgColor rgb="FFFFC7CE"/>
                </patternFill>
              </fill>
            </x14:dxf>
          </x14:cfRule>
          <xm:sqref>G32</xm:sqref>
        </x14:conditionalFormatting>
        <x14:conditionalFormatting xmlns:xm="http://schemas.microsoft.com/office/excel/2006/main">
          <x14:cfRule type="cellIs" priority="51" operator="greaterThanOrEqual" id="{AD9859FC-A279-4346-AE23-4B7075BEE5D6}">
            <xm:f>Table!$D$4</xm:f>
            <x14:dxf>
              <font>
                <color rgb="FF006100"/>
              </font>
              <fill>
                <patternFill>
                  <bgColor rgb="FFC6EFCE"/>
                </patternFill>
              </fill>
            </x14:dxf>
          </x14:cfRule>
          <x14:cfRule type="cellIs" priority="52" operator="lessThan" id="{2FA0BA96-EC36-4598-A4CF-6BB2E4867048}">
            <xm:f>Table!$D$4</xm:f>
            <x14:dxf>
              <font>
                <color rgb="FF9C0006"/>
              </font>
              <fill>
                <patternFill>
                  <bgColor rgb="FFFFC7CE"/>
                </patternFill>
              </fill>
            </x14:dxf>
          </x14:cfRule>
          <xm:sqref>G26</xm:sqref>
        </x14:conditionalFormatting>
        <x14:conditionalFormatting xmlns:xm="http://schemas.microsoft.com/office/excel/2006/main">
          <x14:cfRule type="cellIs" priority="49" operator="greaterThanOrEqual" id="{3B3C3688-BA10-4B16-8AA8-E4E39D9BB9A1}">
            <xm:f>Table!$D$4</xm:f>
            <x14:dxf>
              <font>
                <color rgb="FF006100"/>
              </font>
              <fill>
                <patternFill>
                  <bgColor rgb="FFC6EFCE"/>
                </patternFill>
              </fill>
            </x14:dxf>
          </x14:cfRule>
          <x14:cfRule type="cellIs" priority="50" operator="lessThan" id="{419BA3F6-0250-4A2E-8061-81B1FF6647F1}">
            <xm:f>Table!$D$4</xm:f>
            <x14:dxf>
              <font>
                <color rgb="FF9C0006"/>
              </font>
              <fill>
                <patternFill>
                  <bgColor rgb="FFFFC7CE"/>
                </patternFill>
              </fill>
            </x14:dxf>
          </x14:cfRule>
          <xm:sqref>G27</xm:sqref>
        </x14:conditionalFormatting>
        <x14:conditionalFormatting xmlns:xm="http://schemas.microsoft.com/office/excel/2006/main">
          <x14:cfRule type="cellIs" priority="47" operator="greaterThanOrEqual" id="{84F2B29D-9066-4F84-B5EF-4C52C7EC7834}">
            <xm:f>Table!$D$4</xm:f>
            <x14:dxf>
              <font>
                <color rgb="FF006100"/>
              </font>
              <fill>
                <patternFill>
                  <bgColor rgb="FFC6EFCE"/>
                </patternFill>
              </fill>
            </x14:dxf>
          </x14:cfRule>
          <x14:cfRule type="cellIs" priority="48" operator="lessThan" id="{6FCF4E02-B196-42D7-AFBD-0188FC660276}">
            <xm:f>Table!$D$4</xm:f>
            <x14:dxf>
              <font>
                <color rgb="FF9C0006"/>
              </font>
              <fill>
                <patternFill>
                  <bgColor rgb="FFFFC7CE"/>
                </patternFill>
              </fill>
            </x14:dxf>
          </x14:cfRule>
          <xm:sqref>G28</xm:sqref>
        </x14:conditionalFormatting>
        <x14:conditionalFormatting xmlns:xm="http://schemas.microsoft.com/office/excel/2006/main">
          <x14:cfRule type="cellIs" priority="45" operator="greaterThanOrEqual" id="{61C7D7A9-34BC-4E3A-BA91-6136C2667FE1}">
            <xm:f>Table!$D$4</xm:f>
            <x14:dxf>
              <font>
                <color rgb="FF006100"/>
              </font>
              <fill>
                <patternFill>
                  <bgColor rgb="FFC6EFCE"/>
                </patternFill>
              </fill>
            </x14:dxf>
          </x14:cfRule>
          <x14:cfRule type="cellIs" priority="46" operator="lessThan" id="{6F4C3DF9-ADAC-4398-B709-3108A2FD6E0E}">
            <xm:f>Table!$D$4</xm:f>
            <x14:dxf>
              <font>
                <color rgb="FF9C0006"/>
              </font>
              <fill>
                <patternFill>
                  <bgColor rgb="FFFFC7CE"/>
                </patternFill>
              </fill>
            </x14:dxf>
          </x14:cfRule>
          <xm:sqref>G29:G31</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14:formula1>
            <xm:f>Table!$C$13:$C$22</xm:f>
          </x14:formula1>
          <xm:sqref>P50:Q218</xm:sqref>
        </x14:dataValidation>
        <x14:dataValidation type="list" allowBlank="1" showInputMessage="1" showErrorMessage="1">
          <x14:formula1>
            <xm:f>Table!$C$8:$C$9</xm:f>
          </x14:formula1>
          <xm:sqref>D50:D218</xm:sqref>
        </x14:dataValidation>
        <x14:dataValidation type="list" allowBlank="1" showInputMessage="1" showErrorMessage="1">
          <x14:formula1>
            <xm:f>Table!$C$26:$C$32</xm:f>
          </x14:formula1>
          <xm:sqref>X50:X218</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0000"/>
  </sheetPr>
  <dimension ref="A1:AK119"/>
  <sheetViews>
    <sheetView zoomScaleNormal="100" workbookViewId="0">
      <selection activeCell="N19" sqref="N19"/>
    </sheetView>
  </sheetViews>
  <sheetFormatPr defaultRowHeight="15" x14ac:dyDescent="0.25"/>
  <cols>
    <col min="3" max="3" width="17" customWidth="1"/>
    <col min="5" max="5" width="9.140625" customWidth="1"/>
    <col min="11" max="11" width="20.28515625" customWidth="1"/>
    <col min="12" max="14" width="9.140625" customWidth="1"/>
    <col min="25" max="25" width="12.85546875" bestFit="1" customWidth="1"/>
    <col min="26" max="26" width="12" bestFit="1" customWidth="1"/>
    <col min="27" max="28" width="11.85546875" bestFit="1" customWidth="1"/>
    <col min="30" max="30" width="10" bestFit="1" customWidth="1"/>
    <col min="31" max="31" width="6.7109375" bestFit="1" customWidth="1"/>
  </cols>
  <sheetData>
    <row r="1" spans="1:17" x14ac:dyDescent="0.25">
      <c r="A1" s="1" t="s">
        <v>853</v>
      </c>
    </row>
    <row r="2" spans="1:17" x14ac:dyDescent="0.25">
      <c r="B2" s="1" t="s">
        <v>58</v>
      </c>
    </row>
    <row r="3" spans="1:17" x14ac:dyDescent="0.25">
      <c r="B3" s="2" t="s">
        <v>0</v>
      </c>
      <c r="C3" s="2" t="s">
        <v>8</v>
      </c>
      <c r="D3" s="2" t="s">
        <v>464</v>
      </c>
      <c r="E3" s="2" t="s">
        <v>59</v>
      </c>
      <c r="F3" s="2" t="s">
        <v>491</v>
      </c>
      <c r="G3" s="2" t="s">
        <v>23</v>
      </c>
      <c r="H3" s="4" t="s">
        <v>25</v>
      </c>
    </row>
    <row r="4" spans="1:17" x14ac:dyDescent="0.25">
      <c r="B4" s="3">
        <v>1</v>
      </c>
      <c r="C4" s="34" t="s">
        <v>6</v>
      </c>
      <c r="D4" s="73">
        <f>SUMIFS($T$38:$T$118,$D$38:$D$118,Table!$D$3,$P$38:$P$118,C4)</f>
        <v>225</v>
      </c>
      <c r="E4" s="73">
        <f>SUMIFS($T$38:$T$118,$D$38:$D$118,Table!$D$3,$P$38:$P$118,C4)-SUM(SUMIFS($T$38:$T$118,$D$38:$D$118,Table!$D$3,$P$38:$P$118,C4,$X$38:$X$118,{"Ongoing","N/A",""}))</f>
        <v>225</v>
      </c>
      <c r="F4" s="73">
        <f>1/8*(SUMIFS($W$38:$W$118,$D$38:$D$118,Table!$D$3,$P$38:$P$118,C4)-SUM(SUMIFS($W$38:$W$118,$D$38:$D$118,Table!$D$3,$P$38:$P$118,C4,$X$38:$X$118,{"Ongoing","N/A",""})))</f>
        <v>0.5</v>
      </c>
      <c r="G4" s="73">
        <f>IF(ISERROR(E4/(F4)),"N/A",E4/F4)</f>
        <v>450</v>
      </c>
      <c r="H4" s="74">
        <f>IF(ISERROR(E4/D4),"N/A",E4/D4)</f>
        <v>1</v>
      </c>
    </row>
    <row r="5" spans="1:17" x14ac:dyDescent="0.25">
      <c r="B5" s="3">
        <v>2</v>
      </c>
      <c r="C5" s="34" t="s">
        <v>70</v>
      </c>
      <c r="D5" s="73">
        <f>SUMIFS($T$38:$T$118,$D$38:$D$118,Table!$D$3,$P$38:$P$118,C5)</f>
        <v>0</v>
      </c>
      <c r="E5" s="73">
        <f>SUMIFS($T$38:$T$118,$D$38:$D$118,Table!$D$3,$P$38:$P$118,C5)-SUM(SUMIFS($T$38:$T$118,$D$38:$D$118,Table!$D$3,$P$38:$P$118,C5,$X$38:$X$118,{"Ongoing","N/A",""}))</f>
        <v>0</v>
      </c>
      <c r="F5" s="73">
        <f>1/8*(SUMIFS($W$38:$W$118,$D$38:$D$118,Table!$D$3,$P$38:$P$118,C5)-SUM(SUMIFS($W$38:$W$118,$D$38:$D$118,Table!$D$3,$P$38:$P$118,C5,$X$38:$X$118,{"Ongoing","N/A",""})))</f>
        <v>0</v>
      </c>
      <c r="G5" s="73" t="str">
        <f t="shared" ref="G5:G7" si="0">IF(ISERROR(E5/(F5)),"N/A",E5/F5)</f>
        <v>N/A</v>
      </c>
      <c r="H5" s="74" t="str">
        <f t="shared" ref="H5:H8" si="1">IF(ISERROR(E5/D5),"N/A",E5/D5)</f>
        <v>N/A</v>
      </c>
    </row>
    <row r="6" spans="1:17" x14ac:dyDescent="0.25">
      <c r="B6" s="3">
        <v>3</v>
      </c>
      <c r="C6" s="34" t="s">
        <v>71</v>
      </c>
      <c r="D6" s="73">
        <f>SUMIFS($T$38:$T$118,$D$38:$D$118,Table!$D$3,$P$38:$P$118,C6)</f>
        <v>495</v>
      </c>
      <c r="E6" s="73">
        <f>SUMIFS($T$38:$T$118,$D$38:$D$118,Table!$D$3,$P$38:$P$118,C6)-SUM(SUMIFS($T$38:$T$118,$D$38:$D$118,Table!$D$3,$P$38:$P$118,C6,$X$38:$X$118,{"Ongoing","N/A",""}))</f>
        <v>495</v>
      </c>
      <c r="F6" s="73">
        <f>1/8*(SUMIFS($W$38:$W$118,$D$38:$D$118,Table!$D$3,$P$38:$P$118,C6)-SUM(SUMIFS($W$38:$W$118,$D$38:$D$118,Table!$D$3,$P$38:$P$118,C6,$X$38:$X$118,{"Ongoing","N/A",""})))</f>
        <v>1</v>
      </c>
      <c r="G6" s="73">
        <f t="shared" si="0"/>
        <v>495</v>
      </c>
      <c r="H6" s="74">
        <f t="shared" si="1"/>
        <v>1</v>
      </c>
    </row>
    <row r="7" spans="1:17" x14ac:dyDescent="0.25">
      <c r="B7" s="3">
        <v>4</v>
      </c>
      <c r="C7" s="34" t="s">
        <v>72</v>
      </c>
      <c r="D7" s="73">
        <f>SUMIFS($T$38:$T$118,$D$38:$D$118,Table!$D$3,$P$38:$P$118,C7)</f>
        <v>0</v>
      </c>
      <c r="E7" s="73">
        <f>SUMIFS($T$38:$T$118,$D$38:$D$118,Table!$D$3,$P$38:$P$118,C7)-SUM(SUMIFS($T$38:$T$118,$D$38:$D$118,Table!$D$3,$P$38:$P$118,C7,$X$38:$X$118,{"Ongoing","N/A",""}))</f>
        <v>0</v>
      </c>
      <c r="F7" s="73">
        <f>1/8*(SUMIFS($W$38:$W$118,$D$38:$D$118,Table!$D$3,$P$38:$P$118,C7)-SUM(SUMIFS($W$38:$W$118,$D$38:$D$118,Table!$D$3,$P$38:$P$118,C7,$X$38:$X$118,{"Ongoing","N/A",""})))</f>
        <v>0</v>
      </c>
      <c r="G7" s="73" t="str">
        <f t="shared" si="0"/>
        <v>N/A</v>
      </c>
      <c r="H7" s="74" t="str">
        <f t="shared" si="1"/>
        <v>N/A</v>
      </c>
    </row>
    <row r="8" spans="1:17" x14ac:dyDescent="0.25">
      <c r="B8" s="2" t="s">
        <v>284</v>
      </c>
      <c r="C8" s="33"/>
      <c r="D8" s="75">
        <f>SUMIFS($T$38:$T$118,$D$38:$D$118,Table!$D$3)</f>
        <v>720</v>
      </c>
      <c r="E8" s="75">
        <f>SUMIFS($T$38:$T$118,$D$38:$D$118,Table!$D$3)-SUM(SUMIFS($T$38:$T$118,$D$38:$D$118,Table!$D$3,$X$38:$X$118,{"Ongoing","N/A",""}))</f>
        <v>720</v>
      </c>
      <c r="F8" s="75">
        <f>1/8*(SUMIFS($W$38:$W$118,$D$38:$D$118,Table!$D$3)-SUM(SUMIFS($W$38:$W$118,$D$38:$D$118,Table!$D$3,$X$38:$X$118,{"Ongoing","N/A",""})))</f>
        <v>1.5</v>
      </c>
      <c r="G8" s="73">
        <f>IF(ISERROR(E8/(F8)),"N/A",E8/F8)</f>
        <v>480</v>
      </c>
      <c r="H8" s="74">
        <f t="shared" si="1"/>
        <v>1</v>
      </c>
    </row>
    <row r="11" spans="1:17" x14ac:dyDescent="0.25">
      <c r="B11" s="1" t="s">
        <v>57</v>
      </c>
    </row>
    <row r="12" spans="1:17" x14ac:dyDescent="0.25">
      <c r="B12" s="2" t="s">
        <v>0</v>
      </c>
      <c r="C12" s="2" t="s">
        <v>8</v>
      </c>
      <c r="D12" s="2" t="s">
        <v>464</v>
      </c>
      <c r="E12" s="2" t="s">
        <v>59</v>
      </c>
      <c r="F12" s="2" t="s">
        <v>491</v>
      </c>
      <c r="G12" s="2" t="s">
        <v>23</v>
      </c>
      <c r="H12" s="4" t="s">
        <v>25</v>
      </c>
    </row>
    <row r="13" spans="1:17" x14ac:dyDescent="0.25">
      <c r="B13" s="3">
        <v>1</v>
      </c>
      <c r="C13" s="34" t="s">
        <v>6</v>
      </c>
      <c r="D13" s="73">
        <f>SUMIFS($T$38:$T$118,$D$38:$D$118,Table!$C$3,$P$38:$P$118,C13)</f>
        <v>1036.1840000000002</v>
      </c>
      <c r="E13" s="73">
        <f>SUMIFS($U$38:$U$118,$D$38:$D$118,Table!$C$3,$P$38:$P$118,C13)-SUM(SUMIFS($U$38:$U$118,$D$38:$D$118,Table!$C$3,$P$38:$P$118,C13,$X$38:$X$118,{"Ongoing","N/A",""}))</f>
        <v>1036.1840000000002</v>
      </c>
      <c r="F13" s="73">
        <f>1/8*(SUMIFS($W$38:$W$118,$D$38:$D$118,Table!$C$3,$P$38:$P$118,C13)-SUM(SUMIFS($W$38:$W$118,$D$38:$D$118,Table!$C$3,$P$38:$P$118,C13,$X$38:$X$118,{"Ongoing","N/A",""})))</f>
        <v>9.5</v>
      </c>
      <c r="G13" s="73">
        <f>IF(ISERROR(E13/(F13)),"N/A",E13/F13)</f>
        <v>109.07200000000002</v>
      </c>
      <c r="H13" s="74">
        <f>IF(ISERROR(E13/D13),"N/A",E13/D13)</f>
        <v>1</v>
      </c>
    </row>
    <row r="14" spans="1:17" x14ac:dyDescent="0.25">
      <c r="B14" s="3">
        <v>2</v>
      </c>
      <c r="C14" s="34" t="s">
        <v>70</v>
      </c>
      <c r="D14" s="73">
        <f>SUMIFS($T$38:$T$118,$D$38:$D$118,Table!$C$3,$P$38:$P$118,C14)</f>
        <v>1085.0970000000002</v>
      </c>
      <c r="E14" s="73">
        <f>SUMIFS($U$38:$U$118,$D$38:$D$118,Table!$C$3,$P$38:$P$118,C14)-SUM(SUMIFS($U$38:$U$118,$D$38:$D$118,Table!$C$3,$P$38:$P$118,C14,$X$38:$X$118,{"Ongoing","N/A",""}))</f>
        <v>1085.0970000000002</v>
      </c>
      <c r="F14" s="73">
        <f>1/8*(SUMIFS($W$38:$W$118,$D$38:$D$118,Table!$C$3,$P$38:$P$118,C14)-SUM(SUMIFS($W$38:$W$118,$D$38:$D$118,Table!$C$3,$P$38:$P$118,C14,$X$38:$X$118,{"Ongoing","N/A",""})))</f>
        <v>9.4250000000000007</v>
      </c>
      <c r="G14" s="73">
        <f t="shared" ref="G14:G17" si="2">IF(ISERROR(E14/(F14)),"N/A",E14/F14)</f>
        <v>115.12965517241381</v>
      </c>
      <c r="H14" s="74">
        <f t="shared" ref="H14:H17" si="3">IF(ISERROR(E14/D14),"N/A",E14/D14)</f>
        <v>1</v>
      </c>
    </row>
    <row r="15" spans="1:17" x14ac:dyDescent="0.25">
      <c r="B15" s="3">
        <v>3</v>
      </c>
      <c r="C15" s="34" t="s">
        <v>71</v>
      </c>
      <c r="D15" s="73">
        <f>SUMIFS($T$38:$T$118,$D$38:$D$118,Table!$C$3,$P$38:$P$118,C15)</f>
        <v>286</v>
      </c>
      <c r="E15" s="73">
        <f>SUMIFS($U$38:$U$118,$D$38:$D$118,Table!$C$3,$P$38:$P$118,C15)-SUM(SUMIFS($U$38:$U$118,$D$38:$D$118,Table!$C$3,$P$38:$P$118,C15,$X$38:$X$118,{"Ongoing","N/A",""}))</f>
        <v>286</v>
      </c>
      <c r="F15" s="73">
        <f>1/8*(SUMIFS($W$38:$W$118,$D$38:$D$118,Table!$C$3,$P$38:$P$118,C15)-SUM(SUMIFS($W$38:$W$118,$D$38:$D$118,Table!$C$3,$P$38:$P$118,C15,$X$38:$X$118,{"Ongoing","N/A",""})))</f>
        <v>2.75</v>
      </c>
      <c r="G15" s="73">
        <f t="shared" si="2"/>
        <v>104</v>
      </c>
      <c r="H15" s="74">
        <f t="shared" si="3"/>
        <v>1</v>
      </c>
      <c r="Q15" s="6"/>
    </row>
    <row r="16" spans="1:17" x14ac:dyDescent="0.25">
      <c r="B16" s="3">
        <v>4</v>
      </c>
      <c r="C16" s="34" t="s">
        <v>72</v>
      </c>
      <c r="D16" s="73">
        <f>SUMIFS($T$38:$T$118,$D$38:$D$118,Table!$C$3,$P$38:$P$118,C16)</f>
        <v>974.19099999999992</v>
      </c>
      <c r="E16" s="73">
        <f>SUMIFS($U$38:$U$118,$D$38:$D$118,Table!$C$3,$P$38:$P$118,C16)-SUM(SUMIFS($U$38:$U$118,$D$38:$D$118,Table!$C$3,$P$38:$P$118,C16,$X$38:$X$118,{"Ongoing","N/A",""}))</f>
        <v>974.19099999999992</v>
      </c>
      <c r="F16" s="73">
        <f>1/8*(SUMIFS($W$38:$W$118,$D$38:$D$118,Table!$C$3,$P$38:$P$118,C16)-SUM(SUMIFS($W$38:$W$118,$D$38:$D$118,Table!$C$3,$P$38:$P$118,C16,$X$38:$X$118,{"Ongoing","N/A",""})))</f>
        <v>10.125</v>
      </c>
      <c r="G16" s="73">
        <f t="shared" si="2"/>
        <v>96.216395061728392</v>
      </c>
      <c r="H16" s="74">
        <f t="shared" si="3"/>
        <v>1</v>
      </c>
      <c r="Q16" s="6"/>
    </row>
    <row r="17" spans="2:17" x14ac:dyDescent="0.25">
      <c r="B17" s="2" t="s">
        <v>284</v>
      </c>
      <c r="C17" s="33"/>
      <c r="D17" s="75">
        <f>ROUND(SUMIFS($T$38:$T$118,$D$38:$D$118,Table!$C$3),3)</f>
        <v>3381.4720000000002</v>
      </c>
      <c r="E17" s="75">
        <f>ROUND(SUMIFS($T$38:$T$118,$D$38:$D$118,Table!$C$3)-SUM(SUMIFS($T$38:$T$118,$D$38:$D$118,Table!$C$3,$X$38:$X$118,{"Ongoing","N/A",""})),3)</f>
        <v>3381.4720000000002</v>
      </c>
      <c r="F17" s="75">
        <f>1/8*(SUMIFS($W$38:$W$118,$D$38:$D$118,Table!$C$3)-SUM(SUMIFS($W$38:$W$118,$D$38:$D$118,Table!$C$3,$X$38:$X$118,{"Ongoing","N/A",""})))</f>
        <v>31.799999999999997</v>
      </c>
      <c r="G17" s="73">
        <f t="shared" si="2"/>
        <v>106.33559748427675</v>
      </c>
      <c r="H17" s="74">
        <f t="shared" si="3"/>
        <v>1</v>
      </c>
      <c r="Q17" s="6"/>
    </row>
    <row r="20" spans="2:17" x14ac:dyDescent="0.25">
      <c r="B20" s="1" t="s">
        <v>285</v>
      </c>
    </row>
    <row r="21" spans="2:17" x14ac:dyDescent="0.25">
      <c r="B21" s="2" t="s">
        <v>0</v>
      </c>
      <c r="C21" s="2" t="s">
        <v>8</v>
      </c>
      <c r="D21" s="2" t="s">
        <v>464</v>
      </c>
      <c r="E21" s="2" t="s">
        <v>59</v>
      </c>
      <c r="F21" s="2" t="s">
        <v>226</v>
      </c>
      <c r="G21" s="2" t="s">
        <v>23</v>
      </c>
      <c r="H21" s="4" t="s">
        <v>25</v>
      </c>
    </row>
    <row r="22" spans="2:17" x14ac:dyDescent="0.25">
      <c r="B22" s="3">
        <v>1</v>
      </c>
      <c r="C22" s="34" t="s">
        <v>6</v>
      </c>
      <c r="D22" s="73">
        <f>SUM(D13*Table!$D$4/Table!$C$4,D4)</f>
        <v>3811.7907692307699</v>
      </c>
      <c r="E22" s="73">
        <f>SUM(E13*Table!$D$4/Table!$C$4,E4)</f>
        <v>3811.7907692307699</v>
      </c>
      <c r="F22" s="73">
        <f ca="1">IF(OR(Monthly_20200320!E34="-",Monthly_20200320!E34=""),Monthly_20200320!$B$4,Monthly_20200320!$B$4-Monthly_20200320!E34)</f>
        <v>11</v>
      </c>
      <c r="G22" s="73">
        <f t="shared" ref="G22" ca="1" si="4">IF(ISERROR(E22/(F22)),"N/A",E22/F22)</f>
        <v>346.52643356643364</v>
      </c>
      <c r="H22" s="74">
        <f t="shared" ref="H22:H26" si="5">IF(ISERROR(E22/D22),"N/A",E22/D22)</f>
        <v>1</v>
      </c>
    </row>
    <row r="23" spans="2:17" x14ac:dyDescent="0.25">
      <c r="B23" s="3">
        <v>2</v>
      </c>
      <c r="C23" s="34" t="s">
        <v>70</v>
      </c>
      <c r="D23" s="73">
        <f>SUM(D14*Table!$D$4/Table!$C$4,D5)</f>
        <v>3756.1050000000005</v>
      </c>
      <c r="E23" s="73">
        <f>SUM(E14*Table!$D$4/Table!$C$4,E5)</f>
        <v>3756.1050000000005</v>
      </c>
      <c r="F23" s="73">
        <f ca="1">IF(OR(Monthly_20200320!E35="-",Monthly_20200320!E35=""),Monthly_20200320!$B$4,Monthly_20200320!$B$4-Monthly_20200320!E35)</f>
        <v>11</v>
      </c>
      <c r="G23" s="73">
        <f ca="1">IF(ISERROR(E23/(F23)),"N/A",E23/F23)</f>
        <v>341.46409090909094</v>
      </c>
      <c r="H23" s="74">
        <f t="shared" si="5"/>
        <v>1</v>
      </c>
    </row>
    <row r="24" spans="2:17" x14ac:dyDescent="0.25">
      <c r="B24" s="3">
        <v>3</v>
      </c>
      <c r="C24" s="34" t="s">
        <v>71</v>
      </c>
      <c r="D24" s="73">
        <f>SUM(D15*Table!$D$4/Table!$C$4,D6)</f>
        <v>1485</v>
      </c>
      <c r="E24" s="73">
        <f>SUM(E15*Table!$D$4/Table!$C$4,E6)</f>
        <v>1485</v>
      </c>
      <c r="F24" s="73">
        <f ca="1">IF(OR(Monthly_20200320!E36="-",Monthly_20200320!E36=""),Monthly_20200320!$B$4,Monthly_20200320!$B$4-Monthly_20200320!E36)+4</f>
        <v>5</v>
      </c>
      <c r="G24" s="73">
        <f t="shared" ref="G24" ca="1" si="6">IF(ISERROR(E24/(F24)),"N/A",E24/F24)</f>
        <v>297</v>
      </c>
      <c r="H24" s="74">
        <f t="shared" si="5"/>
        <v>1</v>
      </c>
    </row>
    <row r="25" spans="2:17" x14ac:dyDescent="0.25">
      <c r="B25" s="3">
        <v>4</v>
      </c>
      <c r="C25" s="34" t="s">
        <v>72</v>
      </c>
      <c r="D25" s="73">
        <f>SUM(D16*Table!$D$4/Table!$C$4,D7)</f>
        <v>3372.1996153846148</v>
      </c>
      <c r="E25" s="73">
        <f>SUM(E16*Table!$D$4/Table!$C$4,E7)</f>
        <v>3372.1996153846148</v>
      </c>
      <c r="F25" s="73">
        <f ca="1">IF(OR(Monthly_20200320!E37="-",Monthly_20200320!E37=""),Monthly_20200320!$B$4,Monthly_20200320!$B$4-Monthly_20200320!E37)</f>
        <v>11</v>
      </c>
      <c r="G25" s="73">
        <f ca="1">IF(ISERROR(E25/(F25)),"N/A",E25/F25)</f>
        <v>306.56360139860135</v>
      </c>
      <c r="H25" s="74">
        <f t="shared" si="5"/>
        <v>1</v>
      </c>
    </row>
    <row r="26" spans="2:17" x14ac:dyDescent="0.25">
      <c r="B26" s="2" t="s">
        <v>284</v>
      </c>
      <c r="C26" s="33"/>
      <c r="D26" s="73">
        <f>SUM(D22:D25)</f>
        <v>12425.095384615386</v>
      </c>
      <c r="E26" s="73">
        <f>SUM(E22:E25)</f>
        <v>12425.095384615386</v>
      </c>
      <c r="F26" s="73">
        <f ca="1">Monthly_20200320!B4*COUNTA(C22:C25)</f>
        <v>44</v>
      </c>
      <c r="G26" s="73">
        <f ca="1">IF(ISERROR(E26/(F26)),"N/A",E26/F26)</f>
        <v>282.38853146853148</v>
      </c>
      <c r="H26" s="74">
        <f t="shared" si="5"/>
        <v>1</v>
      </c>
    </row>
    <row r="29" spans="2:17" x14ac:dyDescent="0.25">
      <c r="B29" s="1" t="s">
        <v>45</v>
      </c>
    </row>
    <row r="30" spans="2:17" x14ac:dyDescent="0.25">
      <c r="C30" s="1" t="s">
        <v>47</v>
      </c>
    </row>
    <row r="31" spans="2:17" x14ac:dyDescent="0.25">
      <c r="D31" t="s">
        <v>46</v>
      </c>
    </row>
    <row r="32" spans="2:17" x14ac:dyDescent="0.25">
      <c r="D32" t="s">
        <v>214</v>
      </c>
    </row>
    <row r="33" spans="1:37" x14ac:dyDescent="0.25">
      <c r="C33" s="1" t="s">
        <v>48</v>
      </c>
    </row>
    <row r="34" spans="1:37" x14ac:dyDescent="0.25">
      <c r="D34" t="s">
        <v>49</v>
      </c>
    </row>
    <row r="35" spans="1:37" x14ac:dyDescent="0.25">
      <c r="D35" t="s">
        <v>50</v>
      </c>
    </row>
    <row r="37" spans="1:37" x14ac:dyDescent="0.25">
      <c r="B37" s="2" t="s">
        <v>0</v>
      </c>
      <c r="C37" s="2" t="s">
        <v>69</v>
      </c>
      <c r="D37" s="2" t="s">
        <v>1</v>
      </c>
      <c r="E37" s="2" t="s">
        <v>62</v>
      </c>
      <c r="F37" s="2" t="s">
        <v>63</v>
      </c>
      <c r="G37" s="2" t="s">
        <v>288</v>
      </c>
      <c r="H37" s="2" t="s">
        <v>64</v>
      </c>
      <c r="I37" s="2" t="s">
        <v>287</v>
      </c>
      <c r="J37" s="2" t="s">
        <v>78</v>
      </c>
      <c r="K37" s="2" t="s">
        <v>77</v>
      </c>
      <c r="L37" s="2" t="s">
        <v>68</v>
      </c>
      <c r="M37" s="2" t="s">
        <v>86</v>
      </c>
      <c r="N37" s="16" t="s">
        <v>61</v>
      </c>
      <c r="O37" s="4" t="s">
        <v>7</v>
      </c>
      <c r="P37" s="4" t="s">
        <v>8</v>
      </c>
      <c r="Q37" s="4" t="s">
        <v>84</v>
      </c>
      <c r="R37" s="4" t="s">
        <v>98</v>
      </c>
      <c r="S37" s="4" t="s">
        <v>81</v>
      </c>
      <c r="T37" s="4" t="s">
        <v>82</v>
      </c>
      <c r="U37" s="4" t="s">
        <v>59</v>
      </c>
      <c r="V37" s="4" t="s">
        <v>85</v>
      </c>
      <c r="W37" s="4" t="s">
        <v>60</v>
      </c>
      <c r="X37" s="4" t="s">
        <v>18</v>
      </c>
      <c r="Y37" s="4" t="s">
        <v>65</v>
      </c>
      <c r="Z37" s="4" t="s">
        <v>66</v>
      </c>
      <c r="AA37" s="2" t="s">
        <v>12</v>
      </c>
      <c r="AB37" s="2" t="s">
        <v>13</v>
      </c>
      <c r="AC37" s="2" t="s">
        <v>83</v>
      </c>
      <c r="AD37" s="2" t="s">
        <v>851</v>
      </c>
      <c r="AE37" s="2" t="s">
        <v>852</v>
      </c>
      <c r="AF37" s="2" t="s">
        <v>14</v>
      </c>
      <c r="AG37" s="2" t="s">
        <v>15</v>
      </c>
      <c r="AH37" s="4" t="s">
        <v>16</v>
      </c>
      <c r="AI37" s="4" t="s">
        <v>17</v>
      </c>
      <c r="AJ37" s="4" t="s">
        <v>87</v>
      </c>
    </row>
    <row r="38" spans="1:37" x14ac:dyDescent="0.25">
      <c r="B38" s="44">
        <v>1</v>
      </c>
      <c r="C38" s="23">
        <v>20200305</v>
      </c>
      <c r="D38" s="22" t="s">
        <v>2</v>
      </c>
      <c r="E38" s="22" t="s">
        <v>159</v>
      </c>
      <c r="F38" s="24" t="s">
        <v>67</v>
      </c>
      <c r="G38" s="22" t="s">
        <v>121</v>
      </c>
      <c r="H38" s="22" t="s">
        <v>161</v>
      </c>
      <c r="I38" s="22" t="s">
        <v>67</v>
      </c>
      <c r="J38" s="24" t="s">
        <v>67</v>
      </c>
      <c r="K38" s="22" t="s">
        <v>160</v>
      </c>
      <c r="L38" s="24" t="s">
        <v>100</v>
      </c>
      <c r="M38" s="24" t="s">
        <v>474</v>
      </c>
      <c r="N38" s="25" t="s">
        <v>501</v>
      </c>
      <c r="O38" s="23" t="s">
        <v>199</v>
      </c>
      <c r="P38" s="22" t="s">
        <v>6</v>
      </c>
      <c r="Q38" s="22"/>
      <c r="R38" s="22"/>
      <c r="S38" s="22">
        <v>38</v>
      </c>
      <c r="T38" s="22">
        <f>ROUND(IF(D38=Table!$C$3,V38*Table!$C$4/8,V38*Table!$D$4/8),3)</f>
        <v>37.293999999999997</v>
      </c>
      <c r="U38" s="22">
        <f>T38</f>
        <v>37.293999999999997</v>
      </c>
      <c r="V38" s="22">
        <v>2.2949999999999999</v>
      </c>
      <c r="W38" s="22">
        <v>2</v>
      </c>
      <c r="X38" s="22" t="s">
        <v>80</v>
      </c>
      <c r="Y38" s="26">
        <v>43896</v>
      </c>
      <c r="Z38" s="26">
        <v>43901</v>
      </c>
      <c r="AA38" s="26">
        <v>43896</v>
      </c>
      <c r="AB38" s="26">
        <v>43896</v>
      </c>
      <c r="AC38" s="28" t="s">
        <v>201</v>
      </c>
      <c r="AD38" s="28"/>
      <c r="AE38" s="28"/>
      <c r="AF38" s="54">
        <v>1</v>
      </c>
      <c r="AG38" s="54">
        <v>1</v>
      </c>
      <c r="AH38" s="54">
        <v>1</v>
      </c>
      <c r="AI38" s="22"/>
      <c r="AJ38" s="22"/>
      <c r="AK38" s="22"/>
    </row>
    <row r="39" spans="1:37" x14ac:dyDescent="0.25">
      <c r="A39" s="18"/>
      <c r="B39" s="44">
        <v>2</v>
      </c>
      <c r="C39" s="20">
        <v>20200305</v>
      </c>
      <c r="D39" s="28" t="s">
        <v>2</v>
      </c>
      <c r="E39" s="28" t="s">
        <v>159</v>
      </c>
      <c r="F39" s="24" t="s">
        <v>67</v>
      </c>
      <c r="G39" s="22" t="s">
        <v>122</v>
      </c>
      <c r="H39" s="22" t="s">
        <v>162</v>
      </c>
      <c r="I39" s="22" t="s">
        <v>67</v>
      </c>
      <c r="J39" s="22" t="s">
        <v>67</v>
      </c>
      <c r="K39" s="22" t="s">
        <v>160</v>
      </c>
      <c r="L39" s="24" t="s">
        <v>101</v>
      </c>
      <c r="M39" s="24" t="s">
        <v>474</v>
      </c>
      <c r="N39" s="25" t="s">
        <v>502</v>
      </c>
      <c r="O39" s="23" t="s">
        <v>199</v>
      </c>
      <c r="P39" s="28" t="s">
        <v>6</v>
      </c>
      <c r="Q39" s="28"/>
      <c r="R39" s="22"/>
      <c r="S39" s="22">
        <v>26</v>
      </c>
      <c r="T39" s="22">
        <f>ROUND(IF(D39=Table!$C$3,V39*Table!$C$4/8,V39*Table!$D$4/8),3)</f>
        <v>20.719000000000001</v>
      </c>
      <c r="U39" s="22">
        <f t="shared" ref="U39:U102" si="7">T39</f>
        <v>20.719000000000001</v>
      </c>
      <c r="V39" s="22">
        <v>1.2749999999999999</v>
      </c>
      <c r="W39" s="22">
        <v>1</v>
      </c>
      <c r="X39" s="22" t="s">
        <v>80</v>
      </c>
      <c r="Y39" s="26">
        <v>43896</v>
      </c>
      <c r="Z39" s="26">
        <v>43901</v>
      </c>
      <c r="AA39" s="26">
        <v>43896</v>
      </c>
      <c r="AB39" s="26">
        <v>43899</v>
      </c>
      <c r="AC39" s="28" t="s">
        <v>201</v>
      </c>
      <c r="AD39" s="28"/>
      <c r="AE39" s="28"/>
      <c r="AF39" s="54">
        <v>1</v>
      </c>
      <c r="AG39" s="54">
        <v>1</v>
      </c>
      <c r="AH39" s="54" t="s">
        <v>216</v>
      </c>
      <c r="AI39" s="22"/>
      <c r="AJ39" s="22"/>
      <c r="AK39" s="22"/>
    </row>
    <row r="40" spans="1:37" x14ac:dyDescent="0.25">
      <c r="B40" s="44">
        <v>3</v>
      </c>
      <c r="C40" s="23">
        <v>20200305</v>
      </c>
      <c r="D40" s="22" t="s">
        <v>2</v>
      </c>
      <c r="E40" s="22" t="s">
        <v>159</v>
      </c>
      <c r="F40" s="24" t="s">
        <v>67</v>
      </c>
      <c r="G40" s="22" t="s">
        <v>123</v>
      </c>
      <c r="H40" s="22" t="s">
        <v>163</v>
      </c>
      <c r="I40" s="22" t="s">
        <v>67</v>
      </c>
      <c r="J40" s="22" t="s">
        <v>67</v>
      </c>
      <c r="K40" s="22" t="s">
        <v>160</v>
      </c>
      <c r="L40" s="24" t="s">
        <v>102</v>
      </c>
      <c r="M40" s="24" t="s">
        <v>474</v>
      </c>
      <c r="N40" s="25" t="s">
        <v>503</v>
      </c>
      <c r="O40" s="23" t="s">
        <v>199</v>
      </c>
      <c r="P40" s="22" t="s">
        <v>6</v>
      </c>
      <c r="Q40" s="22"/>
      <c r="R40" s="22"/>
      <c r="S40" s="22">
        <v>35</v>
      </c>
      <c r="T40" s="22">
        <f>ROUND(IF(D40=Table!$C$3,V40*Table!$C$4/8,V40*Table!$D$4/8),3)</f>
        <v>26.244</v>
      </c>
      <c r="U40" s="22">
        <f t="shared" si="7"/>
        <v>26.244</v>
      </c>
      <c r="V40" s="22">
        <v>1.615</v>
      </c>
      <c r="W40" s="22">
        <v>1</v>
      </c>
      <c r="X40" s="22" t="s">
        <v>80</v>
      </c>
      <c r="Y40" s="26">
        <v>43896</v>
      </c>
      <c r="Z40" s="26">
        <v>43901</v>
      </c>
      <c r="AA40" s="26">
        <v>43896</v>
      </c>
      <c r="AB40" s="26">
        <v>43899</v>
      </c>
      <c r="AC40" s="28" t="s">
        <v>201</v>
      </c>
      <c r="AD40" s="28"/>
      <c r="AE40" s="28"/>
      <c r="AF40" s="54">
        <v>1</v>
      </c>
      <c r="AG40" s="54">
        <v>1</v>
      </c>
      <c r="AH40" s="54">
        <v>1</v>
      </c>
      <c r="AI40" s="22"/>
      <c r="AJ40" s="22"/>
      <c r="AK40" s="22"/>
    </row>
    <row r="41" spans="1:37" x14ac:dyDescent="0.25">
      <c r="B41" s="44">
        <v>4</v>
      </c>
      <c r="C41" s="23">
        <v>20200305</v>
      </c>
      <c r="D41" s="22" t="s">
        <v>2</v>
      </c>
      <c r="E41" s="22" t="s">
        <v>159</v>
      </c>
      <c r="F41" s="24" t="s">
        <v>67</v>
      </c>
      <c r="G41" s="22" t="s">
        <v>124</v>
      </c>
      <c r="H41" s="22" t="s">
        <v>164</v>
      </c>
      <c r="I41" s="22" t="s">
        <v>67</v>
      </c>
      <c r="J41" s="22" t="s">
        <v>67</v>
      </c>
      <c r="K41" s="22" t="s">
        <v>160</v>
      </c>
      <c r="L41" s="24" t="s">
        <v>103</v>
      </c>
      <c r="M41" s="24" t="s">
        <v>474</v>
      </c>
      <c r="N41" s="25" t="s">
        <v>504</v>
      </c>
      <c r="O41" s="23" t="s">
        <v>199</v>
      </c>
      <c r="P41" s="22" t="s">
        <v>6</v>
      </c>
      <c r="Q41" s="22"/>
      <c r="R41" s="22"/>
      <c r="S41" s="22">
        <v>55</v>
      </c>
      <c r="T41" s="22">
        <f>ROUND(IF(D41=Table!$C$3,V41*Table!$C$4/8,V41*Table!$D$4/8),3)</f>
        <v>37.293999999999997</v>
      </c>
      <c r="U41" s="22">
        <f t="shared" si="7"/>
        <v>37.293999999999997</v>
      </c>
      <c r="V41" s="22">
        <v>2.2949999999999999</v>
      </c>
      <c r="W41" s="22">
        <v>3</v>
      </c>
      <c r="X41" s="22" t="s">
        <v>80</v>
      </c>
      <c r="Y41" s="26">
        <v>43896</v>
      </c>
      <c r="Z41" s="26">
        <v>43901</v>
      </c>
      <c r="AA41" s="26">
        <v>43896</v>
      </c>
      <c r="AB41" s="26">
        <v>43901</v>
      </c>
      <c r="AC41" s="28" t="s">
        <v>201</v>
      </c>
      <c r="AD41" s="28"/>
      <c r="AE41" s="28"/>
      <c r="AF41" s="54">
        <v>1</v>
      </c>
      <c r="AG41" s="54">
        <v>1</v>
      </c>
      <c r="AH41" s="54">
        <v>1</v>
      </c>
      <c r="AI41" s="22"/>
      <c r="AJ41" s="22"/>
      <c r="AK41" s="30"/>
    </row>
    <row r="42" spans="1:37" x14ac:dyDescent="0.25">
      <c r="B42" s="44">
        <v>5</v>
      </c>
      <c r="C42" s="23">
        <v>20200305</v>
      </c>
      <c r="D42" s="22" t="s">
        <v>2</v>
      </c>
      <c r="E42" s="22" t="s">
        <v>159</v>
      </c>
      <c r="F42" s="24" t="s">
        <v>67</v>
      </c>
      <c r="G42" s="22" t="s">
        <v>125</v>
      </c>
      <c r="H42" s="22" t="s">
        <v>165</v>
      </c>
      <c r="I42" s="22" t="s">
        <v>67</v>
      </c>
      <c r="J42" s="22" t="s">
        <v>67</v>
      </c>
      <c r="K42" s="22" t="s">
        <v>160</v>
      </c>
      <c r="L42" s="24" t="s">
        <v>104</v>
      </c>
      <c r="M42" s="24" t="s">
        <v>474</v>
      </c>
      <c r="N42" s="25" t="s">
        <v>505</v>
      </c>
      <c r="O42" s="23" t="s">
        <v>199</v>
      </c>
      <c r="P42" s="22" t="s">
        <v>6</v>
      </c>
      <c r="Q42" s="22"/>
      <c r="R42" s="22"/>
      <c r="S42" s="22">
        <v>150</v>
      </c>
      <c r="T42" s="22">
        <f>ROUND(IF(D42=Table!$C$3,V42*Table!$C$4/8,V42*Table!$D$4/8),3)</f>
        <v>125.694</v>
      </c>
      <c r="U42" s="22">
        <f t="shared" si="7"/>
        <v>125.694</v>
      </c>
      <c r="V42" s="22">
        <v>7.7349999999999994</v>
      </c>
      <c r="W42" s="22">
        <v>8</v>
      </c>
      <c r="X42" s="22" t="s">
        <v>80</v>
      </c>
      <c r="Y42" s="26">
        <v>43896</v>
      </c>
      <c r="Z42" s="26">
        <v>43901</v>
      </c>
      <c r="AA42" s="26">
        <v>43896</v>
      </c>
      <c r="AB42" s="26">
        <v>43900</v>
      </c>
      <c r="AC42" s="28" t="s">
        <v>201</v>
      </c>
      <c r="AD42" s="28"/>
      <c r="AE42" s="28"/>
      <c r="AF42" s="54">
        <v>0.96599999999999997</v>
      </c>
      <c r="AG42" s="54">
        <v>0.96699999999999997</v>
      </c>
      <c r="AH42" s="55">
        <v>1</v>
      </c>
      <c r="AI42" s="22" t="s">
        <v>215</v>
      </c>
      <c r="AJ42" s="22"/>
      <c r="AK42" s="22"/>
    </row>
    <row r="43" spans="1:37" x14ac:dyDescent="0.25">
      <c r="B43" s="44">
        <v>6</v>
      </c>
      <c r="C43" s="23">
        <v>20200305</v>
      </c>
      <c r="D43" s="22" t="s">
        <v>2</v>
      </c>
      <c r="E43" s="22" t="s">
        <v>159</v>
      </c>
      <c r="F43" s="24" t="s">
        <v>67</v>
      </c>
      <c r="G43" s="22" t="s">
        <v>126</v>
      </c>
      <c r="H43" s="22" t="s">
        <v>166</v>
      </c>
      <c r="I43" s="22" t="s">
        <v>67</v>
      </c>
      <c r="J43" s="22" t="s">
        <v>67</v>
      </c>
      <c r="K43" s="22" t="s">
        <v>160</v>
      </c>
      <c r="L43" s="24" t="s">
        <v>105</v>
      </c>
      <c r="M43" s="24" t="s">
        <v>474</v>
      </c>
      <c r="N43" s="25" t="s">
        <v>506</v>
      </c>
      <c r="O43" s="23" t="s">
        <v>199</v>
      </c>
      <c r="P43" s="22" t="s">
        <v>6</v>
      </c>
      <c r="Q43" s="22"/>
      <c r="R43" s="22"/>
      <c r="S43" s="22">
        <v>195</v>
      </c>
      <c r="T43" s="22">
        <f>ROUND(IF(D43=Table!$C$3,V43*Table!$C$4/8,V43*Table!$D$4/8),3)</f>
        <v>169.89400000000001</v>
      </c>
      <c r="U43" s="22">
        <f t="shared" si="7"/>
        <v>169.89400000000001</v>
      </c>
      <c r="V43" s="22">
        <v>10.455</v>
      </c>
      <c r="W43" s="22">
        <v>11</v>
      </c>
      <c r="X43" s="22" t="s">
        <v>80</v>
      </c>
      <c r="Y43" s="26">
        <v>43896</v>
      </c>
      <c r="Z43" s="26">
        <v>43901</v>
      </c>
      <c r="AA43" s="26">
        <v>43902</v>
      </c>
      <c r="AB43" s="26">
        <v>43903</v>
      </c>
      <c r="AC43" s="28" t="s">
        <v>202</v>
      </c>
      <c r="AD43" s="28"/>
      <c r="AE43" s="28"/>
      <c r="AF43" s="54">
        <v>0.95099999999999996</v>
      </c>
      <c r="AG43" s="54">
        <v>0.94900000000000007</v>
      </c>
      <c r="AH43" s="54">
        <v>0.90400000000000003</v>
      </c>
      <c r="AI43" s="22" t="s">
        <v>475</v>
      </c>
      <c r="AJ43" s="22"/>
      <c r="AK43" s="22"/>
    </row>
    <row r="44" spans="1:37" x14ac:dyDescent="0.25">
      <c r="A44" s="18"/>
      <c r="B44" s="44">
        <v>7</v>
      </c>
      <c r="C44" s="23">
        <v>20200305</v>
      </c>
      <c r="D44" s="29" t="s">
        <v>2</v>
      </c>
      <c r="E44" s="29" t="s">
        <v>159</v>
      </c>
      <c r="F44" s="24" t="s">
        <v>67</v>
      </c>
      <c r="G44" s="22" t="s">
        <v>127</v>
      </c>
      <c r="H44" s="22" t="s">
        <v>167</v>
      </c>
      <c r="I44" s="22" t="s">
        <v>67</v>
      </c>
      <c r="J44" s="22" t="s">
        <v>67</v>
      </c>
      <c r="K44" s="22" t="s">
        <v>160</v>
      </c>
      <c r="L44" s="24" t="s">
        <v>106</v>
      </c>
      <c r="M44" s="24" t="s">
        <v>474</v>
      </c>
      <c r="N44" s="25" t="s">
        <v>507</v>
      </c>
      <c r="O44" s="23" t="s">
        <v>199</v>
      </c>
      <c r="P44" s="20" t="s">
        <v>6</v>
      </c>
      <c r="Q44" s="20"/>
      <c r="R44" s="22"/>
      <c r="S44" s="22">
        <v>99</v>
      </c>
      <c r="T44" s="22">
        <f>ROUND(IF(D44=Table!$C$3,V44*Table!$C$4/8,V44*Table!$D$4/8),3)</f>
        <v>59.393999999999998</v>
      </c>
      <c r="U44" s="22">
        <f t="shared" si="7"/>
        <v>59.393999999999998</v>
      </c>
      <c r="V44" s="22">
        <v>3.6549999999999998</v>
      </c>
      <c r="W44" s="22">
        <v>2</v>
      </c>
      <c r="X44" s="22" t="s">
        <v>80</v>
      </c>
      <c r="Y44" s="26">
        <v>43896</v>
      </c>
      <c r="Z44" s="26">
        <v>43901</v>
      </c>
      <c r="AA44" s="26">
        <v>43903</v>
      </c>
      <c r="AB44" s="26">
        <v>43903</v>
      </c>
      <c r="AC44" s="28" t="s">
        <v>201</v>
      </c>
      <c r="AD44" s="28"/>
      <c r="AE44" s="28"/>
      <c r="AF44" s="54">
        <v>1</v>
      </c>
      <c r="AG44" s="54">
        <v>1</v>
      </c>
      <c r="AH44" s="54">
        <v>1</v>
      </c>
      <c r="AI44" s="22"/>
      <c r="AJ44" s="22"/>
      <c r="AK44" s="22"/>
    </row>
    <row r="45" spans="1:37" x14ac:dyDescent="0.25">
      <c r="B45" s="44">
        <v>8</v>
      </c>
      <c r="C45" s="23">
        <v>20200305</v>
      </c>
      <c r="D45" s="21" t="s">
        <v>2</v>
      </c>
      <c r="E45" s="21" t="s">
        <v>159</v>
      </c>
      <c r="F45" s="24" t="s">
        <v>67</v>
      </c>
      <c r="G45" s="22" t="s">
        <v>128</v>
      </c>
      <c r="H45" s="22" t="s">
        <v>168</v>
      </c>
      <c r="I45" s="22" t="s">
        <v>67</v>
      </c>
      <c r="J45" s="22" t="s">
        <v>67</v>
      </c>
      <c r="K45" s="22" t="s">
        <v>160</v>
      </c>
      <c r="L45" s="24" t="s">
        <v>107</v>
      </c>
      <c r="M45" s="24" t="s">
        <v>474</v>
      </c>
      <c r="N45" s="25" t="s">
        <v>508</v>
      </c>
      <c r="O45" s="23" t="s">
        <v>199</v>
      </c>
      <c r="P45" s="21" t="s">
        <v>6</v>
      </c>
      <c r="Q45" s="21"/>
      <c r="R45" s="22"/>
      <c r="S45" s="22">
        <v>49</v>
      </c>
      <c r="T45" s="22">
        <f>ROUND(IF(D45=Table!$C$3,V45*Table!$C$4/8,V45*Table!$D$4/8),3)</f>
        <v>42.819000000000003</v>
      </c>
      <c r="U45" s="22">
        <f t="shared" si="7"/>
        <v>42.819000000000003</v>
      </c>
      <c r="V45" s="22">
        <v>2.6349999999999998</v>
      </c>
      <c r="W45" s="22">
        <v>3</v>
      </c>
      <c r="X45" s="22" t="s">
        <v>80</v>
      </c>
      <c r="Y45" s="26">
        <v>43896</v>
      </c>
      <c r="Z45" s="26">
        <v>43901</v>
      </c>
      <c r="AA45" s="26">
        <v>43901</v>
      </c>
      <c r="AB45" s="26">
        <v>43901</v>
      </c>
      <c r="AC45" s="28" t="s">
        <v>201</v>
      </c>
      <c r="AD45" s="28"/>
      <c r="AE45" s="28"/>
      <c r="AF45" s="54">
        <v>1</v>
      </c>
      <c r="AG45" s="54">
        <v>1</v>
      </c>
      <c r="AH45" s="54">
        <v>1</v>
      </c>
      <c r="AI45" s="22"/>
      <c r="AJ45" s="22"/>
      <c r="AK45" s="22"/>
    </row>
    <row r="46" spans="1:37" x14ac:dyDescent="0.25">
      <c r="A46" s="19"/>
      <c r="B46" s="44">
        <v>9</v>
      </c>
      <c r="C46" s="23">
        <v>20200305</v>
      </c>
      <c r="D46" s="20" t="s">
        <v>2</v>
      </c>
      <c r="E46" s="20" t="s">
        <v>159</v>
      </c>
      <c r="F46" s="24" t="s">
        <v>67</v>
      </c>
      <c r="G46" s="22" t="s">
        <v>129</v>
      </c>
      <c r="H46" s="22" t="s">
        <v>169</v>
      </c>
      <c r="I46" s="22" t="s">
        <v>67</v>
      </c>
      <c r="J46" s="22" t="s">
        <v>67</v>
      </c>
      <c r="K46" s="22" t="s">
        <v>160</v>
      </c>
      <c r="L46" s="24" t="s">
        <v>108</v>
      </c>
      <c r="M46" s="24" t="s">
        <v>474</v>
      </c>
      <c r="N46" s="25" t="s">
        <v>509</v>
      </c>
      <c r="O46" s="23" t="s">
        <v>199</v>
      </c>
      <c r="P46" s="20" t="s">
        <v>6</v>
      </c>
      <c r="Q46" s="20"/>
      <c r="R46" s="22"/>
      <c r="S46" s="22">
        <v>62</v>
      </c>
      <c r="T46" s="22">
        <f>ROUND(IF(D46=Table!$C$3,V46*Table!$C$4/8,V46*Table!$D$4/8),3)</f>
        <v>26.244</v>
      </c>
      <c r="U46" s="22">
        <f t="shared" si="7"/>
        <v>26.244</v>
      </c>
      <c r="V46" s="22">
        <v>1.615</v>
      </c>
      <c r="W46" s="22">
        <v>2</v>
      </c>
      <c r="X46" s="22" t="s">
        <v>80</v>
      </c>
      <c r="Y46" s="26">
        <v>43896</v>
      </c>
      <c r="Z46" s="26">
        <v>43901</v>
      </c>
      <c r="AA46" s="26">
        <v>43902</v>
      </c>
      <c r="AB46" s="26">
        <v>43902</v>
      </c>
      <c r="AC46" s="28" t="s">
        <v>201</v>
      </c>
      <c r="AD46" s="28"/>
      <c r="AE46" s="28"/>
      <c r="AF46" s="54">
        <v>0.70700000000000007</v>
      </c>
      <c r="AG46" s="54">
        <v>0.77800000000000002</v>
      </c>
      <c r="AH46" s="54">
        <v>1</v>
      </c>
      <c r="AI46" s="22" t="s">
        <v>476</v>
      </c>
      <c r="AJ46" s="22"/>
      <c r="AK46" s="22"/>
    </row>
    <row r="47" spans="1:37" x14ac:dyDescent="0.25">
      <c r="B47" s="44">
        <v>10</v>
      </c>
      <c r="C47" s="23">
        <v>20200305</v>
      </c>
      <c r="D47" s="22" t="s">
        <v>2</v>
      </c>
      <c r="E47" s="22" t="s">
        <v>159</v>
      </c>
      <c r="F47" s="24" t="s">
        <v>67</v>
      </c>
      <c r="G47" s="22" t="s">
        <v>130</v>
      </c>
      <c r="H47" s="22" t="s">
        <v>745</v>
      </c>
      <c r="I47" s="22" t="s">
        <v>67</v>
      </c>
      <c r="J47" s="22" t="s">
        <v>67</v>
      </c>
      <c r="K47" s="22" t="s">
        <v>160</v>
      </c>
      <c r="L47" s="24" t="s">
        <v>109</v>
      </c>
      <c r="M47" s="24" t="s">
        <v>474</v>
      </c>
      <c r="N47" s="25" t="s">
        <v>510</v>
      </c>
      <c r="O47" s="23" t="s">
        <v>199</v>
      </c>
      <c r="P47" s="21" t="s">
        <v>6</v>
      </c>
      <c r="Q47" s="21"/>
      <c r="R47" s="22"/>
      <c r="S47" s="22">
        <v>70</v>
      </c>
      <c r="T47" s="22">
        <f>ROUND(IF(D47=Table!$C$3,V47*Table!$C$4/8,V47*Table!$D$4/8),3)</f>
        <v>48.344000000000001</v>
      </c>
      <c r="U47" s="22">
        <f t="shared" si="7"/>
        <v>48.344000000000001</v>
      </c>
      <c r="V47" s="22">
        <v>2.9750000000000001</v>
      </c>
      <c r="W47" s="22">
        <v>2</v>
      </c>
      <c r="X47" s="22" t="s">
        <v>80</v>
      </c>
      <c r="Y47" s="26">
        <v>43896</v>
      </c>
      <c r="Z47" s="26">
        <v>43901</v>
      </c>
      <c r="AA47" s="26">
        <v>43902</v>
      </c>
      <c r="AB47" s="26">
        <v>43902</v>
      </c>
      <c r="AC47" s="28" t="s">
        <v>202</v>
      </c>
      <c r="AD47" s="28"/>
      <c r="AE47" s="28"/>
      <c r="AF47" s="54">
        <v>1</v>
      </c>
      <c r="AG47" s="54">
        <v>1</v>
      </c>
      <c r="AH47" s="54">
        <v>1</v>
      </c>
      <c r="AI47" s="22"/>
      <c r="AJ47" s="22"/>
      <c r="AK47" s="22"/>
    </row>
    <row r="48" spans="1:37" x14ac:dyDescent="0.25">
      <c r="B48" s="44">
        <v>11</v>
      </c>
      <c r="C48" s="23">
        <v>20200305</v>
      </c>
      <c r="D48" s="22" t="s">
        <v>2</v>
      </c>
      <c r="E48" s="22" t="s">
        <v>159</v>
      </c>
      <c r="F48" s="24" t="s">
        <v>67</v>
      </c>
      <c r="G48" s="22" t="s">
        <v>131</v>
      </c>
      <c r="H48" s="22" t="s">
        <v>170</v>
      </c>
      <c r="I48" s="22" t="s">
        <v>67</v>
      </c>
      <c r="J48" s="22" t="s">
        <v>67</v>
      </c>
      <c r="K48" s="22" t="s">
        <v>160</v>
      </c>
      <c r="L48" s="24" t="s">
        <v>110</v>
      </c>
      <c r="M48" s="24" t="s">
        <v>474</v>
      </c>
      <c r="N48" s="25" t="s">
        <v>511</v>
      </c>
      <c r="O48" s="23" t="s">
        <v>199</v>
      </c>
      <c r="P48" s="21" t="s">
        <v>6</v>
      </c>
      <c r="Q48" s="21"/>
      <c r="R48" s="22"/>
      <c r="S48" s="22">
        <v>20</v>
      </c>
      <c r="T48" s="22">
        <f>ROUND(IF(D48=Table!$C$3,V48*Table!$C$4/8,V48*Table!$D$4/8),3)</f>
        <v>26.244</v>
      </c>
      <c r="U48" s="22">
        <f t="shared" si="7"/>
        <v>26.244</v>
      </c>
      <c r="V48" s="22">
        <v>1.615</v>
      </c>
      <c r="W48" s="22">
        <v>1</v>
      </c>
      <c r="X48" s="22" t="s">
        <v>80</v>
      </c>
      <c r="Y48" s="26">
        <v>43896</v>
      </c>
      <c r="Z48" s="26">
        <v>43901</v>
      </c>
      <c r="AA48" s="26">
        <v>43902</v>
      </c>
      <c r="AB48" s="26">
        <v>43902</v>
      </c>
      <c r="AC48" s="28" t="s">
        <v>201</v>
      </c>
      <c r="AD48" s="28"/>
      <c r="AE48" s="28"/>
      <c r="AF48" s="54">
        <v>1</v>
      </c>
      <c r="AG48" s="54">
        <v>1</v>
      </c>
      <c r="AH48" s="54">
        <v>1</v>
      </c>
      <c r="AI48" s="22"/>
      <c r="AJ48" s="22"/>
      <c r="AK48" s="22"/>
    </row>
    <row r="49" spans="2:37" x14ac:dyDescent="0.25">
      <c r="B49" s="44">
        <v>12</v>
      </c>
      <c r="C49" s="23">
        <v>20200305</v>
      </c>
      <c r="D49" s="22" t="s">
        <v>2</v>
      </c>
      <c r="E49" s="22" t="s">
        <v>159</v>
      </c>
      <c r="F49" s="24" t="s">
        <v>67</v>
      </c>
      <c r="G49" s="22" t="s">
        <v>132</v>
      </c>
      <c r="H49" s="22" t="s">
        <v>171</v>
      </c>
      <c r="I49" s="22" t="s">
        <v>67</v>
      </c>
      <c r="J49" s="22" t="s">
        <v>67</v>
      </c>
      <c r="K49" s="22" t="s">
        <v>160</v>
      </c>
      <c r="L49" s="24" t="s">
        <v>111</v>
      </c>
      <c r="M49" s="24" t="s">
        <v>474</v>
      </c>
      <c r="N49" s="25" t="s">
        <v>512</v>
      </c>
      <c r="O49" s="23" t="s">
        <v>198</v>
      </c>
      <c r="P49" s="21" t="s">
        <v>70</v>
      </c>
      <c r="Q49" s="21"/>
      <c r="R49" s="22"/>
      <c r="S49" s="22">
        <v>317</v>
      </c>
      <c r="T49" s="22">
        <f>ROUND(IF(D49=Table!$C$3,V49*Table!$C$4/8,V49*Table!$D$4/8),3)</f>
        <v>147.79400000000001</v>
      </c>
      <c r="U49" s="22">
        <f t="shared" si="7"/>
        <v>147.79400000000001</v>
      </c>
      <c r="V49" s="22">
        <v>9.0949999999999989</v>
      </c>
      <c r="W49" s="22">
        <v>8</v>
      </c>
      <c r="X49" s="22" t="s">
        <v>80</v>
      </c>
      <c r="Y49" s="26">
        <v>43896</v>
      </c>
      <c r="Z49" s="26">
        <v>43901</v>
      </c>
      <c r="AA49" s="26">
        <v>43902</v>
      </c>
      <c r="AB49" s="26">
        <v>43902</v>
      </c>
      <c r="AC49" s="28" t="s">
        <v>202</v>
      </c>
      <c r="AD49" s="28"/>
      <c r="AE49" s="28"/>
      <c r="AF49" s="54">
        <v>0.93799999999999994</v>
      </c>
      <c r="AG49" s="54">
        <v>0.94</v>
      </c>
      <c r="AH49" s="54">
        <v>1</v>
      </c>
      <c r="AI49" s="22" t="s">
        <v>477</v>
      </c>
      <c r="AJ49" s="36"/>
      <c r="AK49" s="22"/>
    </row>
    <row r="50" spans="2:37" x14ac:dyDescent="0.25">
      <c r="B50" s="44">
        <v>13</v>
      </c>
      <c r="C50" s="23">
        <v>20200305</v>
      </c>
      <c r="D50" s="22" t="s">
        <v>2</v>
      </c>
      <c r="E50" s="22" t="s">
        <v>159</v>
      </c>
      <c r="F50" s="24" t="s">
        <v>67</v>
      </c>
      <c r="G50" s="22" t="s">
        <v>133</v>
      </c>
      <c r="H50" s="22" t="s">
        <v>172</v>
      </c>
      <c r="I50" s="22" t="s">
        <v>67</v>
      </c>
      <c r="J50" s="22" t="s">
        <v>67</v>
      </c>
      <c r="K50" s="22" t="s">
        <v>160</v>
      </c>
      <c r="L50" s="24" t="s">
        <v>112</v>
      </c>
      <c r="M50" s="24" t="s">
        <v>474</v>
      </c>
      <c r="N50" s="25" t="s">
        <v>513</v>
      </c>
      <c r="O50" s="23" t="s">
        <v>198</v>
      </c>
      <c r="P50" s="22" t="s">
        <v>70</v>
      </c>
      <c r="Q50" s="22"/>
      <c r="R50" s="22"/>
      <c r="S50" s="22">
        <v>93</v>
      </c>
      <c r="T50" s="22">
        <f>ROUND(IF(D50=Table!$C$3,V50*Table!$C$4/8,V50*Table!$D$4/8),3)</f>
        <v>48.344000000000001</v>
      </c>
      <c r="U50" s="22">
        <f t="shared" si="7"/>
        <v>48.344000000000001</v>
      </c>
      <c r="V50" s="22">
        <v>2.9750000000000001</v>
      </c>
      <c r="W50" s="22">
        <v>4</v>
      </c>
      <c r="X50" s="22" t="s">
        <v>80</v>
      </c>
      <c r="Y50" s="26">
        <v>43896</v>
      </c>
      <c r="Z50" s="26">
        <v>43901</v>
      </c>
      <c r="AA50" s="26">
        <v>43901</v>
      </c>
      <c r="AB50" s="26">
        <v>43901</v>
      </c>
      <c r="AC50" s="28" t="s">
        <v>202</v>
      </c>
      <c r="AD50" s="28"/>
      <c r="AE50" s="28"/>
      <c r="AF50" s="54">
        <v>0.91700000000000004</v>
      </c>
      <c r="AG50" s="54">
        <v>0.91700000000000004</v>
      </c>
      <c r="AH50" s="54" t="s">
        <v>216</v>
      </c>
      <c r="AI50" s="22" t="s">
        <v>224</v>
      </c>
      <c r="AJ50" s="22"/>
      <c r="AK50" s="22"/>
    </row>
    <row r="51" spans="2:37" x14ac:dyDescent="0.25">
      <c r="B51" s="44">
        <v>14</v>
      </c>
      <c r="C51" s="23">
        <v>20200305</v>
      </c>
      <c r="D51" s="22" t="s">
        <v>2</v>
      </c>
      <c r="E51" s="22" t="s">
        <v>159</v>
      </c>
      <c r="F51" s="24" t="s">
        <v>67</v>
      </c>
      <c r="G51" s="22" t="s">
        <v>134</v>
      </c>
      <c r="H51" s="22" t="s">
        <v>173</v>
      </c>
      <c r="I51" s="22" t="s">
        <v>67</v>
      </c>
      <c r="J51" s="22" t="s">
        <v>67</v>
      </c>
      <c r="K51" s="22" t="s">
        <v>160</v>
      </c>
      <c r="L51" s="24" t="s">
        <v>113</v>
      </c>
      <c r="M51" s="24" t="s">
        <v>474</v>
      </c>
      <c r="N51" s="25" t="s">
        <v>514</v>
      </c>
      <c r="O51" s="23" t="s">
        <v>198</v>
      </c>
      <c r="P51" s="22" t="s">
        <v>70</v>
      </c>
      <c r="Q51" s="22"/>
      <c r="R51" s="22"/>
      <c r="S51" s="22">
        <v>52</v>
      </c>
      <c r="T51" s="22">
        <f>ROUND(IF(D51=Table!$C$3,V51*Table!$C$4/8,V51*Table!$D$4/8),3)</f>
        <v>31.768999999999998</v>
      </c>
      <c r="U51" s="22">
        <f t="shared" si="7"/>
        <v>31.768999999999998</v>
      </c>
      <c r="V51" s="22">
        <v>1.9549999999999998</v>
      </c>
      <c r="W51" s="22">
        <v>4</v>
      </c>
      <c r="X51" s="22" t="s">
        <v>80</v>
      </c>
      <c r="Y51" s="26">
        <v>43896</v>
      </c>
      <c r="Z51" s="26">
        <v>43901</v>
      </c>
      <c r="AA51" s="26">
        <v>43896</v>
      </c>
      <c r="AB51" s="26">
        <v>43896</v>
      </c>
      <c r="AC51" s="28" t="s">
        <v>202</v>
      </c>
      <c r="AD51" s="28"/>
      <c r="AE51" s="28"/>
      <c r="AF51" s="54">
        <v>1</v>
      </c>
      <c r="AG51" s="54">
        <v>1</v>
      </c>
      <c r="AH51" s="54">
        <v>0.5</v>
      </c>
      <c r="AI51" s="22" t="s">
        <v>478</v>
      </c>
      <c r="AJ51" s="24"/>
      <c r="AK51" s="22" t="s">
        <v>213</v>
      </c>
    </row>
    <row r="52" spans="2:37" x14ac:dyDescent="0.25">
      <c r="B52" s="44">
        <v>15</v>
      </c>
      <c r="C52" s="23">
        <v>20200305</v>
      </c>
      <c r="D52" s="22" t="s">
        <v>2</v>
      </c>
      <c r="E52" s="22" t="s">
        <v>159</v>
      </c>
      <c r="F52" s="24" t="s">
        <v>67</v>
      </c>
      <c r="G52" s="22" t="s">
        <v>135</v>
      </c>
      <c r="H52" s="22" t="s">
        <v>174</v>
      </c>
      <c r="I52" s="22" t="s">
        <v>67</v>
      </c>
      <c r="J52" s="22" t="s">
        <v>67</v>
      </c>
      <c r="K52" s="22" t="s">
        <v>160</v>
      </c>
      <c r="L52" s="24" t="s">
        <v>114</v>
      </c>
      <c r="M52" s="24" t="s">
        <v>474</v>
      </c>
      <c r="N52" s="25" t="s">
        <v>515</v>
      </c>
      <c r="O52" s="23" t="s">
        <v>198</v>
      </c>
      <c r="P52" s="22" t="s">
        <v>70</v>
      </c>
      <c r="Q52" s="22"/>
      <c r="R52" s="22"/>
      <c r="S52" s="22">
        <v>45</v>
      </c>
      <c r="T52" s="22">
        <f>ROUND(IF(D52=Table!$C$3,V52*Table!$C$4/8,V52*Table!$D$4/8),3)</f>
        <v>26.244</v>
      </c>
      <c r="U52" s="22">
        <f t="shared" si="7"/>
        <v>26.244</v>
      </c>
      <c r="V52" s="22">
        <v>1.615</v>
      </c>
      <c r="W52" s="22">
        <v>3</v>
      </c>
      <c r="X52" s="22" t="s">
        <v>80</v>
      </c>
      <c r="Y52" s="26">
        <v>43896</v>
      </c>
      <c r="Z52" s="26">
        <v>43901</v>
      </c>
      <c r="AA52" s="26">
        <v>43899</v>
      </c>
      <c r="AB52" s="26">
        <v>43899</v>
      </c>
      <c r="AC52" s="28" t="s">
        <v>201</v>
      </c>
      <c r="AD52" s="28"/>
      <c r="AE52" s="28"/>
      <c r="AF52" s="54">
        <v>1</v>
      </c>
      <c r="AG52" s="54">
        <v>1</v>
      </c>
      <c r="AH52" s="54" t="s">
        <v>216</v>
      </c>
      <c r="AI52" s="22"/>
      <c r="AJ52" s="22"/>
      <c r="AK52" s="22" t="s">
        <v>213</v>
      </c>
    </row>
    <row r="53" spans="2:37" x14ac:dyDescent="0.25">
      <c r="B53" s="44">
        <v>16</v>
      </c>
      <c r="C53" s="23">
        <v>20200305</v>
      </c>
      <c r="D53" s="22" t="s">
        <v>2</v>
      </c>
      <c r="E53" s="22" t="s">
        <v>159</v>
      </c>
      <c r="F53" s="24" t="s">
        <v>67</v>
      </c>
      <c r="G53" s="22" t="s">
        <v>136</v>
      </c>
      <c r="H53" s="22" t="s">
        <v>175</v>
      </c>
      <c r="I53" s="22" t="s">
        <v>67</v>
      </c>
      <c r="J53" s="22" t="s">
        <v>67</v>
      </c>
      <c r="K53" s="22" t="s">
        <v>160</v>
      </c>
      <c r="L53" s="24" t="s">
        <v>115</v>
      </c>
      <c r="M53" s="24" t="s">
        <v>474</v>
      </c>
      <c r="N53" s="25" t="s">
        <v>516</v>
      </c>
      <c r="O53" s="23" t="s">
        <v>198</v>
      </c>
      <c r="P53" s="22" t="s">
        <v>70</v>
      </c>
      <c r="Q53" s="22"/>
      <c r="R53" s="22"/>
      <c r="S53" s="22">
        <v>38</v>
      </c>
      <c r="T53" s="22">
        <f>ROUND(IF(D53=Table!$C$3,V53*Table!$C$4/8,V53*Table!$D$4/8),3)</f>
        <v>26.244</v>
      </c>
      <c r="U53" s="22">
        <f t="shared" si="7"/>
        <v>26.244</v>
      </c>
      <c r="V53" s="22">
        <v>1.615</v>
      </c>
      <c r="W53" s="22">
        <v>3</v>
      </c>
      <c r="X53" s="22" t="s">
        <v>80</v>
      </c>
      <c r="Y53" s="26">
        <v>43896</v>
      </c>
      <c r="Z53" s="26">
        <v>43901</v>
      </c>
      <c r="AA53" s="26">
        <v>43896</v>
      </c>
      <c r="AB53" s="26">
        <v>43896</v>
      </c>
      <c r="AC53" s="28" t="s">
        <v>201</v>
      </c>
      <c r="AD53" s="28"/>
      <c r="AE53" s="28"/>
      <c r="AF53" s="52">
        <v>1</v>
      </c>
      <c r="AG53" s="52">
        <v>1</v>
      </c>
      <c r="AH53" s="52">
        <v>1</v>
      </c>
      <c r="AI53" s="22"/>
      <c r="AJ53" s="22"/>
      <c r="AK53" s="22"/>
    </row>
    <row r="54" spans="2:37" x14ac:dyDescent="0.25">
      <c r="B54" s="44">
        <v>17</v>
      </c>
      <c r="C54" s="23">
        <v>20200305</v>
      </c>
      <c r="D54" s="22" t="s">
        <v>2</v>
      </c>
      <c r="E54" s="22" t="s">
        <v>159</v>
      </c>
      <c r="F54" s="24" t="s">
        <v>67</v>
      </c>
      <c r="G54" s="22" t="s">
        <v>137</v>
      </c>
      <c r="H54" s="22" t="s">
        <v>176</v>
      </c>
      <c r="I54" s="22" t="s">
        <v>67</v>
      </c>
      <c r="J54" s="22" t="s">
        <v>67</v>
      </c>
      <c r="K54" s="22" t="s">
        <v>160</v>
      </c>
      <c r="L54" s="24" t="s">
        <v>116</v>
      </c>
      <c r="M54" s="24" t="s">
        <v>474</v>
      </c>
      <c r="N54" s="25" t="s">
        <v>517</v>
      </c>
      <c r="O54" s="23" t="s">
        <v>198</v>
      </c>
      <c r="P54" s="22" t="s">
        <v>70</v>
      </c>
      <c r="Q54" s="22"/>
      <c r="R54" s="22"/>
      <c r="S54" s="22">
        <v>80</v>
      </c>
      <c r="T54" s="22">
        <f>ROUND(IF(D54=Table!$C$3,V54*Table!$C$4/8,V54*Table!$D$4/8),3)</f>
        <v>125.694</v>
      </c>
      <c r="U54" s="22">
        <f t="shared" si="7"/>
        <v>125.694</v>
      </c>
      <c r="V54" s="22">
        <v>7.7349999999999994</v>
      </c>
      <c r="W54" s="22">
        <v>8</v>
      </c>
      <c r="X54" s="22" t="s">
        <v>80</v>
      </c>
      <c r="Y54" s="26">
        <v>43896</v>
      </c>
      <c r="Z54" s="26">
        <v>43901</v>
      </c>
      <c r="AA54" s="26">
        <v>43896</v>
      </c>
      <c r="AB54" s="26">
        <v>43901</v>
      </c>
      <c r="AC54" s="28" t="s">
        <v>201</v>
      </c>
      <c r="AD54" s="28"/>
      <c r="AE54" s="28"/>
      <c r="AF54" s="52">
        <v>1</v>
      </c>
      <c r="AG54" s="52">
        <v>1</v>
      </c>
      <c r="AH54" s="52">
        <v>1</v>
      </c>
      <c r="AI54" s="22"/>
      <c r="AJ54" s="22"/>
      <c r="AK54" s="22"/>
    </row>
    <row r="55" spans="2:37" x14ac:dyDescent="0.25">
      <c r="B55" s="44">
        <v>18</v>
      </c>
      <c r="C55" s="23">
        <v>20200305</v>
      </c>
      <c r="D55" s="22" t="s">
        <v>2</v>
      </c>
      <c r="E55" s="24" t="s">
        <v>159</v>
      </c>
      <c r="F55" s="24" t="s">
        <v>67</v>
      </c>
      <c r="G55" s="22" t="s">
        <v>138</v>
      </c>
      <c r="H55" s="22" t="s">
        <v>177</v>
      </c>
      <c r="I55" s="22" t="s">
        <v>67</v>
      </c>
      <c r="J55" s="22" t="s">
        <v>67</v>
      </c>
      <c r="K55" s="22" t="s">
        <v>160</v>
      </c>
      <c r="L55" s="24" t="s">
        <v>117</v>
      </c>
      <c r="M55" s="24" t="s">
        <v>474</v>
      </c>
      <c r="N55" s="25" t="s">
        <v>518</v>
      </c>
      <c r="O55" s="23" t="s">
        <v>198</v>
      </c>
      <c r="P55" s="22" t="s">
        <v>70</v>
      </c>
      <c r="Q55" s="22"/>
      <c r="R55" s="22"/>
      <c r="S55" s="22">
        <v>60</v>
      </c>
      <c r="T55" s="22">
        <f>ROUND(IF(D55=Table!$C$3,V55*Table!$C$4/8,V55*Table!$D$4/8),3)</f>
        <v>31.768999999999998</v>
      </c>
      <c r="U55" s="22">
        <f t="shared" si="7"/>
        <v>31.768999999999998</v>
      </c>
      <c r="V55" s="22">
        <v>1.9549999999999998</v>
      </c>
      <c r="W55" s="22">
        <v>2</v>
      </c>
      <c r="X55" s="22" t="s">
        <v>80</v>
      </c>
      <c r="Y55" s="26">
        <v>43896</v>
      </c>
      <c r="Z55" s="26">
        <v>43901</v>
      </c>
      <c r="AA55" s="26">
        <v>43899</v>
      </c>
      <c r="AB55" s="26">
        <v>43899</v>
      </c>
      <c r="AC55" s="28" t="s">
        <v>201</v>
      </c>
      <c r="AD55" s="28"/>
      <c r="AE55" s="28"/>
      <c r="AF55" s="52">
        <v>0.96</v>
      </c>
      <c r="AG55" s="52">
        <v>0.96</v>
      </c>
      <c r="AH55" s="52" t="s">
        <v>216</v>
      </c>
      <c r="AI55" s="22" t="s">
        <v>479</v>
      </c>
      <c r="AJ55" s="22"/>
      <c r="AK55" s="22"/>
    </row>
    <row r="56" spans="2:37" x14ac:dyDescent="0.25">
      <c r="B56" s="44">
        <v>19</v>
      </c>
      <c r="C56" s="23">
        <v>20200305</v>
      </c>
      <c r="D56" s="22" t="s">
        <v>2</v>
      </c>
      <c r="E56" s="22" t="s">
        <v>159</v>
      </c>
      <c r="F56" s="24" t="s">
        <v>67</v>
      </c>
      <c r="G56" s="22" t="s">
        <v>139</v>
      </c>
      <c r="H56" s="22" t="s">
        <v>178</v>
      </c>
      <c r="I56" s="22" t="s">
        <v>67</v>
      </c>
      <c r="J56" s="22" t="s">
        <v>67</v>
      </c>
      <c r="K56" s="22" t="s">
        <v>160</v>
      </c>
      <c r="L56" s="24" t="s">
        <v>118</v>
      </c>
      <c r="M56" s="24" t="s">
        <v>474</v>
      </c>
      <c r="N56" s="25" t="s">
        <v>519</v>
      </c>
      <c r="O56" s="23" t="s">
        <v>198</v>
      </c>
      <c r="P56" s="22" t="s">
        <v>70</v>
      </c>
      <c r="Q56" s="22"/>
      <c r="R56" s="22"/>
      <c r="S56" s="22">
        <v>103</v>
      </c>
      <c r="T56" s="22">
        <f>ROUND(IF(D56=Table!$C$3,V56*Table!$C$4/8,V56*Table!$D$4/8),3)</f>
        <v>48.344000000000001</v>
      </c>
      <c r="U56" s="22">
        <f t="shared" si="7"/>
        <v>48.344000000000001</v>
      </c>
      <c r="V56" s="22">
        <v>2.9750000000000001</v>
      </c>
      <c r="W56" s="22">
        <v>8</v>
      </c>
      <c r="X56" s="22" t="s">
        <v>80</v>
      </c>
      <c r="Y56" s="26">
        <v>43896</v>
      </c>
      <c r="Z56" s="26">
        <v>43901</v>
      </c>
      <c r="AA56" s="26">
        <v>43903</v>
      </c>
      <c r="AB56" s="26">
        <v>43903</v>
      </c>
      <c r="AC56" s="28" t="s">
        <v>202</v>
      </c>
      <c r="AD56" s="28"/>
      <c r="AE56" s="28"/>
      <c r="AF56" s="52">
        <v>0.79200000000000004</v>
      </c>
      <c r="AG56" s="52">
        <v>0.81099999999999994</v>
      </c>
      <c r="AH56" s="52">
        <v>1</v>
      </c>
      <c r="AI56" s="22" t="s">
        <v>480</v>
      </c>
      <c r="AJ56" s="36"/>
      <c r="AK56" s="22"/>
    </row>
    <row r="57" spans="2:37" x14ac:dyDescent="0.25">
      <c r="B57" s="44">
        <v>20</v>
      </c>
      <c r="C57" s="23">
        <v>20200305</v>
      </c>
      <c r="D57" s="22" t="s">
        <v>2</v>
      </c>
      <c r="E57" s="22" t="s">
        <v>159</v>
      </c>
      <c r="F57" s="24" t="s">
        <v>67</v>
      </c>
      <c r="G57" s="22" t="s">
        <v>140</v>
      </c>
      <c r="H57" s="22" t="s">
        <v>179</v>
      </c>
      <c r="I57" s="22" t="s">
        <v>67</v>
      </c>
      <c r="J57" s="22" t="s">
        <v>67</v>
      </c>
      <c r="K57" s="22" t="s">
        <v>160</v>
      </c>
      <c r="L57" s="24">
        <v>1</v>
      </c>
      <c r="M57" s="24" t="s">
        <v>474</v>
      </c>
      <c r="N57" s="25" t="s">
        <v>520</v>
      </c>
      <c r="O57" s="23" t="s">
        <v>198</v>
      </c>
      <c r="P57" s="22" t="s">
        <v>70</v>
      </c>
      <c r="Q57" s="22"/>
      <c r="R57" s="22"/>
      <c r="S57" s="22">
        <v>45</v>
      </c>
      <c r="T57" s="22">
        <f>ROUND(IF(D57=Table!$C$3,V57*Table!$C$4/8,V57*Table!$D$4/8),3)</f>
        <v>26.244</v>
      </c>
      <c r="U57" s="22">
        <f t="shared" si="7"/>
        <v>26.244</v>
      </c>
      <c r="V57" s="22">
        <v>1.615</v>
      </c>
      <c r="W57" s="22">
        <v>2</v>
      </c>
      <c r="X57" s="22" t="s">
        <v>80</v>
      </c>
      <c r="Y57" s="26">
        <v>43896</v>
      </c>
      <c r="Z57" s="26">
        <v>43901</v>
      </c>
      <c r="AA57" s="26">
        <v>43899</v>
      </c>
      <c r="AB57" s="26">
        <v>43899</v>
      </c>
      <c r="AC57" s="28" t="s">
        <v>202</v>
      </c>
      <c r="AD57" s="28"/>
      <c r="AE57" s="28"/>
      <c r="AF57" s="52">
        <v>1</v>
      </c>
      <c r="AG57" s="52">
        <v>1</v>
      </c>
      <c r="AH57" s="52">
        <v>1</v>
      </c>
      <c r="AI57" s="22"/>
      <c r="AJ57" s="22"/>
      <c r="AK57" s="22" t="s">
        <v>218</v>
      </c>
    </row>
    <row r="58" spans="2:37" x14ac:dyDescent="0.25">
      <c r="B58" s="44">
        <v>21</v>
      </c>
      <c r="C58" s="23">
        <v>20200305</v>
      </c>
      <c r="D58" s="22" t="s">
        <v>2</v>
      </c>
      <c r="E58" s="22" t="s">
        <v>159</v>
      </c>
      <c r="F58" s="24" t="s">
        <v>67</v>
      </c>
      <c r="G58" s="22" t="s">
        <v>141</v>
      </c>
      <c r="H58" s="22" t="s">
        <v>180</v>
      </c>
      <c r="I58" s="22" t="s">
        <v>67</v>
      </c>
      <c r="J58" s="22" t="s">
        <v>67</v>
      </c>
      <c r="K58" s="22" t="s">
        <v>160</v>
      </c>
      <c r="L58" s="24">
        <v>1.2</v>
      </c>
      <c r="M58" s="24" t="s">
        <v>474</v>
      </c>
      <c r="N58" s="25" t="s">
        <v>521</v>
      </c>
      <c r="O58" s="23" t="s">
        <v>198</v>
      </c>
      <c r="P58" s="22" t="s">
        <v>70</v>
      </c>
      <c r="Q58" s="22"/>
      <c r="R58" s="22"/>
      <c r="S58" s="22">
        <v>54</v>
      </c>
      <c r="T58" s="22">
        <f>ROUND(IF(D58=Table!$C$3,V58*Table!$C$4/8,V58*Table!$D$4/8),3)</f>
        <v>59.393999999999998</v>
      </c>
      <c r="U58" s="22">
        <f t="shared" si="7"/>
        <v>59.393999999999998</v>
      </c>
      <c r="V58" s="22">
        <v>3.6549999999999998</v>
      </c>
      <c r="W58" s="22">
        <v>2</v>
      </c>
      <c r="X58" s="22" t="s">
        <v>80</v>
      </c>
      <c r="Y58" s="26">
        <v>43896</v>
      </c>
      <c r="Z58" s="26">
        <v>43901</v>
      </c>
      <c r="AA58" s="26">
        <v>43901</v>
      </c>
      <c r="AB58" s="26">
        <v>43901</v>
      </c>
      <c r="AC58" s="28" t="s">
        <v>202</v>
      </c>
      <c r="AD58" s="28"/>
      <c r="AE58" s="28"/>
      <c r="AF58" s="52">
        <v>1</v>
      </c>
      <c r="AG58" s="52">
        <v>1</v>
      </c>
      <c r="AH58" s="52">
        <v>0.92299999999999993</v>
      </c>
      <c r="AI58" s="22" t="s">
        <v>219</v>
      </c>
      <c r="AJ58" s="22"/>
      <c r="AK58" s="22"/>
    </row>
    <row r="59" spans="2:37" x14ac:dyDescent="0.25">
      <c r="B59" s="44">
        <v>22</v>
      </c>
      <c r="C59" s="23">
        <v>20200305</v>
      </c>
      <c r="D59" s="22" t="s">
        <v>2</v>
      </c>
      <c r="E59" s="22" t="s">
        <v>159</v>
      </c>
      <c r="F59" s="24" t="s">
        <v>67</v>
      </c>
      <c r="G59" s="22" t="s">
        <v>142</v>
      </c>
      <c r="H59" s="22" t="s">
        <v>181</v>
      </c>
      <c r="I59" s="22" t="s">
        <v>67</v>
      </c>
      <c r="J59" s="22" t="s">
        <v>67</v>
      </c>
      <c r="K59" s="22" t="s">
        <v>160</v>
      </c>
      <c r="L59" s="24">
        <v>1.3</v>
      </c>
      <c r="M59" s="24" t="s">
        <v>474</v>
      </c>
      <c r="N59" s="25" t="s">
        <v>522</v>
      </c>
      <c r="O59" s="23" t="s">
        <v>198</v>
      </c>
      <c r="P59" s="22" t="s">
        <v>70</v>
      </c>
      <c r="Q59" s="22"/>
      <c r="R59" s="22"/>
      <c r="S59" s="22">
        <v>50</v>
      </c>
      <c r="T59" s="22">
        <f>ROUND(IF(D59=Table!$C$3,V59*Table!$C$4/8,V59*Table!$D$4/8),3)</f>
        <v>37.293999999999997</v>
      </c>
      <c r="U59" s="22">
        <f t="shared" si="7"/>
        <v>37.293999999999997</v>
      </c>
      <c r="V59" s="22">
        <v>2.2949999999999999</v>
      </c>
      <c r="W59" s="22">
        <v>2</v>
      </c>
      <c r="X59" s="22" t="s">
        <v>80</v>
      </c>
      <c r="Y59" s="26">
        <v>43896</v>
      </c>
      <c r="Z59" s="26">
        <v>43901</v>
      </c>
      <c r="AA59" s="26">
        <v>43900</v>
      </c>
      <c r="AB59" s="26">
        <v>43900</v>
      </c>
      <c r="AC59" s="28" t="s">
        <v>201</v>
      </c>
      <c r="AD59" s="28"/>
      <c r="AE59" s="28"/>
      <c r="AF59" s="52">
        <v>1</v>
      </c>
      <c r="AG59" s="52">
        <v>1</v>
      </c>
      <c r="AH59" s="52">
        <v>1</v>
      </c>
      <c r="AI59" s="22"/>
      <c r="AJ59" s="22"/>
      <c r="AK59" s="22"/>
    </row>
    <row r="60" spans="2:37" x14ac:dyDescent="0.25">
      <c r="B60" s="44">
        <v>23</v>
      </c>
      <c r="C60" s="23">
        <v>20200305</v>
      </c>
      <c r="D60" s="22" t="s">
        <v>2</v>
      </c>
      <c r="E60" s="22" t="s">
        <v>159</v>
      </c>
      <c r="F60" s="24" t="s">
        <v>67</v>
      </c>
      <c r="G60" s="22" t="s">
        <v>143</v>
      </c>
      <c r="H60" s="22" t="s">
        <v>182</v>
      </c>
      <c r="I60" s="22" t="s">
        <v>67</v>
      </c>
      <c r="J60" s="22" t="s">
        <v>67</v>
      </c>
      <c r="K60" s="22" t="s">
        <v>160</v>
      </c>
      <c r="L60" s="24">
        <v>5.1100000000000003</v>
      </c>
      <c r="M60" s="24" t="s">
        <v>474</v>
      </c>
      <c r="N60" s="25" t="s">
        <v>523</v>
      </c>
      <c r="O60" s="23" t="s">
        <v>198</v>
      </c>
      <c r="P60" s="22" t="s">
        <v>70</v>
      </c>
      <c r="Q60" s="22"/>
      <c r="R60" s="22"/>
      <c r="S60" s="22">
        <v>39</v>
      </c>
      <c r="T60" s="22">
        <f>ROUND(IF(D60=Table!$C$3,V60*Table!$C$4/8,V60*Table!$D$4/8),3)</f>
        <v>26.244</v>
      </c>
      <c r="U60" s="22">
        <f t="shared" si="7"/>
        <v>26.244</v>
      </c>
      <c r="V60" s="22">
        <v>1.615</v>
      </c>
      <c r="W60" s="22">
        <v>2</v>
      </c>
      <c r="X60" s="22" t="s">
        <v>80</v>
      </c>
      <c r="Y60" s="26">
        <v>43896</v>
      </c>
      <c r="Z60" s="26">
        <v>43901</v>
      </c>
      <c r="AA60" s="26">
        <v>43900</v>
      </c>
      <c r="AB60" s="26">
        <v>43900</v>
      </c>
      <c r="AC60" s="28" t="s">
        <v>201</v>
      </c>
      <c r="AD60" s="28"/>
      <c r="AE60" s="28"/>
      <c r="AF60" s="52">
        <v>1</v>
      </c>
      <c r="AG60" s="52">
        <v>1</v>
      </c>
      <c r="AH60" s="52" t="s">
        <v>216</v>
      </c>
      <c r="AI60" s="22" t="s">
        <v>217</v>
      </c>
      <c r="AJ60" s="22"/>
      <c r="AK60" s="22"/>
    </row>
    <row r="61" spans="2:37" x14ac:dyDescent="0.25">
      <c r="B61" s="44">
        <v>24</v>
      </c>
      <c r="C61" s="23">
        <v>20200305</v>
      </c>
      <c r="D61" s="22" t="s">
        <v>2</v>
      </c>
      <c r="E61" s="22" t="s">
        <v>159</v>
      </c>
      <c r="F61" s="24" t="s">
        <v>67</v>
      </c>
      <c r="G61" s="22" t="s">
        <v>144</v>
      </c>
      <c r="H61" s="22" t="s">
        <v>183</v>
      </c>
      <c r="I61" s="22" t="s">
        <v>67</v>
      </c>
      <c r="J61" s="22" t="s">
        <v>67</v>
      </c>
      <c r="K61" s="22" t="s">
        <v>160</v>
      </c>
      <c r="L61" s="24">
        <v>5.9</v>
      </c>
      <c r="M61" s="24" t="s">
        <v>474</v>
      </c>
      <c r="N61" s="25" t="s">
        <v>524</v>
      </c>
      <c r="O61" s="23" t="s">
        <v>200</v>
      </c>
      <c r="P61" s="22" t="s">
        <v>72</v>
      </c>
      <c r="Q61" s="22"/>
      <c r="R61" s="22"/>
      <c r="S61" s="22">
        <v>531</v>
      </c>
      <c r="T61" s="22">
        <f>ROUND(IF(D61=Table!$C$3,V61*Table!$C$4/8,V61*Table!$D$4/8),3)</f>
        <v>42.819000000000003</v>
      </c>
      <c r="U61" s="22">
        <f t="shared" si="7"/>
        <v>42.819000000000003</v>
      </c>
      <c r="V61" s="22">
        <v>2.6349999999999998</v>
      </c>
      <c r="W61" s="22">
        <v>3</v>
      </c>
      <c r="X61" s="22" t="s">
        <v>80</v>
      </c>
      <c r="Y61" s="26">
        <v>43896</v>
      </c>
      <c r="Z61" s="26">
        <v>43901</v>
      </c>
      <c r="AA61" s="26">
        <v>43896</v>
      </c>
      <c r="AB61" s="26">
        <v>43901</v>
      </c>
      <c r="AC61" s="28" t="s">
        <v>201</v>
      </c>
      <c r="AD61" s="28"/>
      <c r="AE61" s="28"/>
      <c r="AF61" s="52">
        <v>1</v>
      </c>
      <c r="AG61" s="52">
        <v>1</v>
      </c>
      <c r="AH61" s="52" t="s">
        <v>216</v>
      </c>
      <c r="AI61" s="22"/>
      <c r="AJ61" s="22"/>
      <c r="AK61" s="22" t="s">
        <v>220</v>
      </c>
    </row>
    <row r="62" spans="2:37" x14ac:dyDescent="0.25">
      <c r="B62" s="44">
        <v>25</v>
      </c>
      <c r="C62" s="23">
        <v>20200305</v>
      </c>
      <c r="D62" s="22" t="s">
        <v>2</v>
      </c>
      <c r="E62" s="22" t="s">
        <v>159</v>
      </c>
      <c r="F62" s="24" t="s">
        <v>67</v>
      </c>
      <c r="G62" s="22" t="s">
        <v>145</v>
      </c>
      <c r="H62" s="22" t="s">
        <v>184</v>
      </c>
      <c r="I62" s="22" t="s">
        <v>67</v>
      </c>
      <c r="J62" s="22" t="s">
        <v>67</v>
      </c>
      <c r="K62" s="22" t="s">
        <v>160</v>
      </c>
      <c r="L62" s="24">
        <v>1</v>
      </c>
      <c r="M62" s="24" t="s">
        <v>474</v>
      </c>
      <c r="N62" s="25" t="s">
        <v>525</v>
      </c>
      <c r="O62" s="23" t="s">
        <v>200</v>
      </c>
      <c r="P62" s="22" t="s">
        <v>72</v>
      </c>
      <c r="Q62" s="22"/>
      <c r="R62" s="22"/>
      <c r="S62" s="22">
        <v>36</v>
      </c>
      <c r="T62" s="22">
        <f>ROUND(IF(D62=Table!$C$3,V62*Table!$C$4/8,V62*Table!$D$4/8),3)</f>
        <v>20.719000000000001</v>
      </c>
      <c r="U62" s="22">
        <f t="shared" si="7"/>
        <v>20.719000000000001</v>
      </c>
      <c r="V62" s="22">
        <v>1.2749999999999999</v>
      </c>
      <c r="W62" s="22">
        <v>2</v>
      </c>
      <c r="X62" s="22" t="s">
        <v>80</v>
      </c>
      <c r="Y62" s="26">
        <v>43896</v>
      </c>
      <c r="Z62" s="26">
        <v>43901</v>
      </c>
      <c r="AA62" s="26">
        <v>43896</v>
      </c>
      <c r="AB62" s="26">
        <v>43896</v>
      </c>
      <c r="AC62" s="28" t="s">
        <v>201</v>
      </c>
      <c r="AD62" s="28"/>
      <c r="AE62" s="28"/>
      <c r="AF62" s="52">
        <v>1</v>
      </c>
      <c r="AG62" s="52">
        <v>1</v>
      </c>
      <c r="AH62" s="52">
        <v>1</v>
      </c>
      <c r="AI62" s="22"/>
      <c r="AJ62" s="22"/>
      <c r="AK62" s="22"/>
    </row>
    <row r="63" spans="2:37" x14ac:dyDescent="0.25">
      <c r="B63" s="44">
        <v>26</v>
      </c>
      <c r="C63" s="23">
        <v>20200305</v>
      </c>
      <c r="D63" s="22" t="s">
        <v>2</v>
      </c>
      <c r="E63" s="22" t="s">
        <v>159</v>
      </c>
      <c r="F63" s="24" t="s">
        <v>67</v>
      </c>
      <c r="G63" s="22" t="s">
        <v>146</v>
      </c>
      <c r="H63" s="22" t="s">
        <v>185</v>
      </c>
      <c r="I63" s="22" t="s">
        <v>67</v>
      </c>
      <c r="J63" s="22" t="s">
        <v>67</v>
      </c>
      <c r="K63" s="22" t="s">
        <v>160</v>
      </c>
      <c r="L63" s="24">
        <v>1</v>
      </c>
      <c r="M63" s="24" t="s">
        <v>474</v>
      </c>
      <c r="N63" s="25" t="s">
        <v>526</v>
      </c>
      <c r="O63" s="23" t="s">
        <v>200</v>
      </c>
      <c r="P63" s="22" t="s">
        <v>72</v>
      </c>
      <c r="Q63" s="22"/>
      <c r="R63" s="22"/>
      <c r="S63" s="22">
        <v>10</v>
      </c>
      <c r="T63" s="22">
        <f>ROUND(IF(D63=Table!$C$3,V63*Table!$C$4/8,V63*Table!$D$4/8),3)</f>
        <v>20.719000000000001</v>
      </c>
      <c r="U63" s="22">
        <f t="shared" si="7"/>
        <v>20.719000000000001</v>
      </c>
      <c r="V63" s="22">
        <v>1.2749999999999999</v>
      </c>
      <c r="W63" s="22">
        <v>2</v>
      </c>
      <c r="X63" s="22" t="s">
        <v>80</v>
      </c>
      <c r="Y63" s="26">
        <v>43896</v>
      </c>
      <c r="Z63" s="26">
        <v>43901</v>
      </c>
      <c r="AA63" s="26">
        <v>43896</v>
      </c>
      <c r="AB63" s="26">
        <v>43901</v>
      </c>
      <c r="AC63" s="28" t="s">
        <v>201</v>
      </c>
      <c r="AD63" s="28"/>
      <c r="AE63" s="28"/>
      <c r="AF63" s="52">
        <v>1</v>
      </c>
      <c r="AG63" s="52">
        <v>1</v>
      </c>
      <c r="AH63" s="52" t="s">
        <v>216</v>
      </c>
      <c r="AI63" s="22"/>
      <c r="AJ63" s="22"/>
      <c r="AK63" s="22" t="s">
        <v>220</v>
      </c>
    </row>
    <row r="64" spans="2:37" x14ac:dyDescent="0.25">
      <c r="B64" s="44">
        <v>27</v>
      </c>
      <c r="C64" s="23">
        <v>20200305</v>
      </c>
      <c r="D64" s="22" t="s">
        <v>2</v>
      </c>
      <c r="E64" s="22" t="s">
        <v>159</v>
      </c>
      <c r="F64" s="24" t="s">
        <v>67</v>
      </c>
      <c r="G64" s="22" t="s">
        <v>147</v>
      </c>
      <c r="H64" s="22" t="s">
        <v>186</v>
      </c>
      <c r="I64" s="22" t="s">
        <v>67</v>
      </c>
      <c r="J64" s="22" t="s">
        <v>67</v>
      </c>
      <c r="K64" s="22" t="s">
        <v>160</v>
      </c>
      <c r="L64" s="24">
        <v>4.12</v>
      </c>
      <c r="M64" s="24" t="s">
        <v>474</v>
      </c>
      <c r="N64" s="25" t="s">
        <v>527</v>
      </c>
      <c r="O64" s="23" t="s">
        <v>200</v>
      </c>
      <c r="P64" s="22" t="s">
        <v>72</v>
      </c>
      <c r="Q64" s="22"/>
      <c r="R64" s="22"/>
      <c r="S64" s="22">
        <v>36</v>
      </c>
      <c r="T64" s="22">
        <f>ROUND(IF(D64=Table!$C$3,V64*Table!$C$4/8,V64*Table!$D$4/8),3)</f>
        <v>20.719000000000001</v>
      </c>
      <c r="U64" s="22">
        <f t="shared" si="7"/>
        <v>20.719000000000001</v>
      </c>
      <c r="V64" s="22">
        <v>1.2749999999999999</v>
      </c>
      <c r="W64" s="22">
        <v>2</v>
      </c>
      <c r="X64" s="22" t="s">
        <v>80</v>
      </c>
      <c r="Y64" s="26">
        <v>43896</v>
      </c>
      <c r="Z64" s="26">
        <v>43901</v>
      </c>
      <c r="AA64" s="26">
        <v>43896</v>
      </c>
      <c r="AB64" s="26">
        <v>43901</v>
      </c>
      <c r="AC64" s="28" t="s">
        <v>201</v>
      </c>
      <c r="AD64" s="28"/>
      <c r="AE64" s="28"/>
      <c r="AF64" s="52">
        <v>1</v>
      </c>
      <c r="AG64" s="52">
        <v>1</v>
      </c>
      <c r="AH64" s="52" t="s">
        <v>216</v>
      </c>
      <c r="AI64" s="22"/>
      <c r="AJ64" s="22"/>
      <c r="AK64" s="22" t="s">
        <v>220</v>
      </c>
    </row>
    <row r="65" spans="2:37" x14ac:dyDescent="0.25">
      <c r="B65" s="44">
        <v>28</v>
      </c>
      <c r="C65" s="23">
        <v>20200305</v>
      </c>
      <c r="D65" s="22" t="s">
        <v>2</v>
      </c>
      <c r="E65" s="22" t="s">
        <v>159</v>
      </c>
      <c r="F65" s="24" t="s">
        <v>67</v>
      </c>
      <c r="G65" s="22" t="s">
        <v>148</v>
      </c>
      <c r="H65" s="22" t="s">
        <v>187</v>
      </c>
      <c r="I65" s="22" t="s">
        <v>67</v>
      </c>
      <c r="J65" s="22" t="s">
        <v>67</v>
      </c>
      <c r="K65" s="22" t="s">
        <v>160</v>
      </c>
      <c r="L65" s="24">
        <v>1.4</v>
      </c>
      <c r="M65" s="24" t="s">
        <v>474</v>
      </c>
      <c r="N65" s="25" t="s">
        <v>528</v>
      </c>
      <c r="O65" s="23" t="s">
        <v>200</v>
      </c>
      <c r="P65" s="22" t="s">
        <v>72</v>
      </c>
      <c r="Q65" s="22"/>
      <c r="R65" s="22"/>
      <c r="S65" s="22">
        <v>36</v>
      </c>
      <c r="T65" s="22">
        <f>ROUND(IF(D65=Table!$C$3,V65*Table!$C$4/8,V65*Table!$D$4/8),3)</f>
        <v>20.719000000000001</v>
      </c>
      <c r="U65" s="22">
        <f t="shared" si="7"/>
        <v>20.719000000000001</v>
      </c>
      <c r="V65" s="22">
        <v>1.2749999999999999</v>
      </c>
      <c r="W65" s="22">
        <v>2</v>
      </c>
      <c r="X65" s="22" t="s">
        <v>80</v>
      </c>
      <c r="Y65" s="26">
        <v>43896</v>
      </c>
      <c r="Z65" s="26">
        <v>43901</v>
      </c>
      <c r="AA65" s="26">
        <v>43896</v>
      </c>
      <c r="AB65" s="26">
        <v>43901</v>
      </c>
      <c r="AC65" s="28" t="s">
        <v>201</v>
      </c>
      <c r="AD65" s="28"/>
      <c r="AE65" s="28"/>
      <c r="AF65" s="52">
        <v>1</v>
      </c>
      <c r="AG65" s="52">
        <v>1</v>
      </c>
      <c r="AH65" s="52" t="s">
        <v>216</v>
      </c>
      <c r="AI65" s="22"/>
      <c r="AJ65" s="22"/>
      <c r="AK65" s="22" t="s">
        <v>220</v>
      </c>
    </row>
    <row r="66" spans="2:37" x14ac:dyDescent="0.25">
      <c r="B66" s="44">
        <v>29</v>
      </c>
      <c r="C66" s="23">
        <v>20200305</v>
      </c>
      <c r="D66" s="22" t="s">
        <v>2</v>
      </c>
      <c r="E66" s="22" t="s">
        <v>159</v>
      </c>
      <c r="F66" s="24" t="s">
        <v>67</v>
      </c>
      <c r="G66" s="22" t="s">
        <v>149</v>
      </c>
      <c r="H66" s="22" t="s">
        <v>188</v>
      </c>
      <c r="I66" s="22" t="s">
        <v>67</v>
      </c>
      <c r="J66" s="22" t="s">
        <v>67</v>
      </c>
      <c r="K66" s="22" t="s">
        <v>160</v>
      </c>
      <c r="L66" s="24">
        <v>1.1200000000000001</v>
      </c>
      <c r="M66" s="24" t="s">
        <v>474</v>
      </c>
      <c r="N66" s="25" t="s">
        <v>529</v>
      </c>
      <c r="O66" s="23" t="s">
        <v>200</v>
      </c>
      <c r="P66" s="22" t="s">
        <v>70</v>
      </c>
      <c r="Q66" s="22"/>
      <c r="R66" s="22"/>
      <c r="S66" s="22">
        <v>10</v>
      </c>
      <c r="T66" s="22">
        <f>ROUND(IF(D66=Table!$C$3,V66*Table!$C$4/8,V66*Table!$D$4/8),3)</f>
        <v>20.719000000000001</v>
      </c>
      <c r="U66" s="22">
        <f t="shared" si="7"/>
        <v>20.719000000000001</v>
      </c>
      <c r="V66" s="22">
        <v>1.2749999999999999</v>
      </c>
      <c r="W66" s="22">
        <v>1</v>
      </c>
      <c r="X66" s="22" t="s">
        <v>80</v>
      </c>
      <c r="Y66" s="26">
        <v>43896</v>
      </c>
      <c r="Z66" s="26">
        <v>43901</v>
      </c>
      <c r="AA66" s="26">
        <v>43896</v>
      </c>
      <c r="AB66" s="26">
        <v>43901</v>
      </c>
      <c r="AC66" s="28" t="s">
        <v>201</v>
      </c>
      <c r="AD66" s="28"/>
      <c r="AE66" s="28"/>
      <c r="AF66" s="56">
        <v>1</v>
      </c>
      <c r="AG66" s="56">
        <v>1</v>
      </c>
      <c r="AH66" s="57" t="s">
        <v>216</v>
      </c>
      <c r="AI66" s="22"/>
      <c r="AJ66" s="22"/>
      <c r="AK66" s="22" t="s">
        <v>220</v>
      </c>
    </row>
    <row r="67" spans="2:37" x14ac:dyDescent="0.25">
      <c r="B67" s="44">
        <v>30</v>
      </c>
      <c r="C67" s="23">
        <v>20200305</v>
      </c>
      <c r="D67" s="22" t="s">
        <v>2</v>
      </c>
      <c r="E67" s="22" t="s">
        <v>159</v>
      </c>
      <c r="F67" s="24" t="s">
        <v>67</v>
      </c>
      <c r="G67" s="22" t="s">
        <v>150</v>
      </c>
      <c r="H67" s="22" t="s">
        <v>189</v>
      </c>
      <c r="I67" s="22" t="s">
        <v>67</v>
      </c>
      <c r="J67" s="22" t="s">
        <v>67</v>
      </c>
      <c r="K67" s="22" t="s">
        <v>160</v>
      </c>
      <c r="L67" s="24">
        <v>8.5</v>
      </c>
      <c r="M67" s="24" t="s">
        <v>474</v>
      </c>
      <c r="N67" s="25" t="s">
        <v>530</v>
      </c>
      <c r="O67" s="23" t="s">
        <v>200</v>
      </c>
      <c r="P67" s="22" t="s">
        <v>72</v>
      </c>
      <c r="Q67" s="22"/>
      <c r="R67" s="22"/>
      <c r="S67" s="22">
        <v>61</v>
      </c>
      <c r="T67" s="22">
        <f>ROUND(IF(D67=Table!$C$3,V67*Table!$C$4/8,V67*Table!$D$4/8),3)</f>
        <v>26.244</v>
      </c>
      <c r="U67" s="22">
        <f t="shared" si="7"/>
        <v>26.244</v>
      </c>
      <c r="V67" s="22">
        <v>1.615</v>
      </c>
      <c r="W67" s="22">
        <v>2</v>
      </c>
      <c r="X67" s="22" t="s">
        <v>80</v>
      </c>
      <c r="Y67" s="26">
        <v>43896</v>
      </c>
      <c r="Z67" s="26">
        <v>43901</v>
      </c>
      <c r="AA67" s="26">
        <v>43896</v>
      </c>
      <c r="AB67" s="26">
        <v>43901</v>
      </c>
      <c r="AC67" s="28" t="s">
        <v>201</v>
      </c>
      <c r="AD67" s="28"/>
      <c r="AE67" s="28"/>
      <c r="AF67" s="52">
        <v>1</v>
      </c>
      <c r="AG67" s="52">
        <v>1</v>
      </c>
      <c r="AH67" s="52" t="s">
        <v>216</v>
      </c>
      <c r="AI67" s="22"/>
      <c r="AJ67" s="22"/>
      <c r="AK67" s="22" t="s">
        <v>220</v>
      </c>
    </row>
    <row r="68" spans="2:37" x14ac:dyDescent="0.25">
      <c r="B68" s="44">
        <v>31</v>
      </c>
      <c r="C68" s="23">
        <v>20200305</v>
      </c>
      <c r="D68" s="22" t="s">
        <v>2</v>
      </c>
      <c r="E68" s="22" t="s">
        <v>159</v>
      </c>
      <c r="F68" s="24" t="s">
        <v>67</v>
      </c>
      <c r="G68" s="22" t="s">
        <v>151</v>
      </c>
      <c r="H68" s="22" t="s">
        <v>190</v>
      </c>
      <c r="I68" s="22" t="s">
        <v>67</v>
      </c>
      <c r="J68" s="22" t="s">
        <v>67</v>
      </c>
      <c r="K68" s="22" t="s">
        <v>160</v>
      </c>
      <c r="L68" s="24">
        <v>6.13</v>
      </c>
      <c r="M68" s="24" t="s">
        <v>474</v>
      </c>
      <c r="N68" s="25" t="s">
        <v>531</v>
      </c>
      <c r="O68" s="23" t="s">
        <v>200</v>
      </c>
      <c r="P68" s="22" t="s">
        <v>72</v>
      </c>
      <c r="Q68" s="22"/>
      <c r="R68" s="22"/>
      <c r="S68" s="22">
        <v>89</v>
      </c>
      <c r="T68" s="22">
        <f>ROUND(IF(D68=Table!$C$3,V68*Table!$C$4/8,V68*Table!$D$4/8),3)</f>
        <v>125.694</v>
      </c>
      <c r="U68" s="22">
        <f t="shared" si="7"/>
        <v>125.694</v>
      </c>
      <c r="V68" s="22">
        <v>7.7349999999999994</v>
      </c>
      <c r="W68" s="22">
        <v>8</v>
      </c>
      <c r="X68" s="22" t="s">
        <v>80</v>
      </c>
      <c r="Y68" s="26">
        <v>43896</v>
      </c>
      <c r="Z68" s="26">
        <v>43901</v>
      </c>
      <c r="AA68" s="26">
        <v>43896</v>
      </c>
      <c r="AB68" s="26">
        <v>43901</v>
      </c>
      <c r="AC68" s="28" t="s">
        <v>202</v>
      </c>
      <c r="AD68" s="28"/>
      <c r="AE68" s="28"/>
      <c r="AF68" s="52">
        <v>1</v>
      </c>
      <c r="AG68" s="52">
        <v>1</v>
      </c>
      <c r="AH68" s="52">
        <v>0.94099999999999995</v>
      </c>
      <c r="AI68" s="22" t="s">
        <v>481</v>
      </c>
      <c r="AJ68" s="22"/>
      <c r="AK68" s="22"/>
    </row>
    <row r="69" spans="2:37" x14ac:dyDescent="0.25">
      <c r="B69" s="44">
        <v>32</v>
      </c>
      <c r="C69" s="23">
        <v>20200305</v>
      </c>
      <c r="D69" s="22" t="s">
        <v>2</v>
      </c>
      <c r="E69" s="22" t="s">
        <v>159</v>
      </c>
      <c r="F69" s="24" t="s">
        <v>67</v>
      </c>
      <c r="G69" s="22" t="s">
        <v>152</v>
      </c>
      <c r="H69" s="22" t="s">
        <v>191</v>
      </c>
      <c r="I69" s="22" t="s">
        <v>67</v>
      </c>
      <c r="J69" s="22" t="s">
        <v>67</v>
      </c>
      <c r="K69" s="22" t="s">
        <v>160</v>
      </c>
      <c r="L69" s="24">
        <v>1.1000000000000001</v>
      </c>
      <c r="M69" s="24" t="s">
        <v>474</v>
      </c>
      <c r="N69" s="25" t="s">
        <v>532</v>
      </c>
      <c r="O69" s="23" t="s">
        <v>200</v>
      </c>
      <c r="P69" s="22" t="s">
        <v>72</v>
      </c>
      <c r="Q69" s="22"/>
      <c r="R69" s="22"/>
      <c r="S69" s="22">
        <v>67</v>
      </c>
      <c r="T69" s="22">
        <f>ROUND(IF(D69=Table!$C$3,V69*Table!$C$4/8,V69*Table!$D$4/8),3)</f>
        <v>26.244</v>
      </c>
      <c r="U69" s="22">
        <f t="shared" si="7"/>
        <v>26.244</v>
      </c>
      <c r="V69" s="22">
        <v>1.615</v>
      </c>
      <c r="W69" s="22">
        <v>4</v>
      </c>
      <c r="X69" s="22" t="s">
        <v>80</v>
      </c>
      <c r="Y69" s="26">
        <v>43896</v>
      </c>
      <c r="Z69" s="26">
        <v>43901</v>
      </c>
      <c r="AA69" s="26">
        <v>43896</v>
      </c>
      <c r="AB69" s="26">
        <v>43901</v>
      </c>
      <c r="AC69" s="28" t="s">
        <v>202</v>
      </c>
      <c r="AD69" s="28"/>
      <c r="AE69" s="28"/>
      <c r="AF69" s="52">
        <v>0.95799999999999996</v>
      </c>
      <c r="AG69" s="52">
        <v>0.96400000000000008</v>
      </c>
      <c r="AH69" s="52">
        <v>1</v>
      </c>
      <c r="AI69" s="22" t="s">
        <v>222</v>
      </c>
      <c r="AJ69" s="22"/>
      <c r="AK69" s="22" t="s">
        <v>221</v>
      </c>
    </row>
    <row r="70" spans="2:37" x14ac:dyDescent="0.25">
      <c r="B70" s="44">
        <v>33</v>
      </c>
      <c r="C70" s="23">
        <v>20200305</v>
      </c>
      <c r="D70" s="22" t="s">
        <v>2</v>
      </c>
      <c r="E70" s="22" t="s">
        <v>159</v>
      </c>
      <c r="F70" s="24" t="s">
        <v>67</v>
      </c>
      <c r="G70" s="22" t="s">
        <v>153</v>
      </c>
      <c r="H70" s="22" t="s">
        <v>192</v>
      </c>
      <c r="I70" s="22" t="s">
        <v>67</v>
      </c>
      <c r="J70" s="22" t="s">
        <v>67</v>
      </c>
      <c r="K70" s="22" t="s">
        <v>160</v>
      </c>
      <c r="L70" s="24">
        <v>1.5</v>
      </c>
      <c r="M70" s="24" t="s">
        <v>474</v>
      </c>
      <c r="N70" s="25" t="s">
        <v>533</v>
      </c>
      <c r="O70" s="23" t="s">
        <v>200</v>
      </c>
      <c r="P70" s="22" t="s">
        <v>72</v>
      </c>
      <c r="Q70" s="22"/>
      <c r="R70" s="22"/>
      <c r="S70" s="22">
        <v>51</v>
      </c>
      <c r="T70" s="22">
        <f>ROUND(IF(D70=Table!$C$3,V70*Table!$C$4/8,V70*Table!$D$4/8),3)</f>
        <v>42.819000000000003</v>
      </c>
      <c r="U70" s="22">
        <f t="shared" si="7"/>
        <v>42.819000000000003</v>
      </c>
      <c r="V70" s="22">
        <v>2.6349999999999998</v>
      </c>
      <c r="W70" s="22">
        <v>3</v>
      </c>
      <c r="X70" s="22" t="s">
        <v>80</v>
      </c>
      <c r="Y70" s="26">
        <v>43896</v>
      </c>
      <c r="Z70" s="26">
        <v>43901</v>
      </c>
      <c r="AA70" s="26">
        <v>43896</v>
      </c>
      <c r="AB70" s="26">
        <v>43899</v>
      </c>
      <c r="AC70" s="28" t="s">
        <v>201</v>
      </c>
      <c r="AD70" s="28"/>
      <c r="AE70" s="28"/>
      <c r="AF70" s="52">
        <v>1</v>
      </c>
      <c r="AG70" s="52">
        <v>1</v>
      </c>
      <c r="AH70" s="52">
        <v>1</v>
      </c>
      <c r="AI70" s="22"/>
      <c r="AJ70" s="22"/>
      <c r="AK70" s="22"/>
    </row>
    <row r="71" spans="2:37" x14ac:dyDescent="0.25">
      <c r="B71" s="44">
        <v>34</v>
      </c>
      <c r="C71" s="23">
        <v>20200305</v>
      </c>
      <c r="D71" s="22" t="s">
        <v>2</v>
      </c>
      <c r="E71" s="22" t="s">
        <v>159</v>
      </c>
      <c r="F71" s="24" t="s">
        <v>67</v>
      </c>
      <c r="G71" s="22" t="s">
        <v>154</v>
      </c>
      <c r="H71" s="22" t="s">
        <v>193</v>
      </c>
      <c r="I71" s="22" t="s">
        <v>67</v>
      </c>
      <c r="J71" s="22" t="s">
        <v>67</v>
      </c>
      <c r="K71" s="22" t="s">
        <v>160</v>
      </c>
      <c r="L71" s="24">
        <v>2.2000000000000002</v>
      </c>
      <c r="M71" s="24" t="s">
        <v>474</v>
      </c>
      <c r="N71" s="25" t="s">
        <v>534</v>
      </c>
      <c r="O71" s="23" t="s">
        <v>200</v>
      </c>
      <c r="P71" s="22" t="s">
        <v>72</v>
      </c>
      <c r="Q71" s="22"/>
      <c r="R71" s="22"/>
      <c r="S71" s="22">
        <v>71</v>
      </c>
      <c r="T71" s="22">
        <f>ROUND(IF(D71=Table!$C$3,V71*Table!$C$4/8,V71*Table!$D$4/8),3)</f>
        <v>53.869</v>
      </c>
      <c r="U71" s="22">
        <f t="shared" si="7"/>
        <v>53.869</v>
      </c>
      <c r="V71" s="22">
        <v>3.3150000000000004</v>
      </c>
      <c r="W71" s="22">
        <v>4</v>
      </c>
      <c r="X71" s="22" t="s">
        <v>80</v>
      </c>
      <c r="Y71" s="26">
        <v>43896</v>
      </c>
      <c r="Z71" s="26">
        <v>43901</v>
      </c>
      <c r="AA71" s="26">
        <v>43896</v>
      </c>
      <c r="AB71" s="26">
        <v>43899</v>
      </c>
      <c r="AC71" s="28" t="s">
        <v>202</v>
      </c>
      <c r="AD71" s="28"/>
      <c r="AE71" s="28"/>
      <c r="AF71" s="52">
        <v>1</v>
      </c>
      <c r="AG71" s="52">
        <v>1</v>
      </c>
      <c r="AH71" s="52">
        <v>1</v>
      </c>
      <c r="AI71" s="22"/>
      <c r="AJ71" s="22"/>
      <c r="AK71" s="22"/>
    </row>
    <row r="72" spans="2:37" x14ac:dyDescent="0.25">
      <c r="B72" s="44">
        <v>35</v>
      </c>
      <c r="C72" s="23">
        <v>20200305</v>
      </c>
      <c r="D72" s="22" t="s">
        <v>2</v>
      </c>
      <c r="E72" s="22" t="s">
        <v>159</v>
      </c>
      <c r="F72" s="24" t="s">
        <v>67</v>
      </c>
      <c r="G72" s="22" t="s">
        <v>155</v>
      </c>
      <c r="H72" s="22" t="s">
        <v>194</v>
      </c>
      <c r="I72" s="22" t="s">
        <v>67</v>
      </c>
      <c r="J72" s="22" t="s">
        <v>67</v>
      </c>
      <c r="K72" s="22" t="s">
        <v>160</v>
      </c>
      <c r="L72" s="24">
        <v>1.1000000000000001</v>
      </c>
      <c r="M72" s="24" t="s">
        <v>474</v>
      </c>
      <c r="N72" s="25" t="s">
        <v>535</v>
      </c>
      <c r="O72" s="23" t="s">
        <v>200</v>
      </c>
      <c r="P72" s="22" t="s">
        <v>72</v>
      </c>
      <c r="Q72" s="22"/>
      <c r="R72" s="22"/>
      <c r="S72" s="22">
        <v>58</v>
      </c>
      <c r="T72" s="22">
        <f>ROUND(IF(D72=Table!$C$3,V72*Table!$C$4/8,V72*Table!$D$4/8),3)</f>
        <v>37.293999999999997</v>
      </c>
      <c r="U72" s="22">
        <f t="shared" si="7"/>
        <v>37.293999999999997</v>
      </c>
      <c r="V72" s="22">
        <v>2.2949999999999999</v>
      </c>
      <c r="W72" s="22">
        <v>4</v>
      </c>
      <c r="X72" s="22" t="s">
        <v>80</v>
      </c>
      <c r="Y72" s="26">
        <v>43896</v>
      </c>
      <c r="Z72" s="26">
        <v>43901</v>
      </c>
      <c r="AA72" s="26">
        <v>43896</v>
      </c>
      <c r="AB72" s="26">
        <v>43908</v>
      </c>
      <c r="AC72" s="28" t="s">
        <v>202</v>
      </c>
      <c r="AD72" s="28"/>
      <c r="AE72" s="28"/>
      <c r="AF72" s="52">
        <v>0.83900000000000008</v>
      </c>
      <c r="AG72" s="52">
        <v>0.84400000000000008</v>
      </c>
      <c r="AH72" s="52">
        <v>1</v>
      </c>
      <c r="AI72" s="22" t="s">
        <v>482</v>
      </c>
      <c r="AJ72" s="22"/>
      <c r="AK72" s="22"/>
    </row>
    <row r="73" spans="2:37" x14ac:dyDescent="0.25">
      <c r="B73" s="44">
        <v>36</v>
      </c>
      <c r="C73" s="23">
        <v>20200305</v>
      </c>
      <c r="D73" s="22" t="s">
        <v>2</v>
      </c>
      <c r="E73" s="22" t="s">
        <v>159</v>
      </c>
      <c r="F73" s="24" t="s">
        <v>67</v>
      </c>
      <c r="G73" s="22" t="s">
        <v>156</v>
      </c>
      <c r="H73" s="22" t="s">
        <v>195</v>
      </c>
      <c r="I73" s="22" t="s">
        <v>67</v>
      </c>
      <c r="J73" s="22" t="s">
        <v>67</v>
      </c>
      <c r="K73" s="22" t="s">
        <v>160</v>
      </c>
      <c r="L73" s="24" t="s">
        <v>119</v>
      </c>
      <c r="M73" s="24" t="s">
        <v>474</v>
      </c>
      <c r="N73" s="25" t="s">
        <v>536</v>
      </c>
      <c r="O73" s="23" t="s">
        <v>200</v>
      </c>
      <c r="P73" s="22" t="s">
        <v>72</v>
      </c>
      <c r="Q73" s="22"/>
      <c r="R73" s="22"/>
      <c r="S73" s="22">
        <v>47</v>
      </c>
      <c r="T73" s="22">
        <f>ROUND(IF(D73=Table!$C$3,V73*Table!$C$4/8,V73*Table!$D$4/8),3)</f>
        <v>26.244</v>
      </c>
      <c r="U73" s="22">
        <f t="shared" si="7"/>
        <v>26.244</v>
      </c>
      <c r="V73" s="22">
        <v>1.615</v>
      </c>
      <c r="W73" s="22">
        <v>4</v>
      </c>
      <c r="X73" s="22" t="s">
        <v>80</v>
      </c>
      <c r="Y73" s="26">
        <v>43896</v>
      </c>
      <c r="Z73" s="26">
        <v>43901</v>
      </c>
      <c r="AA73" s="26">
        <v>43896</v>
      </c>
      <c r="AB73" s="26">
        <v>43908</v>
      </c>
      <c r="AC73" s="28" t="s">
        <v>202</v>
      </c>
      <c r="AD73" s="28"/>
      <c r="AE73" s="28"/>
      <c r="AF73" s="52">
        <v>0.88500000000000001</v>
      </c>
      <c r="AG73" s="52">
        <v>0.88900000000000001</v>
      </c>
      <c r="AH73" s="52">
        <v>1</v>
      </c>
      <c r="AI73" s="22" t="s">
        <v>483</v>
      </c>
      <c r="AJ73" s="22"/>
      <c r="AK73" s="22" t="s">
        <v>223</v>
      </c>
    </row>
    <row r="74" spans="2:37" x14ac:dyDescent="0.25">
      <c r="B74" s="44">
        <v>37</v>
      </c>
      <c r="C74" s="23">
        <v>20200305</v>
      </c>
      <c r="D74" s="22" t="s">
        <v>2</v>
      </c>
      <c r="E74" s="22" t="s">
        <v>159</v>
      </c>
      <c r="F74" s="24" t="s">
        <v>67</v>
      </c>
      <c r="G74" s="22" t="s">
        <v>157</v>
      </c>
      <c r="H74" s="22" t="s">
        <v>196</v>
      </c>
      <c r="I74" s="22" t="s">
        <v>67</v>
      </c>
      <c r="J74" s="22" t="s">
        <v>67</v>
      </c>
      <c r="K74" s="22" t="s">
        <v>160</v>
      </c>
      <c r="L74" s="24" t="s">
        <v>120</v>
      </c>
      <c r="M74" s="24" t="s">
        <v>474</v>
      </c>
      <c r="N74" s="25" t="s">
        <v>537</v>
      </c>
      <c r="O74" s="23" t="s">
        <v>200</v>
      </c>
      <c r="P74" s="22" t="s">
        <v>72</v>
      </c>
      <c r="Q74" s="22"/>
      <c r="R74" s="22"/>
      <c r="S74" s="22">
        <v>32</v>
      </c>
      <c r="T74" s="22">
        <f>ROUND(IF(D74=Table!$C$3,V74*Table!$C$4/8,V74*Table!$D$4/8),3)</f>
        <v>31.768999999999998</v>
      </c>
      <c r="U74" s="22">
        <f t="shared" si="7"/>
        <v>31.768999999999998</v>
      </c>
      <c r="V74" s="22">
        <v>1.9549999999999998</v>
      </c>
      <c r="W74" s="22">
        <v>4</v>
      </c>
      <c r="X74" s="22" t="s">
        <v>80</v>
      </c>
      <c r="Y74" s="26">
        <v>43896</v>
      </c>
      <c r="Z74" s="26">
        <v>43901</v>
      </c>
      <c r="AA74" s="26">
        <v>43896</v>
      </c>
      <c r="AB74" s="26">
        <v>43908</v>
      </c>
      <c r="AC74" s="28" t="s">
        <v>202</v>
      </c>
      <c r="AD74" s="28"/>
      <c r="AE74" s="28"/>
      <c r="AF74" s="52">
        <v>0.75</v>
      </c>
      <c r="AG74" s="52">
        <v>0.75</v>
      </c>
      <c r="AH74" s="52">
        <v>0.90900000000000003</v>
      </c>
      <c r="AI74" s="22" t="s">
        <v>484</v>
      </c>
      <c r="AJ74" s="22"/>
      <c r="AK74" s="22"/>
    </row>
    <row r="75" spans="2:37" x14ac:dyDescent="0.25">
      <c r="B75" s="44">
        <v>38</v>
      </c>
      <c r="C75" s="23">
        <v>20200305</v>
      </c>
      <c r="D75" s="22" t="s">
        <v>2</v>
      </c>
      <c r="E75" s="22" t="s">
        <v>159</v>
      </c>
      <c r="F75" s="24" t="s">
        <v>67</v>
      </c>
      <c r="G75" s="22" t="s">
        <v>158</v>
      </c>
      <c r="H75" s="22" t="s">
        <v>197</v>
      </c>
      <c r="I75" s="22" t="s">
        <v>67</v>
      </c>
      <c r="J75" s="22" t="s">
        <v>67</v>
      </c>
      <c r="K75" s="22" t="s">
        <v>160</v>
      </c>
      <c r="L75" s="24">
        <v>1.2</v>
      </c>
      <c r="M75" s="24" t="s">
        <v>474</v>
      </c>
      <c r="N75" s="25" t="s">
        <v>538</v>
      </c>
      <c r="O75" s="23" t="s">
        <v>200</v>
      </c>
      <c r="P75" s="22" t="s">
        <v>72</v>
      </c>
      <c r="Q75" s="22"/>
      <c r="R75" s="22"/>
      <c r="S75" s="22">
        <v>73</v>
      </c>
      <c r="T75" s="22">
        <f>ROUND(IF(D75=Table!$C$3,V75*Table!$C$4/8,V75*Table!$D$4/8),3)</f>
        <v>42.819000000000003</v>
      </c>
      <c r="U75" s="22">
        <f t="shared" si="7"/>
        <v>42.819000000000003</v>
      </c>
      <c r="V75" s="22">
        <v>2.6349999999999998</v>
      </c>
      <c r="W75" s="22">
        <v>3</v>
      </c>
      <c r="X75" s="22" t="s">
        <v>80</v>
      </c>
      <c r="Y75" s="26">
        <v>43896</v>
      </c>
      <c r="Z75" s="26">
        <v>43901</v>
      </c>
      <c r="AA75" s="26">
        <v>43896</v>
      </c>
      <c r="AB75" s="26">
        <v>43896</v>
      </c>
      <c r="AC75" s="28" t="s">
        <v>201</v>
      </c>
      <c r="AD75" s="28"/>
      <c r="AE75" s="28"/>
      <c r="AF75" s="52">
        <v>1</v>
      </c>
      <c r="AG75" s="52">
        <v>1</v>
      </c>
      <c r="AH75" s="52">
        <v>1</v>
      </c>
      <c r="AI75" s="22"/>
      <c r="AJ75" s="22"/>
      <c r="AK75" s="22"/>
    </row>
    <row r="76" spans="2:37" x14ac:dyDescent="0.25">
      <c r="B76" s="45">
        <v>39</v>
      </c>
      <c r="C76" s="23">
        <v>20200306</v>
      </c>
      <c r="D76" s="22" t="s">
        <v>2</v>
      </c>
      <c r="E76" s="22" t="s">
        <v>206</v>
      </c>
      <c r="F76" s="24" t="s">
        <v>67</v>
      </c>
      <c r="G76" s="22" t="s">
        <v>207</v>
      </c>
      <c r="H76" s="22" t="s">
        <v>203</v>
      </c>
      <c r="I76" s="22" t="s">
        <v>67</v>
      </c>
      <c r="J76" s="22" t="s">
        <v>67</v>
      </c>
      <c r="K76" s="22" t="s">
        <v>212</v>
      </c>
      <c r="L76" s="24">
        <v>1</v>
      </c>
      <c r="M76" s="24" t="s">
        <v>211</v>
      </c>
      <c r="N76" s="25" t="s">
        <v>539</v>
      </c>
      <c r="O76" s="23" t="s">
        <v>210</v>
      </c>
      <c r="P76" s="22" t="s">
        <v>6</v>
      </c>
      <c r="Q76" s="22"/>
      <c r="R76" s="22"/>
      <c r="S76" s="22">
        <v>13</v>
      </c>
      <c r="T76" s="22">
        <f>ROUND(IF(D76=Table!$C$3,V76*Table!$C$4/8,V76*Table!$D$4/8),3)</f>
        <v>26</v>
      </c>
      <c r="U76" s="22">
        <f t="shared" si="7"/>
        <v>26</v>
      </c>
      <c r="V76" s="22">
        <v>1.6</v>
      </c>
      <c r="W76" s="22">
        <v>3</v>
      </c>
      <c r="X76" s="22" t="s">
        <v>80</v>
      </c>
      <c r="Y76" s="26">
        <v>43896</v>
      </c>
      <c r="Z76" s="26">
        <v>43899</v>
      </c>
      <c r="AA76" s="26">
        <v>43896</v>
      </c>
      <c r="AB76" s="26">
        <v>43896</v>
      </c>
      <c r="AC76" s="28" t="s">
        <v>202</v>
      </c>
      <c r="AD76" s="28"/>
      <c r="AE76" s="28"/>
      <c r="AF76" s="52">
        <v>0.84599999999999997</v>
      </c>
      <c r="AG76" s="52">
        <v>0.84599999999999997</v>
      </c>
      <c r="AH76" s="58" t="s">
        <v>67</v>
      </c>
      <c r="AI76" s="22"/>
      <c r="AJ76" s="22"/>
      <c r="AK76" s="22"/>
    </row>
    <row r="77" spans="2:37" x14ac:dyDescent="0.25">
      <c r="B77" s="45">
        <v>40</v>
      </c>
      <c r="C77" s="23">
        <v>20200306</v>
      </c>
      <c r="D77" s="22" t="s">
        <v>2</v>
      </c>
      <c r="E77" s="22" t="s">
        <v>206</v>
      </c>
      <c r="F77" s="24" t="s">
        <v>67</v>
      </c>
      <c r="G77" s="22" t="s">
        <v>208</v>
      </c>
      <c r="H77" s="22" t="s">
        <v>204</v>
      </c>
      <c r="I77" s="22" t="s">
        <v>67</v>
      </c>
      <c r="J77" s="22" t="s">
        <v>67</v>
      </c>
      <c r="K77" s="22" t="s">
        <v>212</v>
      </c>
      <c r="L77" s="24">
        <v>1</v>
      </c>
      <c r="M77" s="24" t="s">
        <v>211</v>
      </c>
      <c r="N77" s="25" t="s">
        <v>540</v>
      </c>
      <c r="O77" s="23" t="s">
        <v>210</v>
      </c>
      <c r="P77" s="22" t="s">
        <v>6</v>
      </c>
      <c r="Q77" s="22"/>
      <c r="R77" s="22"/>
      <c r="S77" s="22">
        <v>52</v>
      </c>
      <c r="T77" s="22">
        <f>ROUND(IF(D77=Table!$C$3,V77*Table!$C$4/8,V77*Table!$D$4/8),3)</f>
        <v>78</v>
      </c>
      <c r="U77" s="22">
        <f t="shared" si="7"/>
        <v>78</v>
      </c>
      <c r="V77" s="22">
        <v>4.8</v>
      </c>
      <c r="W77" s="22">
        <v>5</v>
      </c>
      <c r="X77" s="22" t="s">
        <v>80</v>
      </c>
      <c r="Y77" s="26">
        <v>43896</v>
      </c>
      <c r="Z77" s="26">
        <v>43899</v>
      </c>
      <c r="AA77" s="26">
        <v>43896</v>
      </c>
      <c r="AB77" s="26">
        <v>43896</v>
      </c>
      <c r="AC77" s="28" t="s">
        <v>202</v>
      </c>
      <c r="AD77" s="28"/>
      <c r="AE77" s="28"/>
      <c r="AF77" s="52">
        <v>0.88900000000000001</v>
      </c>
      <c r="AG77" s="52">
        <v>0.89400000000000002</v>
      </c>
      <c r="AH77" s="52">
        <v>0.88900000000000001</v>
      </c>
      <c r="AI77" s="22"/>
      <c r="AJ77" s="22"/>
      <c r="AK77" s="22"/>
    </row>
    <row r="78" spans="2:37" x14ac:dyDescent="0.25">
      <c r="B78" s="45">
        <v>41</v>
      </c>
      <c r="C78" s="23">
        <v>20200306</v>
      </c>
      <c r="D78" s="22" t="s">
        <v>2</v>
      </c>
      <c r="E78" s="22" t="s">
        <v>206</v>
      </c>
      <c r="F78" s="24" t="s">
        <v>67</v>
      </c>
      <c r="G78" s="22" t="s">
        <v>209</v>
      </c>
      <c r="H78" s="22" t="s">
        <v>205</v>
      </c>
      <c r="I78" s="22" t="s">
        <v>67</v>
      </c>
      <c r="J78" s="22" t="s">
        <v>67</v>
      </c>
      <c r="K78" s="22" t="s">
        <v>212</v>
      </c>
      <c r="L78" s="24">
        <v>1</v>
      </c>
      <c r="M78" s="24" t="s">
        <v>211</v>
      </c>
      <c r="N78" s="25" t="s">
        <v>541</v>
      </c>
      <c r="O78" s="23" t="s">
        <v>210</v>
      </c>
      <c r="P78" s="22" t="s">
        <v>6</v>
      </c>
      <c r="Q78" s="22"/>
      <c r="R78" s="22"/>
      <c r="S78" s="22">
        <v>28</v>
      </c>
      <c r="T78" s="22">
        <f>ROUND(IF(D78=Table!$C$3,V78*Table!$C$4/8,V78*Table!$D$4/8),3)</f>
        <v>39</v>
      </c>
      <c r="U78" s="22">
        <f t="shared" si="7"/>
        <v>39</v>
      </c>
      <c r="V78" s="22">
        <v>2.4</v>
      </c>
      <c r="W78" s="22">
        <v>4</v>
      </c>
      <c r="X78" s="22" t="s">
        <v>80</v>
      </c>
      <c r="Y78" s="26">
        <v>43896</v>
      </c>
      <c r="Z78" s="26">
        <v>43899</v>
      </c>
      <c r="AA78" s="26">
        <v>43899</v>
      </c>
      <c r="AB78" s="26">
        <v>43899</v>
      </c>
      <c r="AC78" s="26" t="s">
        <v>201</v>
      </c>
      <c r="AD78" s="114"/>
      <c r="AE78" s="114"/>
      <c r="AF78" s="52">
        <v>1</v>
      </c>
      <c r="AG78" s="52">
        <v>1</v>
      </c>
      <c r="AH78" s="52">
        <v>1</v>
      </c>
      <c r="AI78" s="22"/>
      <c r="AJ78" s="22"/>
      <c r="AK78" s="22"/>
    </row>
    <row r="79" spans="2:37" x14ac:dyDescent="0.25">
      <c r="B79" s="25">
        <v>42</v>
      </c>
      <c r="C79" s="23">
        <v>20200316</v>
      </c>
      <c r="D79" s="22" t="s">
        <v>2</v>
      </c>
      <c r="E79" s="22" t="s">
        <v>283</v>
      </c>
      <c r="F79" s="24" t="s">
        <v>308</v>
      </c>
      <c r="G79" s="22" t="s">
        <v>137</v>
      </c>
      <c r="H79" s="22" t="s">
        <v>235</v>
      </c>
      <c r="I79" s="22" t="s">
        <v>330</v>
      </c>
      <c r="J79" s="22" t="s">
        <v>67</v>
      </c>
      <c r="K79" s="22" t="s">
        <v>325</v>
      </c>
      <c r="L79" s="24" t="s">
        <v>263</v>
      </c>
      <c r="M79" s="24" t="s">
        <v>233</v>
      </c>
      <c r="N79" s="25" t="s">
        <v>542</v>
      </c>
      <c r="O79" s="23" t="s">
        <v>320</v>
      </c>
      <c r="P79" s="22" t="s">
        <v>6</v>
      </c>
      <c r="Q79" s="22"/>
      <c r="R79" s="22"/>
      <c r="S79" s="22">
        <v>59</v>
      </c>
      <c r="T79" s="22">
        <f>ROUND(IF(D79=Table!$C$3,V79*Table!$C$4/8,V79*Table!$D$4/8),3)</f>
        <v>65</v>
      </c>
      <c r="U79" s="22">
        <f t="shared" si="7"/>
        <v>65</v>
      </c>
      <c r="V79" s="22">
        <v>4</v>
      </c>
      <c r="W79" s="22">
        <v>10</v>
      </c>
      <c r="X79" s="22" t="s">
        <v>80</v>
      </c>
      <c r="Y79" s="26">
        <v>43906</v>
      </c>
      <c r="Z79" s="26">
        <v>43909</v>
      </c>
      <c r="AA79" s="26">
        <v>43907</v>
      </c>
      <c r="AB79" s="26">
        <v>43907</v>
      </c>
      <c r="AC79" s="26" t="s">
        <v>201</v>
      </c>
      <c r="AD79" s="114"/>
      <c r="AE79" s="114"/>
      <c r="AF79" s="52">
        <v>0.81299999999999994</v>
      </c>
      <c r="AG79" s="52">
        <v>0.81299999999999994</v>
      </c>
      <c r="AH79" s="52" t="s">
        <v>216</v>
      </c>
      <c r="AI79" s="22" t="s">
        <v>327</v>
      </c>
      <c r="AJ79" s="22"/>
      <c r="AK79" s="22"/>
    </row>
    <row r="80" spans="2:37" x14ac:dyDescent="0.25">
      <c r="B80" s="25">
        <v>43</v>
      </c>
      <c r="C80" s="23">
        <v>20200316</v>
      </c>
      <c r="D80" s="22" t="s">
        <v>2</v>
      </c>
      <c r="E80" s="22" t="s">
        <v>283</v>
      </c>
      <c r="F80" s="24" t="s">
        <v>308</v>
      </c>
      <c r="G80" s="22" t="s">
        <v>155</v>
      </c>
      <c r="H80" s="22" t="s">
        <v>247</v>
      </c>
      <c r="I80" s="22" t="s">
        <v>330</v>
      </c>
      <c r="J80" s="22" t="s">
        <v>67</v>
      </c>
      <c r="K80" s="22" t="s">
        <v>325</v>
      </c>
      <c r="L80" s="24" t="s">
        <v>266</v>
      </c>
      <c r="M80" s="24" t="s">
        <v>233</v>
      </c>
      <c r="N80" s="25" t="s">
        <v>543</v>
      </c>
      <c r="O80" s="23" t="s">
        <v>320</v>
      </c>
      <c r="P80" s="22" t="s">
        <v>6</v>
      </c>
      <c r="Q80" s="22"/>
      <c r="R80" s="22"/>
      <c r="S80" s="22">
        <v>55</v>
      </c>
      <c r="T80" s="22">
        <f>ROUND(IF(D80=Table!$C$3,V80*Table!$C$4/8,V80*Table!$D$4/8),3)</f>
        <v>65</v>
      </c>
      <c r="U80" s="22">
        <f t="shared" si="7"/>
        <v>65</v>
      </c>
      <c r="V80" s="22">
        <v>4</v>
      </c>
      <c r="W80" s="22">
        <v>3</v>
      </c>
      <c r="X80" s="22" t="s">
        <v>80</v>
      </c>
      <c r="Y80" s="26">
        <v>43906</v>
      </c>
      <c r="Z80" s="26">
        <v>43909</v>
      </c>
      <c r="AA80" s="26">
        <v>43907</v>
      </c>
      <c r="AB80" s="26">
        <v>43907</v>
      </c>
      <c r="AC80" s="26" t="s">
        <v>201</v>
      </c>
      <c r="AD80" s="114"/>
      <c r="AE80" s="114"/>
      <c r="AF80" s="52">
        <v>0.72699999999999998</v>
      </c>
      <c r="AG80" s="52">
        <v>0.75</v>
      </c>
      <c r="AH80" s="52" t="s">
        <v>216</v>
      </c>
      <c r="AI80" s="22" t="s">
        <v>328</v>
      </c>
      <c r="AJ80" s="22"/>
      <c r="AK80" s="22"/>
    </row>
    <row r="81" spans="1:37" x14ac:dyDescent="0.25">
      <c r="B81" s="25">
        <v>44</v>
      </c>
      <c r="C81" s="23">
        <v>20200316</v>
      </c>
      <c r="D81" s="22" t="s">
        <v>3</v>
      </c>
      <c r="E81" s="22" t="s">
        <v>283</v>
      </c>
      <c r="F81" s="24" t="s">
        <v>282</v>
      </c>
      <c r="G81" s="22" t="s">
        <v>290</v>
      </c>
      <c r="H81" s="22" t="s">
        <v>260</v>
      </c>
      <c r="I81" s="22" t="s">
        <v>331</v>
      </c>
      <c r="J81" s="22" t="s">
        <v>67</v>
      </c>
      <c r="K81" s="22" t="s">
        <v>333</v>
      </c>
      <c r="L81" s="24" t="s">
        <v>280</v>
      </c>
      <c r="M81" s="24" t="s">
        <v>233</v>
      </c>
      <c r="N81" s="25" t="s">
        <v>544</v>
      </c>
      <c r="O81" s="23" t="s">
        <v>320</v>
      </c>
      <c r="P81" s="22" t="s">
        <v>6</v>
      </c>
      <c r="Q81" s="22"/>
      <c r="R81" s="22"/>
      <c r="S81" s="22">
        <v>218</v>
      </c>
      <c r="T81" s="22">
        <f>ROUND(IF(D81=Table!$C$3,V81*Table!$C$4/8,V81*Table!$D$4/8),3)</f>
        <v>225</v>
      </c>
      <c r="U81" s="22">
        <f t="shared" si="7"/>
        <v>225</v>
      </c>
      <c r="V81" s="22">
        <v>4</v>
      </c>
      <c r="W81" s="22">
        <v>4</v>
      </c>
      <c r="X81" s="22" t="s">
        <v>80</v>
      </c>
      <c r="Y81" s="26">
        <v>43906</v>
      </c>
      <c r="Z81" s="26">
        <v>43909</v>
      </c>
      <c r="AA81" s="26">
        <v>43908</v>
      </c>
      <c r="AB81" s="26">
        <v>43908</v>
      </c>
      <c r="AC81" s="26" t="s">
        <v>201</v>
      </c>
      <c r="AD81" s="114"/>
      <c r="AE81" s="114"/>
      <c r="AF81" s="52">
        <v>0.97</v>
      </c>
      <c r="AG81" s="52">
        <v>0.89</v>
      </c>
      <c r="AH81" s="52">
        <v>0</v>
      </c>
      <c r="AI81" s="22" t="s">
        <v>329</v>
      </c>
      <c r="AJ81" s="24"/>
      <c r="AK81" s="22" t="s">
        <v>306</v>
      </c>
    </row>
    <row r="82" spans="1:37" x14ac:dyDescent="0.25">
      <c r="B82" s="25">
        <v>45</v>
      </c>
      <c r="C82" s="23">
        <v>20200316</v>
      </c>
      <c r="D82" s="22" t="s">
        <v>2</v>
      </c>
      <c r="E82" s="22" t="s">
        <v>283</v>
      </c>
      <c r="F82" s="24" t="s">
        <v>307</v>
      </c>
      <c r="G82" s="22" t="s">
        <v>291</v>
      </c>
      <c r="H82" s="22" t="s">
        <v>234</v>
      </c>
      <c r="I82" s="22" t="s">
        <v>331</v>
      </c>
      <c r="J82" s="22" t="s">
        <v>67</v>
      </c>
      <c r="K82" s="22" t="s">
        <v>325</v>
      </c>
      <c r="L82" s="24" t="s">
        <v>261</v>
      </c>
      <c r="M82" s="24" t="s">
        <v>233</v>
      </c>
      <c r="N82" s="25" t="s">
        <v>545</v>
      </c>
      <c r="O82" s="23" t="s">
        <v>320</v>
      </c>
      <c r="P82" s="22" t="s">
        <v>6</v>
      </c>
      <c r="Q82" s="22"/>
      <c r="R82" s="22"/>
      <c r="S82" s="22">
        <v>69</v>
      </c>
      <c r="T82" s="22">
        <f>ROUND(IF(D82=Table!$C$3,V82*Table!$C$4/8,V82*Table!$D$4/8),3)</f>
        <v>65</v>
      </c>
      <c r="U82" s="22">
        <f t="shared" si="7"/>
        <v>65</v>
      </c>
      <c r="V82" s="22">
        <v>4</v>
      </c>
      <c r="W82" s="22">
        <v>3</v>
      </c>
      <c r="X82" s="22" t="s">
        <v>80</v>
      </c>
      <c r="Y82" s="26">
        <v>43906</v>
      </c>
      <c r="Z82" s="26">
        <v>43909</v>
      </c>
      <c r="AA82" s="26">
        <v>43907</v>
      </c>
      <c r="AB82" s="26">
        <v>43907</v>
      </c>
      <c r="AC82" s="26" t="s">
        <v>201</v>
      </c>
      <c r="AD82" s="114"/>
      <c r="AE82" s="114"/>
      <c r="AF82" s="52">
        <v>1</v>
      </c>
      <c r="AG82" s="52">
        <v>1</v>
      </c>
      <c r="AH82" s="52">
        <v>0.13600000000000001</v>
      </c>
      <c r="AI82" s="22"/>
      <c r="AJ82" s="22"/>
      <c r="AK82" s="22"/>
    </row>
    <row r="83" spans="1:37" x14ac:dyDescent="0.25">
      <c r="B83" s="25">
        <v>46</v>
      </c>
      <c r="C83" s="23">
        <v>20200316</v>
      </c>
      <c r="D83" s="22" t="s">
        <v>2</v>
      </c>
      <c r="E83" s="22" t="s">
        <v>283</v>
      </c>
      <c r="F83" s="24" t="s">
        <v>308</v>
      </c>
      <c r="G83" s="22" t="s">
        <v>292</v>
      </c>
      <c r="H83" s="22" t="s">
        <v>236</v>
      </c>
      <c r="I83" s="22" t="s">
        <v>330</v>
      </c>
      <c r="J83" s="22" t="s">
        <v>67</v>
      </c>
      <c r="K83" s="22" t="s">
        <v>325</v>
      </c>
      <c r="L83" s="24" t="s">
        <v>264</v>
      </c>
      <c r="M83" s="24" t="s">
        <v>233</v>
      </c>
      <c r="N83" s="25" t="s">
        <v>546</v>
      </c>
      <c r="O83" s="23" t="s">
        <v>321</v>
      </c>
      <c r="P83" s="22" t="s">
        <v>70</v>
      </c>
      <c r="Q83" s="22"/>
      <c r="R83" s="22"/>
      <c r="S83" s="22">
        <v>76</v>
      </c>
      <c r="T83" s="22">
        <f>ROUND(IF(D83=Table!$C$3,V83*Table!$C$4/8,V83*Table!$D$4/8),3)</f>
        <v>65</v>
      </c>
      <c r="U83" s="22">
        <f t="shared" si="7"/>
        <v>65</v>
      </c>
      <c r="V83" s="22">
        <v>4</v>
      </c>
      <c r="W83" s="22">
        <v>4</v>
      </c>
      <c r="X83" s="22" t="s">
        <v>80</v>
      </c>
      <c r="Y83" s="26">
        <v>43906</v>
      </c>
      <c r="Z83" s="26">
        <v>43909</v>
      </c>
      <c r="AA83" s="26">
        <v>43907</v>
      </c>
      <c r="AB83" s="26">
        <v>43907</v>
      </c>
      <c r="AC83" s="26" t="s">
        <v>201</v>
      </c>
      <c r="AD83" s="114"/>
      <c r="AE83" s="114"/>
      <c r="AF83" s="52">
        <v>0.879</v>
      </c>
      <c r="AG83" s="52">
        <v>0.879</v>
      </c>
      <c r="AH83" s="52" t="s">
        <v>216</v>
      </c>
      <c r="AI83" s="22" t="s">
        <v>326</v>
      </c>
      <c r="AJ83" s="46"/>
      <c r="AK83" s="22"/>
    </row>
    <row r="84" spans="1:37" x14ac:dyDescent="0.25">
      <c r="B84" s="25">
        <v>47</v>
      </c>
      <c r="C84" s="23">
        <v>20200316</v>
      </c>
      <c r="D84" s="22" t="s">
        <v>2</v>
      </c>
      <c r="E84" s="22" t="s">
        <v>283</v>
      </c>
      <c r="F84" s="24" t="s">
        <v>308</v>
      </c>
      <c r="G84" s="22" t="s">
        <v>295</v>
      </c>
      <c r="H84" s="22" t="s">
        <v>239</v>
      </c>
      <c r="I84" s="22" t="s">
        <v>330</v>
      </c>
      <c r="J84" s="22" t="s">
        <v>67</v>
      </c>
      <c r="K84" s="22" t="s">
        <v>325</v>
      </c>
      <c r="L84" s="24" t="s">
        <v>267</v>
      </c>
      <c r="M84" s="24" t="s">
        <v>233</v>
      </c>
      <c r="N84" s="25" t="s">
        <v>547</v>
      </c>
      <c r="O84" s="23" t="s">
        <v>321</v>
      </c>
      <c r="P84" s="22" t="s">
        <v>70</v>
      </c>
      <c r="Q84" s="22"/>
      <c r="R84" s="22"/>
      <c r="S84" s="22">
        <v>68</v>
      </c>
      <c r="T84" s="22">
        <f>ROUND(IF(D84=Table!$C$3,V84*Table!$C$4/8,V84*Table!$D$4/8),3)</f>
        <v>65</v>
      </c>
      <c r="U84" s="22">
        <f t="shared" si="7"/>
        <v>65</v>
      </c>
      <c r="V84" s="22">
        <v>4</v>
      </c>
      <c r="W84" s="22">
        <v>4</v>
      </c>
      <c r="X84" s="22" t="s">
        <v>80</v>
      </c>
      <c r="Y84" s="26">
        <v>43906</v>
      </c>
      <c r="Z84" s="26">
        <v>43909</v>
      </c>
      <c r="AA84" s="26">
        <v>43908</v>
      </c>
      <c r="AB84" s="26">
        <v>43908</v>
      </c>
      <c r="AC84" s="26" t="s">
        <v>202</v>
      </c>
      <c r="AD84" s="114"/>
      <c r="AE84" s="114"/>
      <c r="AF84" s="52">
        <v>0.95</v>
      </c>
      <c r="AG84" s="52">
        <v>0.95</v>
      </c>
      <c r="AH84" s="52">
        <v>0.01</v>
      </c>
      <c r="AI84" s="22" t="s">
        <v>453</v>
      </c>
      <c r="AJ84" s="36"/>
      <c r="AK84" s="22"/>
    </row>
    <row r="85" spans="1:37" x14ac:dyDescent="0.25">
      <c r="B85" s="25">
        <v>48</v>
      </c>
      <c r="C85" s="23">
        <v>20200316</v>
      </c>
      <c r="D85" s="22" t="s">
        <v>2</v>
      </c>
      <c r="E85" s="22" t="s">
        <v>283</v>
      </c>
      <c r="F85" s="24" t="s">
        <v>308</v>
      </c>
      <c r="G85" s="22" t="s">
        <v>154</v>
      </c>
      <c r="H85" s="22" t="s">
        <v>245</v>
      </c>
      <c r="I85" s="22" t="s">
        <v>330</v>
      </c>
      <c r="J85" s="22" t="s">
        <v>67</v>
      </c>
      <c r="K85" s="22" t="s">
        <v>325</v>
      </c>
      <c r="L85" s="24" t="s">
        <v>265</v>
      </c>
      <c r="M85" s="24" t="s">
        <v>233</v>
      </c>
      <c r="N85" s="25" t="s">
        <v>548</v>
      </c>
      <c r="O85" s="23" t="s">
        <v>321</v>
      </c>
      <c r="P85" s="22" t="s">
        <v>70</v>
      </c>
      <c r="Q85" s="22"/>
      <c r="R85" s="22"/>
      <c r="S85" s="22">
        <v>76</v>
      </c>
      <c r="T85" s="22">
        <f>ROUND(IF(D85=Table!$C$3,V85*Table!$C$4/8,V85*Table!$D$4/8),3)</f>
        <v>65</v>
      </c>
      <c r="U85" s="22">
        <f t="shared" si="7"/>
        <v>65</v>
      </c>
      <c r="V85" s="22">
        <v>4</v>
      </c>
      <c r="W85" s="22">
        <v>4</v>
      </c>
      <c r="X85" s="22" t="s">
        <v>80</v>
      </c>
      <c r="Y85" s="26">
        <v>43906</v>
      </c>
      <c r="Z85" s="26">
        <v>43909</v>
      </c>
      <c r="AA85" s="26">
        <v>43908</v>
      </c>
      <c r="AB85" s="26">
        <v>43908</v>
      </c>
      <c r="AC85" s="26" t="s">
        <v>202</v>
      </c>
      <c r="AD85" s="114"/>
      <c r="AE85" s="114"/>
      <c r="AF85" s="52">
        <v>0.85699999999999998</v>
      </c>
      <c r="AG85" s="52">
        <v>0.86199999999999999</v>
      </c>
      <c r="AH85" s="52">
        <v>0.5</v>
      </c>
      <c r="AI85" s="22" t="s">
        <v>454</v>
      </c>
      <c r="AJ85" s="36"/>
      <c r="AK85" s="22"/>
    </row>
    <row r="86" spans="1:37" x14ac:dyDescent="0.25">
      <c r="B86" s="25">
        <v>49</v>
      </c>
      <c r="C86" s="23">
        <v>20200316</v>
      </c>
      <c r="D86" s="22" t="s">
        <v>2</v>
      </c>
      <c r="E86" s="22" t="s">
        <v>283</v>
      </c>
      <c r="F86" s="24" t="s">
        <v>281</v>
      </c>
      <c r="G86" s="22" t="s">
        <v>300</v>
      </c>
      <c r="H86" s="22" t="s">
        <v>254</v>
      </c>
      <c r="I86" s="22" t="s">
        <v>330</v>
      </c>
      <c r="J86" s="22" t="s">
        <v>67</v>
      </c>
      <c r="K86" s="22" t="s">
        <v>325</v>
      </c>
      <c r="L86" s="24" t="s">
        <v>276</v>
      </c>
      <c r="M86" s="24" t="s">
        <v>233</v>
      </c>
      <c r="N86" s="25" t="s">
        <v>549</v>
      </c>
      <c r="O86" s="23" t="s">
        <v>321</v>
      </c>
      <c r="P86" s="22" t="s">
        <v>70</v>
      </c>
      <c r="Q86" s="22"/>
      <c r="R86" s="22"/>
      <c r="S86" s="22">
        <v>68</v>
      </c>
      <c r="T86" s="22">
        <f>ROUND(IF(D86=Table!$C$3,V86*Table!$C$4/8,V86*Table!$D$4/8),3)</f>
        <v>65</v>
      </c>
      <c r="U86" s="22">
        <f t="shared" si="7"/>
        <v>65</v>
      </c>
      <c r="V86" s="22">
        <v>4</v>
      </c>
      <c r="W86" s="22">
        <v>4</v>
      </c>
      <c r="X86" s="22" t="s">
        <v>80</v>
      </c>
      <c r="Y86" s="26">
        <v>43906</v>
      </c>
      <c r="Z86" s="26">
        <v>43909</v>
      </c>
      <c r="AA86" s="26">
        <v>43909</v>
      </c>
      <c r="AB86" s="26">
        <v>43909</v>
      </c>
      <c r="AC86" s="26" t="s">
        <v>201</v>
      </c>
      <c r="AD86" s="114"/>
      <c r="AE86" s="114"/>
      <c r="AF86" s="52">
        <v>0.01</v>
      </c>
      <c r="AG86" s="52">
        <v>0.01</v>
      </c>
      <c r="AH86" s="52">
        <v>0.51700000000000002</v>
      </c>
      <c r="AI86" s="22"/>
      <c r="AJ86" s="22"/>
      <c r="AK86" s="22"/>
    </row>
    <row r="87" spans="1:37" x14ac:dyDescent="0.25">
      <c r="B87" s="25">
        <v>50</v>
      </c>
      <c r="C87" s="23">
        <v>20200316</v>
      </c>
      <c r="D87" s="22" t="s">
        <v>2</v>
      </c>
      <c r="E87" s="22" t="s">
        <v>283</v>
      </c>
      <c r="F87" s="24" t="s">
        <v>308</v>
      </c>
      <c r="G87" s="22" t="s">
        <v>294</v>
      </c>
      <c r="H87" s="22" t="s">
        <v>238</v>
      </c>
      <c r="I87" s="22" t="s">
        <v>331</v>
      </c>
      <c r="J87" s="22" t="s">
        <v>67</v>
      </c>
      <c r="K87" s="22" t="s">
        <v>325</v>
      </c>
      <c r="L87" s="24" t="s">
        <v>262</v>
      </c>
      <c r="M87" s="24" t="s">
        <v>233</v>
      </c>
      <c r="N87" s="25" t="s">
        <v>550</v>
      </c>
      <c r="O87" s="23" t="s">
        <v>321</v>
      </c>
      <c r="P87" s="22" t="s">
        <v>6</v>
      </c>
      <c r="Q87" s="22"/>
      <c r="R87" s="22"/>
      <c r="S87" s="22">
        <v>50</v>
      </c>
      <c r="T87" s="22">
        <f>ROUND(IF(D87=Table!$C$3,V87*Table!$C$4/8,V87*Table!$D$4/8),3)</f>
        <v>52</v>
      </c>
      <c r="U87" s="22">
        <f t="shared" si="7"/>
        <v>52</v>
      </c>
      <c r="V87" s="22">
        <v>3.2</v>
      </c>
      <c r="W87" s="22">
        <v>4</v>
      </c>
      <c r="X87" s="22" t="s">
        <v>80</v>
      </c>
      <c r="Y87" s="26">
        <v>43906</v>
      </c>
      <c r="Z87" s="26">
        <v>43909</v>
      </c>
      <c r="AA87" s="26">
        <v>43908</v>
      </c>
      <c r="AB87" s="26">
        <v>43908</v>
      </c>
      <c r="AC87" s="26" t="s">
        <v>201</v>
      </c>
      <c r="AD87" s="114"/>
      <c r="AE87" s="114"/>
      <c r="AF87" s="52">
        <v>0.88900000000000001</v>
      </c>
      <c r="AG87" s="52">
        <v>0.89300000000000002</v>
      </c>
      <c r="AH87" s="52" t="s">
        <v>216</v>
      </c>
      <c r="AI87" s="22" t="s">
        <v>337</v>
      </c>
      <c r="AJ87" s="22"/>
      <c r="AK87" s="22"/>
    </row>
    <row r="88" spans="1:37" x14ac:dyDescent="0.25">
      <c r="B88" s="25">
        <v>51</v>
      </c>
      <c r="C88" s="23">
        <v>20200316</v>
      </c>
      <c r="D88" s="22" t="s">
        <v>2</v>
      </c>
      <c r="E88" s="22" t="s">
        <v>283</v>
      </c>
      <c r="F88" s="24" t="s">
        <v>308</v>
      </c>
      <c r="G88" s="22" t="s">
        <v>293</v>
      </c>
      <c r="H88" s="22" t="s">
        <v>237</v>
      </c>
      <c r="I88" s="22" t="s">
        <v>330</v>
      </c>
      <c r="J88" s="22" t="s">
        <v>67</v>
      </c>
      <c r="K88" s="22" t="s">
        <v>325</v>
      </c>
      <c r="L88" s="24" t="s">
        <v>266</v>
      </c>
      <c r="M88" s="24" t="s">
        <v>233</v>
      </c>
      <c r="N88" s="25" t="s">
        <v>551</v>
      </c>
      <c r="O88" s="23" t="s">
        <v>321</v>
      </c>
      <c r="P88" s="22" t="s">
        <v>70</v>
      </c>
      <c r="Q88" s="22"/>
      <c r="R88" s="22"/>
      <c r="S88" s="22">
        <v>94</v>
      </c>
      <c r="T88" s="22">
        <f>ROUND(IF(D88=Table!$C$3,V88*Table!$C$4/8,V88*Table!$D$4/8),3)</f>
        <v>84.5</v>
      </c>
      <c r="U88" s="22">
        <f t="shared" si="7"/>
        <v>84.5</v>
      </c>
      <c r="V88" s="22">
        <v>5.2</v>
      </c>
      <c r="W88" s="22">
        <v>5.2</v>
      </c>
      <c r="X88" s="22" t="s">
        <v>80</v>
      </c>
      <c r="Y88" s="26">
        <v>43906</v>
      </c>
      <c r="Z88" s="26">
        <v>43909</v>
      </c>
      <c r="AA88" s="26">
        <v>43909</v>
      </c>
      <c r="AB88" s="26">
        <v>43909</v>
      </c>
      <c r="AC88" s="26" t="s">
        <v>202</v>
      </c>
      <c r="AD88" s="114"/>
      <c r="AE88" s="114"/>
      <c r="AF88" s="52">
        <v>0.90400000000000003</v>
      </c>
      <c r="AG88" s="52">
        <v>0.90500000000000003</v>
      </c>
      <c r="AH88" s="52">
        <v>0.7</v>
      </c>
      <c r="AI88" s="22" t="s">
        <v>455</v>
      </c>
      <c r="AJ88" s="36"/>
      <c r="AK88" s="22"/>
    </row>
    <row r="89" spans="1:37" x14ac:dyDescent="0.25">
      <c r="B89" s="25">
        <v>52</v>
      </c>
      <c r="C89" s="23">
        <v>20200316</v>
      </c>
      <c r="D89" s="22" t="s">
        <v>2</v>
      </c>
      <c r="E89" s="22" t="s">
        <v>283</v>
      </c>
      <c r="F89" s="24" t="s">
        <v>308</v>
      </c>
      <c r="G89" s="22" t="s">
        <v>144</v>
      </c>
      <c r="H89" s="22" t="s">
        <v>240</v>
      </c>
      <c r="I89" s="22" t="s">
        <v>330</v>
      </c>
      <c r="J89" s="22" t="s">
        <v>67</v>
      </c>
      <c r="K89" s="22" t="s">
        <v>325</v>
      </c>
      <c r="L89" s="24" t="s">
        <v>268</v>
      </c>
      <c r="M89" s="24" t="s">
        <v>233</v>
      </c>
      <c r="N89" s="25" t="s">
        <v>552</v>
      </c>
      <c r="O89" s="23" t="s">
        <v>321</v>
      </c>
      <c r="P89" s="22" t="s">
        <v>70</v>
      </c>
      <c r="Q89" s="22"/>
      <c r="R89" s="22"/>
      <c r="S89" s="22">
        <v>81</v>
      </c>
      <c r="T89" s="22">
        <f>ROUND(IF(D89=Table!$C$3,V89*Table!$C$4/8,V89*Table!$D$4/8),3)</f>
        <v>84.5</v>
      </c>
      <c r="U89" s="22">
        <f t="shared" si="7"/>
        <v>84.5</v>
      </c>
      <c r="V89" s="22">
        <v>5.2</v>
      </c>
      <c r="W89" s="22">
        <v>5.2</v>
      </c>
      <c r="X89" s="22" t="s">
        <v>80</v>
      </c>
      <c r="Y89" s="26">
        <v>43906</v>
      </c>
      <c r="Z89" s="26">
        <v>43909</v>
      </c>
      <c r="AA89" s="26">
        <v>43909</v>
      </c>
      <c r="AB89" s="26">
        <v>43909</v>
      </c>
      <c r="AC89" s="26" t="s">
        <v>202</v>
      </c>
      <c r="AD89" s="114"/>
      <c r="AE89" s="114"/>
      <c r="AF89" s="52">
        <v>0.878</v>
      </c>
      <c r="AG89" s="52">
        <v>0.88500000000000001</v>
      </c>
      <c r="AH89" s="52">
        <v>0.5</v>
      </c>
      <c r="AI89" s="22" t="s">
        <v>456</v>
      </c>
      <c r="AJ89" s="36"/>
      <c r="AK89" s="22"/>
    </row>
    <row r="90" spans="1:37" x14ac:dyDescent="0.25">
      <c r="B90" s="25">
        <v>53</v>
      </c>
      <c r="C90" s="23">
        <v>20200316</v>
      </c>
      <c r="D90" s="22" t="s">
        <v>2</v>
      </c>
      <c r="E90" s="22" t="s">
        <v>283</v>
      </c>
      <c r="F90" s="24" t="s">
        <v>308</v>
      </c>
      <c r="G90" s="22" t="s">
        <v>145</v>
      </c>
      <c r="H90" s="22" t="s">
        <v>241</v>
      </c>
      <c r="I90" s="22" t="s">
        <v>330</v>
      </c>
      <c r="J90" s="22" t="s">
        <v>67</v>
      </c>
      <c r="K90" s="22" t="s">
        <v>325</v>
      </c>
      <c r="L90" s="24" t="s">
        <v>269</v>
      </c>
      <c r="M90" s="24" t="s">
        <v>233</v>
      </c>
      <c r="N90" s="25" t="s">
        <v>553</v>
      </c>
      <c r="O90" s="23" t="s">
        <v>321</v>
      </c>
      <c r="P90" s="22" t="s">
        <v>72</v>
      </c>
      <c r="Q90" s="22"/>
      <c r="R90" s="22"/>
      <c r="S90" s="22">
        <v>100</v>
      </c>
      <c r="T90" s="22">
        <f>ROUND(IF(D90=Table!$C$3,V90*Table!$C$4/8,V90*Table!$D$4/8),3)</f>
        <v>84.5</v>
      </c>
      <c r="U90" s="22">
        <f t="shared" si="7"/>
        <v>84.5</v>
      </c>
      <c r="V90" s="22">
        <v>5.2</v>
      </c>
      <c r="W90" s="22">
        <v>6</v>
      </c>
      <c r="X90" s="22" t="s">
        <v>80</v>
      </c>
      <c r="Y90" s="26">
        <v>43906</v>
      </c>
      <c r="Z90" s="26">
        <v>43909</v>
      </c>
      <c r="AA90" s="26">
        <v>43908</v>
      </c>
      <c r="AB90" s="26">
        <v>43908</v>
      </c>
      <c r="AC90" s="26" t="s">
        <v>202</v>
      </c>
      <c r="AD90" s="114"/>
      <c r="AE90" s="114"/>
      <c r="AF90" s="52">
        <v>0.85699999999999998</v>
      </c>
      <c r="AG90" s="52">
        <v>0.85699999999999998</v>
      </c>
      <c r="AH90" s="52">
        <v>0.53300000000000003</v>
      </c>
      <c r="AI90" s="22" t="s">
        <v>468</v>
      </c>
      <c r="AJ90" s="22"/>
      <c r="AK90" s="22"/>
    </row>
    <row r="91" spans="1:37" x14ac:dyDescent="0.25">
      <c r="A91" s="47"/>
      <c r="B91" s="25">
        <v>54</v>
      </c>
      <c r="C91" s="48">
        <v>20200316</v>
      </c>
      <c r="D91" s="48" t="s">
        <v>2</v>
      </c>
      <c r="E91" s="48" t="s">
        <v>283</v>
      </c>
      <c r="F91" s="49" t="s">
        <v>308</v>
      </c>
      <c r="G91" s="48" t="s">
        <v>152</v>
      </c>
      <c r="H91" s="48" t="s">
        <v>243</v>
      </c>
      <c r="I91" s="48" t="s">
        <v>330</v>
      </c>
      <c r="J91" s="48" t="s">
        <v>67</v>
      </c>
      <c r="K91" s="48" t="s">
        <v>325</v>
      </c>
      <c r="L91" s="49" t="s">
        <v>270</v>
      </c>
      <c r="M91" s="24" t="s">
        <v>233</v>
      </c>
      <c r="N91" s="25" t="s">
        <v>554</v>
      </c>
      <c r="O91" s="48" t="s">
        <v>322</v>
      </c>
      <c r="P91" s="48" t="s">
        <v>72</v>
      </c>
      <c r="Q91" s="48"/>
      <c r="R91" s="48"/>
      <c r="S91" s="48">
        <v>48</v>
      </c>
      <c r="T91" s="22">
        <f>ROUND(IF(D91=Table!$C$3,V91*Table!$C$4/8,V91*Table!$D$4/8),3)</f>
        <v>52</v>
      </c>
      <c r="U91" s="22">
        <f t="shared" si="7"/>
        <v>52</v>
      </c>
      <c r="V91" s="48">
        <v>3.2</v>
      </c>
      <c r="W91" s="48">
        <v>6</v>
      </c>
      <c r="X91" s="22" t="s">
        <v>80</v>
      </c>
      <c r="Y91" s="26">
        <v>43906</v>
      </c>
      <c r="Z91" s="50">
        <v>43909</v>
      </c>
      <c r="AA91" s="50">
        <v>43908</v>
      </c>
      <c r="AB91" s="50">
        <v>43908</v>
      </c>
      <c r="AC91" s="50" t="s">
        <v>201</v>
      </c>
      <c r="AD91" s="114"/>
      <c r="AE91" s="114"/>
      <c r="AF91" s="53">
        <v>0.96400000000000008</v>
      </c>
      <c r="AG91" s="53">
        <v>0.96400000000000008</v>
      </c>
      <c r="AH91" s="53" t="s">
        <v>216</v>
      </c>
      <c r="AI91" s="22" t="s">
        <v>336</v>
      </c>
      <c r="AJ91" s="48"/>
      <c r="AK91" s="48"/>
    </row>
    <row r="92" spans="1:37" x14ac:dyDescent="0.25">
      <c r="B92" s="25">
        <v>55</v>
      </c>
      <c r="C92" s="23">
        <v>20200316</v>
      </c>
      <c r="D92" s="22" t="s">
        <v>2</v>
      </c>
      <c r="E92" s="22" t="s">
        <v>283</v>
      </c>
      <c r="F92" s="24" t="s">
        <v>308</v>
      </c>
      <c r="G92" s="22" t="s">
        <v>153</v>
      </c>
      <c r="H92" s="22" t="s">
        <v>244</v>
      </c>
      <c r="I92" s="22" t="s">
        <v>331</v>
      </c>
      <c r="J92" s="22" t="s">
        <v>67</v>
      </c>
      <c r="K92" s="22" t="s">
        <v>325</v>
      </c>
      <c r="L92" s="24" t="s">
        <v>271</v>
      </c>
      <c r="M92" s="24" t="s">
        <v>233</v>
      </c>
      <c r="N92" s="25" t="s">
        <v>555</v>
      </c>
      <c r="O92" s="23" t="s">
        <v>322</v>
      </c>
      <c r="P92" s="22" t="s">
        <v>6</v>
      </c>
      <c r="Q92" s="22"/>
      <c r="R92" s="22"/>
      <c r="S92" s="22">
        <v>21</v>
      </c>
      <c r="T92" s="22">
        <f>ROUND(IF(D92=Table!$C$3,V92*Table!$C$4/8,V92*Table!$D$4/8),3)</f>
        <v>26</v>
      </c>
      <c r="U92" s="22">
        <f t="shared" si="7"/>
        <v>26</v>
      </c>
      <c r="V92" s="22">
        <v>1.6</v>
      </c>
      <c r="W92" s="22">
        <v>8</v>
      </c>
      <c r="X92" s="22" t="s">
        <v>80</v>
      </c>
      <c r="Y92" s="26">
        <v>43906</v>
      </c>
      <c r="Z92" s="26">
        <v>43909</v>
      </c>
      <c r="AA92" s="26">
        <v>43909</v>
      </c>
      <c r="AB92" s="26">
        <v>43909</v>
      </c>
      <c r="AC92" s="50" t="s">
        <v>201</v>
      </c>
      <c r="AD92" s="114"/>
      <c r="AE92" s="114"/>
      <c r="AF92" s="52">
        <v>0.75</v>
      </c>
      <c r="AG92" s="52">
        <v>0.75</v>
      </c>
      <c r="AH92" s="52" t="s">
        <v>216</v>
      </c>
      <c r="AI92" s="22" t="s">
        <v>457</v>
      </c>
      <c r="AJ92" s="22"/>
      <c r="AK92" s="22"/>
    </row>
    <row r="93" spans="1:37" x14ac:dyDescent="0.25">
      <c r="A93" s="47"/>
      <c r="B93" s="25">
        <v>56</v>
      </c>
      <c r="C93" s="48">
        <v>20200316</v>
      </c>
      <c r="D93" s="48" t="s">
        <v>2</v>
      </c>
      <c r="E93" s="48" t="s">
        <v>283</v>
      </c>
      <c r="F93" s="49" t="s">
        <v>308</v>
      </c>
      <c r="G93" s="48" t="s">
        <v>149</v>
      </c>
      <c r="H93" s="48" t="s">
        <v>242</v>
      </c>
      <c r="I93" s="48" t="s">
        <v>330</v>
      </c>
      <c r="J93" s="48" t="s">
        <v>67</v>
      </c>
      <c r="K93" s="48" t="s">
        <v>325</v>
      </c>
      <c r="L93" s="49" t="s">
        <v>270</v>
      </c>
      <c r="M93" s="24" t="s">
        <v>233</v>
      </c>
      <c r="N93" s="25" t="s">
        <v>556</v>
      </c>
      <c r="O93" s="48" t="s">
        <v>322</v>
      </c>
      <c r="P93" s="48" t="s">
        <v>72</v>
      </c>
      <c r="Q93" s="48"/>
      <c r="R93" s="48"/>
      <c r="S93" s="48">
        <v>84</v>
      </c>
      <c r="T93" s="22">
        <f>ROUND(IF(D93=Table!$C$3,V93*Table!$C$4/8,V93*Table!$D$4/8),3)</f>
        <v>84.5</v>
      </c>
      <c r="U93" s="22">
        <f t="shared" si="7"/>
        <v>84.5</v>
      </c>
      <c r="V93" s="48">
        <v>5.2</v>
      </c>
      <c r="W93" s="48">
        <v>6</v>
      </c>
      <c r="X93" s="22" t="s">
        <v>80</v>
      </c>
      <c r="Y93" s="26">
        <v>43906</v>
      </c>
      <c r="Z93" s="50">
        <v>43909</v>
      </c>
      <c r="AA93" s="50">
        <v>43908</v>
      </c>
      <c r="AB93" s="50">
        <v>43908</v>
      </c>
      <c r="AC93" s="50" t="s">
        <v>201</v>
      </c>
      <c r="AD93" s="114"/>
      <c r="AE93" s="114"/>
      <c r="AF93" s="53">
        <v>0.92200000000000004</v>
      </c>
      <c r="AG93" s="53">
        <v>0.92299999999999993</v>
      </c>
      <c r="AH93" s="53" t="s">
        <v>216</v>
      </c>
      <c r="AI93" s="22" t="s">
        <v>335</v>
      </c>
      <c r="AJ93" s="48"/>
      <c r="AK93" s="48"/>
    </row>
    <row r="94" spans="1:37" x14ac:dyDescent="0.25">
      <c r="B94" s="25">
        <v>57</v>
      </c>
      <c r="C94" s="23">
        <v>20200316</v>
      </c>
      <c r="D94" s="22" t="s">
        <v>2</v>
      </c>
      <c r="E94" s="22" t="s">
        <v>283</v>
      </c>
      <c r="F94" s="24" t="s">
        <v>308</v>
      </c>
      <c r="G94" s="22" t="s">
        <v>296</v>
      </c>
      <c r="H94" s="22" t="s">
        <v>246</v>
      </c>
      <c r="I94" s="22" t="s">
        <v>331</v>
      </c>
      <c r="J94" s="22" t="s">
        <v>67</v>
      </c>
      <c r="K94" s="22" t="s">
        <v>325</v>
      </c>
      <c r="L94" s="24" t="s">
        <v>270</v>
      </c>
      <c r="M94" s="24" t="s">
        <v>233</v>
      </c>
      <c r="N94" s="25" t="s">
        <v>557</v>
      </c>
      <c r="O94" s="23" t="s">
        <v>322</v>
      </c>
      <c r="P94" s="22" t="s">
        <v>72</v>
      </c>
      <c r="Q94" s="22"/>
      <c r="R94" s="22"/>
      <c r="S94" s="22">
        <v>30</v>
      </c>
      <c r="T94" s="22">
        <f>ROUND(IF(D94=Table!$C$3,V94*Table!$C$4/8,V94*Table!$D$4/8),3)</f>
        <v>39</v>
      </c>
      <c r="U94" s="22">
        <f t="shared" si="7"/>
        <v>39</v>
      </c>
      <c r="V94" s="22">
        <v>2.4</v>
      </c>
      <c r="W94" s="22">
        <v>4</v>
      </c>
      <c r="X94" s="22" t="s">
        <v>80</v>
      </c>
      <c r="Y94" s="26">
        <v>43906</v>
      </c>
      <c r="Z94" s="26">
        <v>43909</v>
      </c>
      <c r="AA94" s="26">
        <v>43909</v>
      </c>
      <c r="AB94" s="26">
        <v>43909</v>
      </c>
      <c r="AC94" s="26" t="s">
        <v>201</v>
      </c>
      <c r="AD94" s="114"/>
      <c r="AE94" s="114"/>
      <c r="AF94" s="52">
        <v>1</v>
      </c>
      <c r="AG94" s="52">
        <v>1</v>
      </c>
      <c r="AH94" s="52">
        <v>1</v>
      </c>
      <c r="AI94" s="22"/>
      <c r="AJ94" s="22"/>
      <c r="AK94" s="22"/>
    </row>
    <row r="95" spans="1:37" x14ac:dyDescent="0.25">
      <c r="A95" s="47"/>
      <c r="B95" s="25">
        <v>58</v>
      </c>
      <c r="C95" s="48">
        <v>20200316</v>
      </c>
      <c r="D95" s="48" t="s">
        <v>2</v>
      </c>
      <c r="E95" s="48" t="s">
        <v>283</v>
      </c>
      <c r="F95" s="49" t="s">
        <v>281</v>
      </c>
      <c r="G95" s="48" t="s">
        <v>304</v>
      </c>
      <c r="H95" s="48" t="s">
        <v>258</v>
      </c>
      <c r="I95" s="48" t="s">
        <v>331</v>
      </c>
      <c r="J95" s="48" t="s">
        <v>67</v>
      </c>
      <c r="K95" s="48" t="s">
        <v>325</v>
      </c>
      <c r="L95" s="49" t="s">
        <v>278</v>
      </c>
      <c r="M95" s="24" t="s">
        <v>233</v>
      </c>
      <c r="N95" s="25" t="s">
        <v>558</v>
      </c>
      <c r="O95" s="48" t="s">
        <v>322</v>
      </c>
      <c r="P95" s="48" t="s">
        <v>72</v>
      </c>
      <c r="Q95" s="48"/>
      <c r="R95" s="48"/>
      <c r="S95" s="48">
        <v>101</v>
      </c>
      <c r="T95" s="22">
        <f>ROUND(IF(D95=Table!$C$3,V95*Table!$C$4/8,V95*Table!$D$4/8),3)</f>
        <v>84.5</v>
      </c>
      <c r="U95" s="22">
        <f t="shared" si="7"/>
        <v>84.5</v>
      </c>
      <c r="V95" s="48">
        <v>5.2</v>
      </c>
      <c r="W95" s="48">
        <v>6</v>
      </c>
      <c r="X95" s="22" t="s">
        <v>80</v>
      </c>
      <c r="Y95" s="26">
        <v>43906</v>
      </c>
      <c r="Z95" s="50">
        <v>43909</v>
      </c>
      <c r="AA95" s="50">
        <v>43908</v>
      </c>
      <c r="AB95" s="50">
        <v>43908</v>
      </c>
      <c r="AC95" s="50" t="s">
        <v>201</v>
      </c>
      <c r="AD95" s="114"/>
      <c r="AE95" s="114"/>
      <c r="AF95" s="53">
        <v>0.98099999999999998</v>
      </c>
      <c r="AG95" s="53">
        <v>0.98199999999999998</v>
      </c>
      <c r="AH95" s="53" t="s">
        <v>216</v>
      </c>
      <c r="AI95" s="22" t="s">
        <v>334</v>
      </c>
      <c r="AJ95" s="51"/>
      <c r="AK95" s="48"/>
    </row>
    <row r="96" spans="1:37" x14ac:dyDescent="0.25">
      <c r="B96" s="25">
        <v>59</v>
      </c>
      <c r="C96" s="23">
        <v>20200316</v>
      </c>
      <c r="D96" s="22" t="s">
        <v>2</v>
      </c>
      <c r="E96" s="22" t="s">
        <v>283</v>
      </c>
      <c r="F96" s="24" t="s">
        <v>308</v>
      </c>
      <c r="G96" s="22" t="s">
        <v>156</v>
      </c>
      <c r="H96" s="22" t="s">
        <v>248</v>
      </c>
      <c r="I96" s="22" t="s">
        <v>331</v>
      </c>
      <c r="J96" s="22" t="s">
        <v>67</v>
      </c>
      <c r="K96" s="22" t="s">
        <v>325</v>
      </c>
      <c r="L96" s="24" t="s">
        <v>272</v>
      </c>
      <c r="M96" s="24" t="s">
        <v>233</v>
      </c>
      <c r="N96" s="25" t="s">
        <v>559</v>
      </c>
      <c r="O96" s="23" t="s">
        <v>322</v>
      </c>
      <c r="P96" s="22" t="s">
        <v>72</v>
      </c>
      <c r="Q96" s="22"/>
      <c r="R96" s="22"/>
      <c r="S96" s="22">
        <v>36</v>
      </c>
      <c r="T96" s="22">
        <f>ROUND(IF(D96=Table!$C$3,V96*Table!$C$4/8,V96*Table!$D$4/8),3)</f>
        <v>39</v>
      </c>
      <c r="U96" s="22">
        <f t="shared" si="7"/>
        <v>39</v>
      </c>
      <c r="V96" s="22">
        <v>2.4</v>
      </c>
      <c r="W96" s="22">
        <v>3</v>
      </c>
      <c r="X96" s="22" t="s">
        <v>80</v>
      </c>
      <c r="Y96" s="26">
        <v>43906</v>
      </c>
      <c r="Z96" s="26">
        <v>43909</v>
      </c>
      <c r="AA96" s="26">
        <v>43909</v>
      </c>
      <c r="AB96" s="26">
        <v>43909</v>
      </c>
      <c r="AC96" s="26" t="s">
        <v>201</v>
      </c>
      <c r="AD96" s="114"/>
      <c r="AE96" s="114"/>
      <c r="AF96" s="52">
        <v>1</v>
      </c>
      <c r="AG96" s="52">
        <v>1</v>
      </c>
      <c r="AH96" s="52">
        <v>0.5</v>
      </c>
      <c r="AI96" s="22"/>
      <c r="AJ96" s="22"/>
      <c r="AK96" s="22"/>
    </row>
    <row r="97" spans="2:37" x14ac:dyDescent="0.25">
      <c r="B97" s="25">
        <v>60</v>
      </c>
      <c r="C97" s="23">
        <v>20200316</v>
      </c>
      <c r="D97" s="22" t="s">
        <v>2</v>
      </c>
      <c r="E97" s="22" t="s">
        <v>283</v>
      </c>
      <c r="F97" s="24" t="s">
        <v>308</v>
      </c>
      <c r="G97" s="22" t="s">
        <v>157</v>
      </c>
      <c r="H97" s="22" t="s">
        <v>249</v>
      </c>
      <c r="I97" s="22" t="s">
        <v>331</v>
      </c>
      <c r="J97" s="22" t="s">
        <v>67</v>
      </c>
      <c r="K97" s="22" t="s">
        <v>325</v>
      </c>
      <c r="L97" s="24" t="s">
        <v>273</v>
      </c>
      <c r="M97" s="24" t="s">
        <v>233</v>
      </c>
      <c r="N97" s="25" t="s">
        <v>560</v>
      </c>
      <c r="O97" s="23" t="s">
        <v>322</v>
      </c>
      <c r="P97" s="22" t="s">
        <v>72</v>
      </c>
      <c r="Q97" s="22"/>
      <c r="R97" s="22"/>
      <c r="S97" s="22">
        <v>48</v>
      </c>
      <c r="T97" s="22">
        <f>ROUND(IF(D97=Table!$C$3,V97*Table!$C$4/8,V97*Table!$D$4/8),3)</f>
        <v>52</v>
      </c>
      <c r="U97" s="22">
        <f t="shared" si="7"/>
        <v>52</v>
      </c>
      <c r="V97" s="22">
        <v>3.2</v>
      </c>
      <c r="W97" s="22">
        <v>3</v>
      </c>
      <c r="X97" s="22" t="s">
        <v>80</v>
      </c>
      <c r="Y97" s="26">
        <v>43906</v>
      </c>
      <c r="Z97" s="26">
        <v>43909</v>
      </c>
      <c r="AA97" s="26">
        <v>43909</v>
      </c>
      <c r="AB97" s="26">
        <v>43910</v>
      </c>
      <c r="AC97" s="26" t="s">
        <v>201</v>
      </c>
      <c r="AD97" s="114"/>
      <c r="AE97" s="114"/>
      <c r="AF97" s="52">
        <v>0.91200000000000003</v>
      </c>
      <c r="AG97" s="52">
        <v>0.91200000000000003</v>
      </c>
      <c r="AH97" s="52" t="s">
        <v>216</v>
      </c>
      <c r="AI97" s="22" t="s">
        <v>469</v>
      </c>
      <c r="AJ97" s="22"/>
      <c r="AK97" s="22"/>
    </row>
    <row r="98" spans="2:37" x14ac:dyDescent="0.25">
      <c r="B98" s="25">
        <v>61</v>
      </c>
      <c r="C98" s="23">
        <v>20200316</v>
      </c>
      <c r="D98" s="22" t="s">
        <v>2</v>
      </c>
      <c r="E98" s="22" t="s">
        <v>283</v>
      </c>
      <c r="F98" s="24" t="s">
        <v>308</v>
      </c>
      <c r="G98" s="22" t="s">
        <v>297</v>
      </c>
      <c r="H98" s="22" t="s">
        <v>250</v>
      </c>
      <c r="I98" s="22" t="s">
        <v>331</v>
      </c>
      <c r="J98" s="22" t="s">
        <v>67</v>
      </c>
      <c r="K98" s="22" t="s">
        <v>325</v>
      </c>
      <c r="L98" s="24" t="s">
        <v>268</v>
      </c>
      <c r="M98" s="24" t="s">
        <v>233</v>
      </c>
      <c r="N98" s="25" t="s">
        <v>561</v>
      </c>
      <c r="O98" s="23" t="s">
        <v>323</v>
      </c>
      <c r="P98" s="22" t="s">
        <v>71</v>
      </c>
      <c r="Q98" s="22"/>
      <c r="R98" s="22"/>
      <c r="S98" s="22">
        <v>31</v>
      </c>
      <c r="T98" s="22">
        <f>ROUND(IF(D98=Table!$C$3,V98*Table!$C$4/8,V98*Table!$D$4/8),3)</f>
        <v>39</v>
      </c>
      <c r="U98" s="22">
        <f t="shared" si="7"/>
        <v>39</v>
      </c>
      <c r="V98" s="22">
        <v>2.4</v>
      </c>
      <c r="W98" s="22">
        <v>3</v>
      </c>
      <c r="X98" s="22" t="s">
        <v>80</v>
      </c>
      <c r="Y98" s="26">
        <v>43906</v>
      </c>
      <c r="Z98" s="26">
        <v>43909</v>
      </c>
      <c r="AA98" s="26">
        <v>43907</v>
      </c>
      <c r="AB98" s="26">
        <v>43907</v>
      </c>
      <c r="AC98" s="26" t="s">
        <v>201</v>
      </c>
      <c r="AD98" s="114"/>
      <c r="AE98" s="114"/>
      <c r="AF98" s="52">
        <v>1</v>
      </c>
      <c r="AG98" s="52">
        <v>1</v>
      </c>
      <c r="AH98" s="52" t="s">
        <v>216</v>
      </c>
      <c r="AI98" s="22"/>
      <c r="AJ98" s="22"/>
      <c r="AK98" s="22"/>
    </row>
    <row r="99" spans="2:37" x14ac:dyDescent="0.25">
      <c r="B99" s="25">
        <v>62</v>
      </c>
      <c r="C99" s="23">
        <v>20200316</v>
      </c>
      <c r="D99" s="22" t="s">
        <v>2</v>
      </c>
      <c r="E99" s="22" t="s">
        <v>283</v>
      </c>
      <c r="F99" s="24" t="s">
        <v>308</v>
      </c>
      <c r="G99" s="22" t="s">
        <v>158</v>
      </c>
      <c r="H99" s="22" t="s">
        <v>251</v>
      </c>
      <c r="I99" s="22" t="s">
        <v>331</v>
      </c>
      <c r="J99" s="22" t="s">
        <v>67</v>
      </c>
      <c r="K99" s="22" t="s">
        <v>325</v>
      </c>
      <c r="L99" s="24" t="s">
        <v>271</v>
      </c>
      <c r="M99" s="24" t="s">
        <v>233</v>
      </c>
      <c r="N99" s="25" t="s">
        <v>562</v>
      </c>
      <c r="O99" s="23" t="s">
        <v>323</v>
      </c>
      <c r="P99" s="22" t="s">
        <v>71</v>
      </c>
      <c r="Q99" s="22"/>
      <c r="R99" s="22"/>
      <c r="S99" s="22">
        <v>27</v>
      </c>
      <c r="T99" s="22">
        <f>ROUND(IF(D99=Table!$C$3,V99*Table!$C$4/8,V99*Table!$D$4/8),3)</f>
        <v>39</v>
      </c>
      <c r="U99" s="22">
        <f t="shared" si="7"/>
        <v>39</v>
      </c>
      <c r="V99" s="22">
        <v>2.4</v>
      </c>
      <c r="W99" s="22">
        <v>3</v>
      </c>
      <c r="X99" s="22" t="s">
        <v>80</v>
      </c>
      <c r="Y99" s="26">
        <v>43906</v>
      </c>
      <c r="Z99" s="26">
        <v>43909</v>
      </c>
      <c r="AA99" s="26">
        <v>43908</v>
      </c>
      <c r="AB99" s="26">
        <v>43908</v>
      </c>
      <c r="AC99" s="26" t="s">
        <v>201</v>
      </c>
      <c r="AD99" s="114"/>
      <c r="AE99" s="114"/>
      <c r="AF99" s="52">
        <v>1</v>
      </c>
      <c r="AG99" s="52">
        <v>1</v>
      </c>
      <c r="AH99" s="52" t="s">
        <v>216</v>
      </c>
      <c r="AI99" s="22"/>
      <c r="AJ99" s="22"/>
      <c r="AK99" s="22"/>
    </row>
    <row r="100" spans="2:37" x14ac:dyDescent="0.25">
      <c r="B100" s="25">
        <v>63</v>
      </c>
      <c r="C100" s="23">
        <v>20200316</v>
      </c>
      <c r="D100" s="22" t="s">
        <v>2</v>
      </c>
      <c r="E100" s="22" t="s">
        <v>283</v>
      </c>
      <c r="F100" s="24" t="s">
        <v>281</v>
      </c>
      <c r="G100" s="22" t="s">
        <v>298</v>
      </c>
      <c r="H100" s="22" t="s">
        <v>252</v>
      </c>
      <c r="I100" s="22" t="s">
        <v>331</v>
      </c>
      <c r="J100" s="22" t="s">
        <v>67</v>
      </c>
      <c r="K100" s="22" t="s">
        <v>325</v>
      </c>
      <c r="L100" s="24" t="s">
        <v>274</v>
      </c>
      <c r="M100" s="24" t="s">
        <v>233</v>
      </c>
      <c r="N100" s="25" t="s">
        <v>563</v>
      </c>
      <c r="O100" s="23" t="s">
        <v>323</v>
      </c>
      <c r="P100" s="22" t="s">
        <v>71</v>
      </c>
      <c r="Q100" s="22"/>
      <c r="R100" s="22"/>
      <c r="S100" s="22">
        <v>23</v>
      </c>
      <c r="T100" s="22">
        <f>ROUND(IF(D100=Table!$C$3,V100*Table!$C$4/8,V100*Table!$D$4/8),3)</f>
        <v>26</v>
      </c>
      <c r="U100" s="22">
        <f t="shared" si="7"/>
        <v>26</v>
      </c>
      <c r="V100" s="22">
        <v>1.6</v>
      </c>
      <c r="W100" s="22">
        <v>2</v>
      </c>
      <c r="X100" s="22" t="s">
        <v>80</v>
      </c>
      <c r="Y100" s="26">
        <v>43906</v>
      </c>
      <c r="Z100" s="26">
        <v>43909</v>
      </c>
      <c r="AA100" s="26">
        <v>43907</v>
      </c>
      <c r="AB100" s="26">
        <v>43907</v>
      </c>
      <c r="AC100" s="26" t="s">
        <v>201</v>
      </c>
      <c r="AD100" s="114"/>
      <c r="AE100" s="114"/>
      <c r="AF100" s="52">
        <v>1</v>
      </c>
      <c r="AG100" s="52">
        <v>1</v>
      </c>
      <c r="AH100" s="52" t="s">
        <v>216</v>
      </c>
      <c r="AI100" s="22"/>
      <c r="AJ100" s="22"/>
      <c r="AK100" s="22"/>
    </row>
    <row r="101" spans="2:37" x14ac:dyDescent="0.25">
      <c r="B101" s="25">
        <v>64</v>
      </c>
      <c r="C101" s="23">
        <v>20200316</v>
      </c>
      <c r="D101" s="22" t="s">
        <v>2</v>
      </c>
      <c r="E101" s="22" t="s">
        <v>283</v>
      </c>
      <c r="F101" s="24" t="s">
        <v>281</v>
      </c>
      <c r="G101" s="22" t="s">
        <v>299</v>
      </c>
      <c r="H101" s="22" t="s">
        <v>253</v>
      </c>
      <c r="I101" s="22" t="s">
        <v>330</v>
      </c>
      <c r="J101" s="22" t="s">
        <v>67</v>
      </c>
      <c r="K101" s="22" t="s">
        <v>325</v>
      </c>
      <c r="L101" s="24" t="s">
        <v>274</v>
      </c>
      <c r="M101" s="24" t="s">
        <v>233</v>
      </c>
      <c r="N101" s="25" t="s">
        <v>564</v>
      </c>
      <c r="O101" s="23" t="s">
        <v>323</v>
      </c>
      <c r="P101" s="22" t="s">
        <v>71</v>
      </c>
      <c r="Q101" s="22"/>
      <c r="R101" s="22"/>
      <c r="S101" s="22">
        <v>121</v>
      </c>
      <c r="T101" s="22">
        <f>ROUND(IF(D101=Table!$C$3,V101*Table!$C$4/8,V101*Table!$D$4/8),3)</f>
        <v>104</v>
      </c>
      <c r="U101" s="22">
        <f t="shared" si="7"/>
        <v>104</v>
      </c>
      <c r="V101" s="22">
        <v>6.4</v>
      </c>
      <c r="W101" s="22">
        <v>8</v>
      </c>
      <c r="X101" s="22" t="s">
        <v>80</v>
      </c>
      <c r="Y101" s="26">
        <v>43906</v>
      </c>
      <c r="Z101" s="26">
        <v>43909</v>
      </c>
      <c r="AA101" s="26">
        <v>43907</v>
      </c>
      <c r="AB101" s="26">
        <v>43907</v>
      </c>
      <c r="AC101" s="26" t="s">
        <v>201</v>
      </c>
      <c r="AD101" s="114"/>
      <c r="AE101" s="114"/>
      <c r="AF101" s="52">
        <v>1</v>
      </c>
      <c r="AG101" s="52">
        <v>1</v>
      </c>
      <c r="AH101" s="52" t="s">
        <v>216</v>
      </c>
      <c r="AI101" s="22"/>
      <c r="AJ101" s="22"/>
      <c r="AK101" s="22"/>
    </row>
    <row r="102" spans="2:37" x14ac:dyDescent="0.25">
      <c r="B102" s="25">
        <v>65</v>
      </c>
      <c r="C102" s="23">
        <v>20200316</v>
      </c>
      <c r="D102" s="22" t="s">
        <v>2</v>
      </c>
      <c r="E102" s="22" t="s">
        <v>283</v>
      </c>
      <c r="F102" s="24" t="s">
        <v>281</v>
      </c>
      <c r="G102" s="22" t="s">
        <v>301</v>
      </c>
      <c r="H102" s="22" t="s">
        <v>255</v>
      </c>
      <c r="I102" s="22" t="s">
        <v>331</v>
      </c>
      <c r="J102" s="22" t="s">
        <v>67</v>
      </c>
      <c r="K102" s="22" t="s">
        <v>325</v>
      </c>
      <c r="L102" s="24" t="s">
        <v>275</v>
      </c>
      <c r="M102" s="24" t="s">
        <v>233</v>
      </c>
      <c r="N102" s="25" t="s">
        <v>565</v>
      </c>
      <c r="O102" s="23" t="s">
        <v>323</v>
      </c>
      <c r="P102" s="22" t="s">
        <v>71</v>
      </c>
      <c r="Q102" s="22"/>
      <c r="R102" s="22"/>
      <c r="S102" s="22">
        <v>24</v>
      </c>
      <c r="T102" s="22">
        <f>ROUND(IF(D102=Table!$C$3,V102*Table!$C$4/8,V102*Table!$D$4/8),3)</f>
        <v>26</v>
      </c>
      <c r="U102" s="22">
        <f t="shared" si="7"/>
        <v>26</v>
      </c>
      <c r="V102" s="22">
        <v>1.6</v>
      </c>
      <c r="W102" s="22">
        <v>2</v>
      </c>
      <c r="X102" s="22" t="s">
        <v>80</v>
      </c>
      <c r="Y102" s="26">
        <v>43906</v>
      </c>
      <c r="Z102" s="26">
        <v>43909</v>
      </c>
      <c r="AA102" s="26">
        <v>43908</v>
      </c>
      <c r="AB102" s="26">
        <v>43908</v>
      </c>
      <c r="AC102" s="26" t="s">
        <v>201</v>
      </c>
      <c r="AD102" s="114"/>
      <c r="AE102" s="114"/>
      <c r="AF102" s="52">
        <v>1</v>
      </c>
      <c r="AG102" s="52">
        <v>1</v>
      </c>
      <c r="AH102" s="52" t="s">
        <v>216</v>
      </c>
      <c r="AI102" s="22"/>
      <c r="AJ102" s="22"/>
      <c r="AK102" s="22"/>
    </row>
    <row r="103" spans="2:37" x14ac:dyDescent="0.25">
      <c r="B103" s="25">
        <v>66</v>
      </c>
      <c r="C103" s="23">
        <v>20200316</v>
      </c>
      <c r="D103" s="22" t="s">
        <v>2</v>
      </c>
      <c r="E103" s="22" t="s">
        <v>283</v>
      </c>
      <c r="F103" s="24" t="s">
        <v>281</v>
      </c>
      <c r="G103" s="22" t="s">
        <v>302</v>
      </c>
      <c r="H103" s="22" t="s">
        <v>256</v>
      </c>
      <c r="I103" s="22" t="s">
        <v>331</v>
      </c>
      <c r="J103" s="22" t="s">
        <v>67</v>
      </c>
      <c r="K103" s="22" t="s">
        <v>325</v>
      </c>
      <c r="L103" s="24" t="s">
        <v>275</v>
      </c>
      <c r="M103" s="24" t="s">
        <v>233</v>
      </c>
      <c r="N103" s="25" t="s">
        <v>566</v>
      </c>
      <c r="O103" s="23" t="s">
        <v>323</v>
      </c>
      <c r="P103" s="22" t="s">
        <v>71</v>
      </c>
      <c r="Q103" s="22"/>
      <c r="R103" s="22"/>
      <c r="S103" s="22">
        <v>24</v>
      </c>
      <c r="T103" s="22">
        <f>ROUND(IF(D103=Table!$C$3,V103*Table!$C$4/8,V103*Table!$D$4/8),3)</f>
        <v>26</v>
      </c>
      <c r="U103" s="22">
        <f t="shared" ref="U103:U106" si="8">T103</f>
        <v>26</v>
      </c>
      <c r="V103" s="22">
        <v>1.6</v>
      </c>
      <c r="W103" s="22">
        <v>2</v>
      </c>
      <c r="X103" s="22" t="s">
        <v>80</v>
      </c>
      <c r="Y103" s="26">
        <v>43906</v>
      </c>
      <c r="Z103" s="26">
        <v>43909</v>
      </c>
      <c r="AA103" s="26">
        <v>43908</v>
      </c>
      <c r="AB103" s="26">
        <v>43908</v>
      </c>
      <c r="AC103" s="26" t="s">
        <v>201</v>
      </c>
      <c r="AD103" s="114"/>
      <c r="AE103" s="114"/>
      <c r="AF103" s="52">
        <v>1</v>
      </c>
      <c r="AG103" s="52">
        <v>1</v>
      </c>
      <c r="AH103" s="52" t="s">
        <v>216</v>
      </c>
      <c r="AI103" s="22"/>
      <c r="AJ103" s="22"/>
      <c r="AK103" s="22"/>
    </row>
    <row r="104" spans="2:37" x14ac:dyDescent="0.25">
      <c r="B104" s="25">
        <v>67</v>
      </c>
      <c r="C104" s="23">
        <v>20200316</v>
      </c>
      <c r="D104" s="22" t="s">
        <v>2</v>
      </c>
      <c r="E104" s="22" t="s">
        <v>283</v>
      </c>
      <c r="F104" s="24" t="s">
        <v>281</v>
      </c>
      <c r="G104" s="22" t="s">
        <v>303</v>
      </c>
      <c r="H104" s="22" t="s">
        <v>257</v>
      </c>
      <c r="I104" s="22" t="s">
        <v>331</v>
      </c>
      <c r="J104" s="22" t="s">
        <v>67</v>
      </c>
      <c r="K104" s="22" t="s">
        <v>325</v>
      </c>
      <c r="L104" s="24" t="s">
        <v>277</v>
      </c>
      <c r="M104" s="24" t="s">
        <v>233</v>
      </c>
      <c r="N104" s="25" t="s">
        <v>567</v>
      </c>
      <c r="O104" s="23" t="s">
        <v>323</v>
      </c>
      <c r="P104" s="22" t="s">
        <v>71</v>
      </c>
      <c r="Q104" s="22"/>
      <c r="R104" s="22"/>
      <c r="S104" s="22">
        <v>17</v>
      </c>
      <c r="T104" s="22">
        <f>ROUND(IF(D104=Table!$C$3,V104*Table!$C$4/8,V104*Table!$D$4/8),3)</f>
        <v>26</v>
      </c>
      <c r="U104" s="22">
        <f t="shared" si="8"/>
        <v>26</v>
      </c>
      <c r="V104" s="22">
        <v>1.6</v>
      </c>
      <c r="W104" s="22">
        <v>2</v>
      </c>
      <c r="X104" s="22" t="s">
        <v>80</v>
      </c>
      <c r="Y104" s="26">
        <v>43906</v>
      </c>
      <c r="Z104" s="26">
        <v>43909</v>
      </c>
      <c r="AA104" s="26">
        <v>43908</v>
      </c>
      <c r="AB104" s="26">
        <v>43908</v>
      </c>
      <c r="AC104" s="26" t="s">
        <v>201</v>
      </c>
      <c r="AD104" s="114"/>
      <c r="AE104" s="114"/>
      <c r="AF104" s="52">
        <v>1</v>
      </c>
      <c r="AG104" s="52">
        <v>1</v>
      </c>
      <c r="AH104" s="52" t="s">
        <v>216</v>
      </c>
      <c r="AI104" s="22"/>
      <c r="AJ104" s="22"/>
      <c r="AK104" s="22"/>
    </row>
    <row r="105" spans="2:37" x14ac:dyDescent="0.25">
      <c r="B105" s="25">
        <v>68</v>
      </c>
      <c r="C105" s="23">
        <v>20200316</v>
      </c>
      <c r="D105" s="22" t="s">
        <v>3</v>
      </c>
      <c r="E105" s="22" t="s">
        <v>283</v>
      </c>
      <c r="F105" s="24" t="s">
        <v>324</v>
      </c>
      <c r="G105" s="22" t="s">
        <v>318</v>
      </c>
      <c r="H105" s="22" t="s">
        <v>316</v>
      </c>
      <c r="I105" s="22" t="s">
        <v>332</v>
      </c>
      <c r="J105" s="22" t="s">
        <v>67</v>
      </c>
      <c r="K105" s="22" t="s">
        <v>333</v>
      </c>
      <c r="L105" s="24" t="s">
        <v>317</v>
      </c>
      <c r="M105" s="24" t="s">
        <v>233</v>
      </c>
      <c r="N105" s="25" t="s">
        <v>568</v>
      </c>
      <c r="O105" s="23" t="s">
        <v>323</v>
      </c>
      <c r="P105" s="22" t="s">
        <v>71</v>
      </c>
      <c r="Q105" s="22"/>
      <c r="R105" s="22"/>
      <c r="S105" s="22">
        <v>455</v>
      </c>
      <c r="T105" s="22">
        <f>ROUND(IF(D105=Table!$C$3,V105*Table!$C$4/8,V105*Table!$D$4/8),3)</f>
        <v>360</v>
      </c>
      <c r="U105" s="22">
        <f t="shared" si="8"/>
        <v>360</v>
      </c>
      <c r="V105" s="22">
        <v>6.4</v>
      </c>
      <c r="W105" s="22">
        <v>6</v>
      </c>
      <c r="X105" s="22" t="s">
        <v>80</v>
      </c>
      <c r="Y105" s="26">
        <v>43906</v>
      </c>
      <c r="Z105" s="26">
        <v>43909</v>
      </c>
      <c r="AA105" s="26">
        <v>43909</v>
      </c>
      <c r="AB105" s="26">
        <v>43909</v>
      </c>
      <c r="AC105" s="26" t="s">
        <v>201</v>
      </c>
      <c r="AD105" s="114"/>
      <c r="AE105" s="114"/>
      <c r="AF105" s="52">
        <v>1</v>
      </c>
      <c r="AG105" s="52">
        <v>1</v>
      </c>
      <c r="AH105" s="52" t="s">
        <v>216</v>
      </c>
      <c r="AI105" s="22"/>
      <c r="AJ105" s="22"/>
      <c r="AK105" s="22" t="s">
        <v>319</v>
      </c>
    </row>
    <row r="106" spans="2:37" x14ac:dyDescent="0.25">
      <c r="B106" s="25">
        <v>69</v>
      </c>
      <c r="C106" s="23">
        <v>20200316</v>
      </c>
      <c r="D106" s="22" t="s">
        <v>3</v>
      </c>
      <c r="E106" s="22" t="s">
        <v>283</v>
      </c>
      <c r="F106" s="24" t="s">
        <v>282</v>
      </c>
      <c r="G106" s="22" t="s">
        <v>289</v>
      </c>
      <c r="H106" s="22" t="s">
        <v>259</v>
      </c>
      <c r="I106" s="22" t="s">
        <v>331</v>
      </c>
      <c r="J106" s="22" t="s">
        <v>67</v>
      </c>
      <c r="K106" s="22" t="s">
        <v>333</v>
      </c>
      <c r="L106" s="24" t="s">
        <v>279</v>
      </c>
      <c r="M106" s="24" t="s">
        <v>233</v>
      </c>
      <c r="N106" s="25" t="s">
        <v>569</v>
      </c>
      <c r="O106" s="23" t="s">
        <v>323</v>
      </c>
      <c r="P106" s="22" t="s">
        <v>71</v>
      </c>
      <c r="Q106" s="22"/>
      <c r="R106" s="22"/>
      <c r="S106" s="22">
        <v>131</v>
      </c>
      <c r="T106" s="22">
        <f>ROUND(IF(D106=Table!$C$3,V106*Table!$C$4/8,V106*Table!$D$4/8),3)</f>
        <v>135</v>
      </c>
      <c r="U106" s="22">
        <f t="shared" si="8"/>
        <v>135</v>
      </c>
      <c r="V106" s="22">
        <v>2.4</v>
      </c>
      <c r="W106" s="22">
        <v>2</v>
      </c>
      <c r="X106" s="22" t="s">
        <v>80</v>
      </c>
      <c r="Y106" s="26">
        <v>43906</v>
      </c>
      <c r="Z106" s="26">
        <v>43909</v>
      </c>
      <c r="AA106" s="26">
        <v>43909</v>
      </c>
      <c r="AB106" s="26">
        <v>43909</v>
      </c>
      <c r="AC106" s="26" t="s">
        <v>201</v>
      </c>
      <c r="AD106" s="114"/>
      <c r="AE106" s="114"/>
      <c r="AF106" s="52">
        <v>1</v>
      </c>
      <c r="AG106" s="52">
        <v>1</v>
      </c>
      <c r="AH106" s="52" t="s">
        <v>216</v>
      </c>
      <c r="AI106" s="22"/>
      <c r="AJ106" s="22"/>
      <c r="AK106" s="22" t="s">
        <v>305</v>
      </c>
    </row>
    <row r="107" spans="2:37" x14ac:dyDescent="0.25">
      <c r="B107" s="28"/>
      <c r="C107" s="23"/>
      <c r="D107" s="22"/>
      <c r="E107" s="22"/>
      <c r="F107" s="24"/>
      <c r="G107" s="22"/>
      <c r="H107" s="22"/>
      <c r="I107" s="22"/>
      <c r="J107" s="22"/>
      <c r="K107" s="22"/>
      <c r="L107" s="24"/>
      <c r="M107" s="24"/>
      <c r="N107" s="25"/>
      <c r="O107" s="23"/>
      <c r="P107" s="22"/>
      <c r="Q107" s="22"/>
      <c r="R107" s="22"/>
      <c r="S107" s="22"/>
      <c r="T107" s="3"/>
      <c r="U107" s="22"/>
      <c r="V107" s="22"/>
      <c r="W107" s="22"/>
      <c r="X107" s="22"/>
      <c r="Y107" s="26"/>
      <c r="Z107" s="26"/>
      <c r="AA107" s="26"/>
      <c r="AB107" s="26"/>
      <c r="AC107" s="26"/>
      <c r="AD107" s="114"/>
      <c r="AE107" s="114"/>
      <c r="AF107" s="52"/>
      <c r="AG107" s="52"/>
      <c r="AH107" s="52"/>
      <c r="AI107" s="22"/>
      <c r="AJ107" s="22"/>
    </row>
    <row r="108" spans="2:37" x14ac:dyDescent="0.25">
      <c r="B108" s="28"/>
      <c r="C108" s="23"/>
      <c r="D108" s="22"/>
      <c r="E108" s="22"/>
      <c r="F108" s="24"/>
      <c r="G108" s="22"/>
      <c r="H108" s="22"/>
      <c r="I108" s="22"/>
      <c r="J108" s="22"/>
      <c r="K108" s="22"/>
      <c r="L108" s="24"/>
      <c r="M108" s="24"/>
      <c r="N108" s="25"/>
      <c r="O108" s="23"/>
      <c r="P108" s="22"/>
      <c r="Q108" s="22"/>
      <c r="R108" s="22"/>
      <c r="S108" s="22"/>
      <c r="T108" s="3"/>
      <c r="U108" s="22"/>
      <c r="V108" s="22"/>
      <c r="W108" s="22"/>
      <c r="X108" s="22"/>
      <c r="Y108" s="26"/>
      <c r="Z108" s="26"/>
      <c r="AA108" s="26"/>
      <c r="AB108" s="26"/>
      <c r="AC108" s="26"/>
      <c r="AD108" s="114"/>
      <c r="AE108" s="114"/>
      <c r="AF108" s="52"/>
      <c r="AG108" s="52"/>
      <c r="AH108" s="52"/>
      <c r="AI108" s="22"/>
      <c r="AJ108" s="22"/>
    </row>
    <row r="109" spans="2:37" x14ac:dyDescent="0.25">
      <c r="B109" s="28"/>
      <c r="C109" s="23"/>
      <c r="D109" s="22"/>
      <c r="E109" s="22"/>
      <c r="F109" s="24"/>
      <c r="G109" s="22"/>
      <c r="H109" s="22"/>
      <c r="I109" s="22"/>
      <c r="J109" s="22"/>
      <c r="K109" s="22"/>
      <c r="L109" s="24"/>
      <c r="M109" s="24"/>
      <c r="N109" s="25"/>
      <c r="O109" s="23"/>
      <c r="P109" s="22"/>
      <c r="Q109" s="22"/>
      <c r="R109" s="22"/>
      <c r="S109" s="22"/>
      <c r="T109" s="3"/>
      <c r="U109" s="22"/>
      <c r="V109" s="22"/>
      <c r="W109" s="22"/>
      <c r="X109" s="22"/>
      <c r="Y109" s="26"/>
      <c r="Z109" s="26"/>
      <c r="AA109" s="26"/>
      <c r="AB109" s="26"/>
      <c r="AC109" s="26"/>
      <c r="AD109" s="114"/>
      <c r="AE109" s="114"/>
      <c r="AF109" s="52"/>
      <c r="AG109" s="52"/>
      <c r="AH109" s="52"/>
      <c r="AI109" s="22"/>
      <c r="AJ109" s="22"/>
    </row>
    <row r="110" spans="2:37" x14ac:dyDescent="0.25">
      <c r="B110" s="28"/>
      <c r="C110" s="23"/>
      <c r="D110" s="22"/>
      <c r="E110" s="22"/>
      <c r="F110" s="24"/>
      <c r="G110" s="22"/>
      <c r="H110" s="22"/>
      <c r="I110" s="22"/>
      <c r="J110" s="22"/>
      <c r="K110" s="22"/>
      <c r="L110" s="24"/>
      <c r="M110" s="24"/>
      <c r="N110" s="25"/>
      <c r="O110" s="23"/>
      <c r="P110" s="22"/>
      <c r="Q110" s="22"/>
      <c r="R110" s="22"/>
      <c r="S110" s="22"/>
      <c r="T110" s="3"/>
      <c r="U110" s="22"/>
      <c r="V110" s="22"/>
      <c r="W110" s="22"/>
      <c r="X110" s="22"/>
      <c r="Y110" s="26"/>
      <c r="Z110" s="26"/>
      <c r="AA110" s="26"/>
      <c r="AB110" s="26"/>
      <c r="AC110" s="26"/>
      <c r="AD110" s="114"/>
      <c r="AE110" s="114"/>
      <c r="AF110" s="52"/>
      <c r="AG110" s="52"/>
      <c r="AH110" s="52"/>
      <c r="AI110" s="22"/>
      <c r="AJ110" s="22"/>
    </row>
    <row r="111" spans="2:37" x14ac:dyDescent="0.25">
      <c r="B111" s="28"/>
      <c r="C111" s="23"/>
      <c r="D111" s="22"/>
      <c r="E111" s="22"/>
      <c r="F111" s="24"/>
      <c r="G111" s="22"/>
      <c r="H111" s="22"/>
      <c r="I111" s="22"/>
      <c r="J111" s="22"/>
      <c r="K111" s="22"/>
      <c r="L111" s="24"/>
      <c r="M111" s="24"/>
      <c r="N111" s="25"/>
      <c r="O111" s="23"/>
      <c r="P111" s="22"/>
      <c r="Q111" s="22"/>
      <c r="R111" s="22"/>
      <c r="S111" s="22"/>
      <c r="T111" s="3"/>
      <c r="U111" s="22"/>
      <c r="V111" s="22"/>
      <c r="W111" s="22"/>
      <c r="X111" s="22"/>
      <c r="Y111" s="26"/>
      <c r="Z111" s="26"/>
      <c r="AA111" s="26"/>
      <c r="AB111" s="26"/>
      <c r="AC111" s="26"/>
      <c r="AD111" s="114"/>
      <c r="AE111" s="114"/>
      <c r="AF111" s="52"/>
      <c r="AG111" s="52"/>
      <c r="AH111" s="52"/>
      <c r="AI111" s="22"/>
      <c r="AJ111" s="22"/>
    </row>
    <row r="112" spans="2:37" x14ac:dyDescent="0.25">
      <c r="B112" s="28"/>
      <c r="C112" s="23"/>
      <c r="D112" s="22"/>
      <c r="E112" s="22"/>
      <c r="F112" s="24"/>
      <c r="G112" s="22"/>
      <c r="H112" s="22"/>
      <c r="I112" s="22"/>
      <c r="J112" s="22"/>
      <c r="K112" s="22"/>
      <c r="L112" s="24"/>
      <c r="M112" s="24"/>
      <c r="N112" s="25"/>
      <c r="O112" s="23"/>
      <c r="P112" s="22"/>
      <c r="Q112" s="22"/>
      <c r="R112" s="22"/>
      <c r="S112" s="22"/>
      <c r="T112" s="3"/>
      <c r="U112" s="22"/>
      <c r="V112" s="22"/>
      <c r="W112" s="22"/>
      <c r="X112" s="22"/>
      <c r="Y112" s="26"/>
      <c r="Z112" s="26"/>
      <c r="AA112" s="26"/>
      <c r="AB112" s="26"/>
      <c r="AC112" s="26"/>
      <c r="AD112" s="114"/>
      <c r="AE112" s="114"/>
      <c r="AF112" s="52"/>
      <c r="AG112" s="52"/>
      <c r="AH112" s="52"/>
      <c r="AI112" s="22"/>
      <c r="AJ112" s="22"/>
    </row>
    <row r="113" spans="2:36" x14ac:dyDescent="0.25">
      <c r="B113" s="28"/>
      <c r="C113" s="23"/>
      <c r="D113" s="22"/>
      <c r="E113" s="22"/>
      <c r="F113" s="24"/>
      <c r="G113" s="22"/>
      <c r="H113" s="22"/>
      <c r="I113" s="22"/>
      <c r="J113" s="22"/>
      <c r="K113" s="22"/>
      <c r="L113" s="24"/>
      <c r="M113" s="24"/>
      <c r="N113" s="25"/>
      <c r="O113" s="23"/>
      <c r="P113" s="22"/>
      <c r="Q113" s="22"/>
      <c r="R113" s="22"/>
      <c r="S113" s="22"/>
      <c r="T113" s="3"/>
      <c r="U113" s="22"/>
      <c r="V113" s="22"/>
      <c r="W113" s="22"/>
      <c r="X113" s="22"/>
      <c r="Y113" s="26"/>
      <c r="Z113" s="26"/>
      <c r="AA113" s="26"/>
      <c r="AB113" s="26"/>
      <c r="AC113" s="26"/>
      <c r="AD113" s="114"/>
      <c r="AE113" s="114"/>
      <c r="AF113" s="52"/>
      <c r="AG113" s="52"/>
      <c r="AH113" s="52"/>
      <c r="AI113" s="22"/>
      <c r="AJ113" s="22"/>
    </row>
    <row r="114" spans="2:36" x14ac:dyDescent="0.25">
      <c r="B114" s="28"/>
      <c r="C114" s="23"/>
      <c r="D114" s="22"/>
      <c r="E114" s="22"/>
      <c r="F114" s="24"/>
      <c r="G114" s="22"/>
      <c r="H114" s="22"/>
      <c r="I114" s="22"/>
      <c r="J114" s="22"/>
      <c r="K114" s="22"/>
      <c r="L114" s="24"/>
      <c r="M114" s="24"/>
      <c r="N114" s="25"/>
      <c r="O114" s="23"/>
      <c r="P114" s="22"/>
      <c r="Q114" s="22"/>
      <c r="R114" s="22"/>
      <c r="S114" s="22"/>
      <c r="T114" s="3"/>
      <c r="U114" s="22"/>
      <c r="V114" s="22"/>
      <c r="W114" s="22"/>
      <c r="X114" s="22"/>
      <c r="Y114" s="26"/>
      <c r="Z114" s="26"/>
      <c r="AA114" s="26"/>
      <c r="AB114" s="26"/>
      <c r="AC114" s="26"/>
      <c r="AD114" s="114"/>
      <c r="AE114" s="114"/>
      <c r="AF114" s="52"/>
      <c r="AG114" s="52"/>
      <c r="AH114" s="52"/>
      <c r="AI114" s="22"/>
      <c r="AJ114" s="22"/>
    </row>
    <row r="115" spans="2:36" x14ac:dyDescent="0.25">
      <c r="B115" s="28"/>
      <c r="C115" s="23"/>
      <c r="D115" s="22"/>
      <c r="E115" s="22"/>
      <c r="F115" s="24"/>
      <c r="G115" s="22"/>
      <c r="H115" s="22"/>
      <c r="I115" s="22"/>
      <c r="J115" s="22"/>
      <c r="K115" s="22"/>
      <c r="L115" s="24"/>
      <c r="M115" s="24"/>
      <c r="N115" s="25"/>
      <c r="O115" s="23"/>
      <c r="P115" s="22"/>
      <c r="Q115" s="22"/>
      <c r="R115" s="22"/>
      <c r="S115" s="22"/>
      <c r="T115" s="3"/>
      <c r="U115" s="22"/>
      <c r="V115" s="22"/>
      <c r="W115" s="22"/>
      <c r="X115" s="22"/>
      <c r="Y115" s="26"/>
      <c r="Z115" s="26"/>
      <c r="AA115" s="26"/>
      <c r="AB115" s="26"/>
      <c r="AC115" s="26"/>
      <c r="AD115" s="114"/>
      <c r="AE115" s="114"/>
      <c r="AF115" s="52"/>
      <c r="AG115" s="52"/>
      <c r="AH115" s="52"/>
      <c r="AI115" s="22"/>
      <c r="AJ115" s="22"/>
    </row>
    <row r="116" spans="2:36" x14ac:dyDescent="0.25">
      <c r="B116" s="28"/>
      <c r="C116" s="23"/>
      <c r="D116" s="22"/>
      <c r="E116" s="22"/>
      <c r="F116" s="24"/>
      <c r="G116" s="22"/>
      <c r="H116" s="22"/>
      <c r="I116" s="22"/>
      <c r="J116" s="22"/>
      <c r="K116" s="22"/>
      <c r="L116" s="24"/>
      <c r="M116" s="24"/>
      <c r="N116" s="25"/>
      <c r="O116" s="23"/>
      <c r="P116" s="22"/>
      <c r="Q116" s="22"/>
      <c r="R116" s="22"/>
      <c r="S116" s="22"/>
      <c r="T116" s="3"/>
      <c r="U116" s="22"/>
      <c r="V116" s="22"/>
      <c r="W116" s="22"/>
      <c r="X116" s="22"/>
      <c r="Y116" s="26"/>
      <c r="Z116" s="26"/>
      <c r="AA116" s="26"/>
      <c r="AB116" s="26"/>
      <c r="AC116" s="26"/>
      <c r="AD116" s="114"/>
      <c r="AE116" s="114"/>
      <c r="AF116" s="52"/>
      <c r="AG116" s="52"/>
      <c r="AH116" s="52"/>
      <c r="AI116" s="22"/>
      <c r="AJ116" s="22"/>
    </row>
    <row r="117" spans="2:36" x14ac:dyDescent="0.25">
      <c r="B117" s="22"/>
      <c r="C117" s="22"/>
      <c r="D117" s="22"/>
      <c r="E117" s="22"/>
      <c r="F117" s="24"/>
      <c r="G117" s="22"/>
      <c r="H117" s="22"/>
      <c r="I117" s="22"/>
      <c r="J117" s="22"/>
      <c r="K117" s="22"/>
      <c r="L117" s="22"/>
      <c r="M117" s="22"/>
      <c r="N117" s="25"/>
      <c r="O117" s="23"/>
      <c r="P117" s="22"/>
      <c r="Q117" s="22"/>
      <c r="R117" s="22"/>
      <c r="S117" s="22"/>
      <c r="T117" s="22"/>
      <c r="U117" s="22"/>
      <c r="V117" s="22"/>
      <c r="W117" s="22"/>
      <c r="X117" s="22"/>
      <c r="Y117" s="27"/>
      <c r="Z117" s="27"/>
      <c r="AA117" s="27"/>
      <c r="AB117" s="27"/>
      <c r="AC117" s="27"/>
      <c r="AD117" s="114"/>
      <c r="AE117" s="114"/>
      <c r="AF117" s="52"/>
      <c r="AG117" s="52"/>
      <c r="AH117" s="52"/>
      <c r="AI117" s="22"/>
      <c r="AJ117" s="22"/>
    </row>
    <row r="118" spans="2:36" x14ac:dyDescent="0.25">
      <c r="B118" s="22"/>
      <c r="C118" s="22"/>
      <c r="D118" s="22"/>
      <c r="E118" s="22"/>
      <c r="F118" s="24"/>
      <c r="G118" s="22"/>
      <c r="H118" s="22"/>
      <c r="I118" s="22"/>
      <c r="J118" s="22"/>
      <c r="K118" s="22"/>
      <c r="L118" s="22"/>
      <c r="M118" s="22"/>
      <c r="N118" s="25"/>
      <c r="O118" s="23"/>
      <c r="P118" s="22"/>
      <c r="Q118" s="22"/>
      <c r="R118" s="22"/>
      <c r="S118" s="22"/>
      <c r="T118" s="22"/>
      <c r="U118" s="22"/>
      <c r="V118" s="22"/>
      <c r="W118" s="22"/>
      <c r="X118" s="22"/>
      <c r="Y118" s="27"/>
      <c r="Z118" s="27"/>
      <c r="AA118" s="27"/>
      <c r="AB118" s="27"/>
      <c r="AC118" s="27"/>
      <c r="AD118" s="114"/>
      <c r="AE118" s="114"/>
      <c r="AF118" s="52"/>
      <c r="AG118" s="52"/>
      <c r="AH118" s="52"/>
      <c r="AI118" s="22"/>
      <c r="AJ118" s="22"/>
    </row>
    <row r="119" spans="2:36" x14ac:dyDescent="0.25">
      <c r="B119" s="5"/>
      <c r="C119" s="5"/>
      <c r="D119" s="5"/>
      <c r="E119" s="5"/>
      <c r="F119" s="5"/>
      <c r="G119" s="5"/>
      <c r="H119" s="5"/>
      <c r="I119" s="5"/>
      <c r="J119" s="5"/>
      <c r="K119" s="5"/>
      <c r="L119" s="5"/>
      <c r="M119" s="5"/>
      <c r="N119" s="5"/>
      <c r="O119" s="5"/>
      <c r="P119" s="5"/>
      <c r="Q119" s="5"/>
    </row>
  </sheetData>
  <autoFilter ref="B37:AK106"/>
  <customSheetViews>
    <customSheetView guid="{250915DF-0B97-45D7-B29D-7EED4C89C1C1}" showAutoFilter="1">
      <selection activeCell="N19" sqref="N19"/>
      <pageMargins left="0.7" right="0.7" top="0.75" bottom="0.75" header="0.3" footer="0.3"/>
      <pageSetup orientation="portrait" r:id="rId1"/>
      <autoFilter ref="B37:AK106"/>
    </customSheetView>
    <customSheetView guid="{D33AC7AF-C8AB-4CE9-94C7-9237011A5FC3}" showAutoFilter="1">
      <selection activeCell="N19" sqref="N19"/>
      <pageMargins left="0.7" right="0.7" top="0.75" bottom="0.75" header="0.3" footer="0.3"/>
      <pageSetup orientation="portrait" r:id="rId2"/>
      <autoFilter ref="B37:AK106"/>
    </customSheetView>
    <customSheetView guid="{336B6883-2145-4B58-921E-CEC7185A847E}" scale="85" showAutoFilter="1" hiddenColumns="1" topLeftCell="A37">
      <selection activeCell="J158" sqref="J158"/>
      <pageMargins left="0.7" right="0.7" top="0.75" bottom="0.75" header="0.3" footer="0.3"/>
      <pageSetup orientation="portrait" r:id="rId3"/>
      <autoFilter ref="B37:AK106"/>
    </customSheetView>
    <customSheetView guid="{A2C66332-A809-458E-971B-FDB6D62C74C3}" showAutoFilter="1">
      <selection activeCell="N19" sqref="N19"/>
      <pageMargins left="0.7" right="0.7" top="0.75" bottom="0.75" header="0.3" footer="0.3"/>
      <pageSetup orientation="portrait" r:id="rId4"/>
      <autoFilter ref="B37:AK106"/>
    </customSheetView>
    <customSheetView guid="{7ECC2B8E-6A82-42F5-8AB0-4A51C54EA5EC}" showAutoFilter="1">
      <selection activeCell="N19" sqref="N19"/>
      <pageMargins left="0.7" right="0.7" top="0.75" bottom="0.75" header="0.3" footer="0.3"/>
      <pageSetup orientation="portrait" r:id="rId5"/>
      <autoFilter ref="B37:AK106"/>
    </customSheetView>
    <customSheetView guid="{4E06BDBF-2CED-473B-850B-2A6C7311FF41}" showAutoFilter="1" hiddenColumns="1" topLeftCell="I28">
      <selection activeCell="W54" sqref="W54"/>
      <pageMargins left="0.7" right="0.7" top="0.75" bottom="0.75" header="0.3" footer="0.3"/>
      <pageSetup orientation="portrait" r:id="rId6"/>
      <autoFilter ref="Q2:Q105"/>
    </customSheetView>
    <customSheetView guid="{7E0EA425-A420-4443-B9E0-CDF0AA9E5D09}" showAutoFilter="1" hiddenColumns="1">
      <pageMargins left="0.7" right="0.7" top="0.75" bottom="0.75" header="0.3" footer="0.3"/>
      <pageSetup orientation="portrait" r:id="rId7"/>
      <autoFilter ref="Q2:Q105"/>
    </customSheetView>
    <customSheetView guid="{60D2C030-4E31-4E07-8E1C-44D2EE84B177}" scale="85" showAutoFilter="1" hiddenColumns="1" topLeftCell="J1">
      <selection activeCell="AE25" sqref="AE25"/>
      <pageMargins left="0.7" right="0.7" top="0.75" bottom="0.75" header="0.3" footer="0.3"/>
      <pageSetup orientation="portrait" r:id="rId8"/>
      <autoFilter ref="B2:AE78"/>
    </customSheetView>
    <customSheetView guid="{72A6EB0A-84D5-4B8A-AC51-54CCD061630B}" scale="70" showAutoFilter="1" hiddenColumns="1" topLeftCell="A43">
      <selection activeCell="AF34" sqref="AF34"/>
      <pageMargins left="0.7" right="0.7" top="0.75" bottom="0.75" header="0.3" footer="0.3"/>
      <pageSetup orientation="portrait" r:id="rId9"/>
      <autoFilter ref="P37:P106"/>
    </customSheetView>
    <customSheetView guid="{3B3E6719-EACB-4D2C-89C1-05FFAB6020FD}" showAutoFilter="1">
      <selection activeCell="N19" sqref="N19"/>
      <pageMargins left="0.7" right="0.7" top="0.75" bottom="0.75" header="0.3" footer="0.3"/>
      <pageSetup orientation="portrait" r:id="rId10"/>
      <autoFilter ref="B37:AK106"/>
    </customSheetView>
  </customSheetViews>
  <conditionalFormatting sqref="H13:H17 H4:H7">
    <cfRule type="cellIs" dxfId="58" priority="75" operator="equal">
      <formula>1</formula>
    </cfRule>
    <cfRule type="cellIs" dxfId="57" priority="76" operator="lessThan">
      <formula>1</formula>
    </cfRule>
  </conditionalFormatting>
  <conditionalFormatting sqref="AC107:AC118 AD38:AE224 AD34:AE35 T2:U33">
    <cfRule type="cellIs" dxfId="56" priority="73" operator="equal">
      <formula>"OK"</formula>
    </cfRule>
    <cfRule type="cellIs" dxfId="55" priority="74" operator="equal">
      <formula>"NG"</formula>
    </cfRule>
  </conditionalFormatting>
  <conditionalFormatting sqref="L107:M116">
    <cfRule type="cellIs" dxfId="54" priority="72" operator="equal">
      <formula>"PUT_VERSION"</formula>
    </cfRule>
  </conditionalFormatting>
  <conditionalFormatting sqref="D8">
    <cfRule type="expression" dxfId="53" priority="60">
      <formula>D8=SUM(D4:D7)</formula>
    </cfRule>
  </conditionalFormatting>
  <conditionalFormatting sqref="E8">
    <cfRule type="expression" dxfId="52" priority="59">
      <formula>E8=SUM(E4:E7)</formula>
    </cfRule>
  </conditionalFormatting>
  <conditionalFormatting sqref="F8">
    <cfRule type="expression" dxfId="51" priority="58">
      <formula>F8=SUM(F4:F7)</formula>
    </cfRule>
  </conditionalFormatting>
  <conditionalFormatting sqref="D17">
    <cfRule type="expression" dxfId="50" priority="57">
      <formula>D17=SUM(D13:D16)</formula>
    </cfRule>
  </conditionalFormatting>
  <conditionalFormatting sqref="E17">
    <cfRule type="expression" dxfId="49" priority="56">
      <formula>E17=SUM(E13:E16)</formula>
    </cfRule>
  </conditionalFormatting>
  <conditionalFormatting sqref="H22">
    <cfRule type="cellIs" dxfId="48" priority="41" operator="equal">
      <formula>1</formula>
    </cfRule>
    <cfRule type="cellIs" dxfId="47" priority="42" operator="lessThan">
      <formula>1</formula>
    </cfRule>
  </conditionalFormatting>
  <conditionalFormatting sqref="H23">
    <cfRule type="cellIs" dxfId="46" priority="39" operator="equal">
      <formula>1</formula>
    </cfRule>
    <cfRule type="cellIs" dxfId="45" priority="40" operator="lessThan">
      <formula>1</formula>
    </cfRule>
  </conditionalFormatting>
  <conditionalFormatting sqref="H24">
    <cfRule type="cellIs" dxfId="44" priority="37" operator="equal">
      <formula>1</formula>
    </cfRule>
    <cfRule type="cellIs" dxfId="43" priority="38" operator="lessThan">
      <formula>1</formula>
    </cfRule>
  </conditionalFormatting>
  <conditionalFormatting sqref="H25">
    <cfRule type="cellIs" dxfId="42" priority="35" operator="equal">
      <formula>1</formula>
    </cfRule>
    <cfRule type="cellIs" dxfId="41" priority="36" operator="lessThan">
      <formula>1</formula>
    </cfRule>
  </conditionalFormatting>
  <conditionalFormatting sqref="H26">
    <cfRule type="cellIs" dxfId="40" priority="33" operator="equal">
      <formula>1</formula>
    </cfRule>
    <cfRule type="cellIs" dxfId="39" priority="34" operator="lessThan">
      <formula>1</formula>
    </cfRule>
  </conditionalFormatting>
  <conditionalFormatting sqref="AC38:AC106">
    <cfRule type="cellIs" dxfId="38" priority="5" operator="equal">
      <formula>"OK"</formula>
    </cfRule>
    <cfRule type="cellIs" dxfId="37" priority="6" operator="equal">
      <formula>"NG"</formula>
    </cfRule>
  </conditionalFormatting>
  <conditionalFormatting sqref="L38:M78 L79 L80:M106">
    <cfRule type="cellIs" dxfId="36" priority="4" operator="equal">
      <formula>"PUT_VERSION"</formula>
    </cfRule>
  </conditionalFormatting>
  <conditionalFormatting sqref="M79:M106">
    <cfRule type="cellIs" dxfId="35" priority="3" operator="equal">
      <formula>"PUT_VERSION"</formula>
    </cfRule>
  </conditionalFormatting>
  <conditionalFormatting sqref="F17">
    <cfRule type="expression" dxfId="34" priority="83">
      <formula>F17=SUM(F$13:F$16)</formula>
    </cfRule>
  </conditionalFormatting>
  <dataValidations disablePrompts="1" count="2">
    <dataValidation type="list" allowBlank="1" showInputMessage="1" showErrorMessage="1" sqref="R77:R118 R38:R75">
      <formula1>"Yes,No"</formula1>
    </dataValidation>
    <dataValidation type="list" allowBlank="1" showInputMessage="1" showErrorMessage="1" sqref="AC38:AC118">
      <formula1>"OK,NG"</formula1>
    </dataValidation>
  </dataValidations>
  <pageMargins left="0.7" right="0.7" top="0.75" bottom="0.75" header="0.3" footer="0.3"/>
  <pageSetup orientation="portrait" r:id="rId11"/>
  <extLst>
    <ext xmlns:x14="http://schemas.microsoft.com/office/spreadsheetml/2009/9/main" uri="{78C0D931-6437-407d-A8EE-F0AAD7539E65}">
      <x14:conditionalFormattings>
        <x14:conditionalFormatting xmlns:xm="http://schemas.microsoft.com/office/excel/2006/main">
          <x14:cfRule type="cellIs" priority="77" operator="greaterThanOrEqual" id="{462DD875-5DFE-4F37-9583-4C49F4AAD3E6}">
            <xm:f>Table!$C$4</xm:f>
            <x14:dxf>
              <font>
                <color rgb="FF006100"/>
              </font>
              <fill>
                <patternFill>
                  <bgColor rgb="FFC6EFCE"/>
                </patternFill>
              </fill>
            </x14:dxf>
          </x14:cfRule>
          <x14:cfRule type="cellIs" priority="78" operator="lessThan" id="{890A8F09-FCE6-4F3E-97EA-13615298FBCB}">
            <xm:f>Table!$C$4</xm:f>
            <x14:dxf>
              <font>
                <color rgb="FF9C0006"/>
              </font>
              <fill>
                <patternFill>
                  <bgColor rgb="FFFFC7CE"/>
                </patternFill>
              </fill>
            </x14:dxf>
          </x14:cfRule>
          <xm:sqref>G13:G17</xm:sqref>
        </x14:conditionalFormatting>
        <x14:conditionalFormatting xmlns:xm="http://schemas.microsoft.com/office/excel/2006/main">
          <x14:cfRule type="cellIs" priority="79" operator="greaterThanOrEqual" id="{F3AA9D00-F3C1-4FEB-B93D-DD4B3786E72E}">
            <xm:f>Table!$D$4</xm:f>
            <x14:dxf>
              <font>
                <color rgb="FF006100"/>
              </font>
              <fill>
                <patternFill>
                  <bgColor rgb="FFC6EFCE"/>
                </patternFill>
              </fill>
            </x14:dxf>
          </x14:cfRule>
          <x14:cfRule type="cellIs" priority="80" operator="lessThan" id="{3D1FDD5B-A393-4039-A3EA-9D071093298F}">
            <xm:f>Table!$D$4</xm:f>
            <x14:dxf>
              <font>
                <color rgb="FF9C0006"/>
              </font>
              <fill>
                <patternFill>
                  <bgColor rgb="FFFFC7CE"/>
                </patternFill>
              </fill>
            </x14:dxf>
          </x14:cfRule>
          <xm:sqref>G4:G7</xm:sqref>
        </x14:conditionalFormatting>
        <x14:conditionalFormatting xmlns:xm="http://schemas.microsoft.com/office/excel/2006/main">
          <x14:cfRule type="cellIs" priority="53" operator="greaterThanOrEqual" id="{8AE9D241-CF96-485F-A874-67B7AAC95E35}">
            <xm:f>Table!$D$4</xm:f>
            <x14:dxf>
              <font>
                <color rgb="FF006100"/>
              </font>
              <fill>
                <patternFill>
                  <bgColor rgb="FFC6EFCE"/>
                </patternFill>
              </fill>
            </x14:dxf>
          </x14:cfRule>
          <x14:cfRule type="cellIs" priority="54" operator="lessThan" id="{4D4CE6F4-CC8B-4D6D-920F-CC7AE9668528}">
            <xm:f>Table!$D$4</xm:f>
            <x14:dxf>
              <font>
                <color rgb="FF9C0006"/>
              </font>
              <fill>
                <patternFill>
                  <bgColor rgb="FFFFC7CE"/>
                </patternFill>
              </fill>
            </x14:dxf>
          </x14:cfRule>
          <xm:sqref>G8</xm:sqref>
        </x14:conditionalFormatting>
        <x14:conditionalFormatting xmlns:xm="http://schemas.microsoft.com/office/excel/2006/main">
          <x14:cfRule type="cellIs" priority="51" operator="greaterThanOrEqual" id="{891DB34F-A29D-4C23-8F8B-3028A8385AC0}">
            <xm:f>Table!$D$4</xm:f>
            <x14:dxf>
              <font>
                <color rgb="FF006100"/>
              </font>
              <fill>
                <patternFill>
                  <bgColor rgb="FFC6EFCE"/>
                </patternFill>
              </fill>
            </x14:dxf>
          </x14:cfRule>
          <x14:cfRule type="cellIs" priority="52" operator="lessThan" id="{DD967984-E84E-4755-9907-43E0FA7B3157}">
            <xm:f>Table!$D$4</xm:f>
            <x14:dxf>
              <font>
                <color rgb="FF9C0006"/>
              </font>
              <fill>
                <patternFill>
                  <bgColor rgb="FFFFC7CE"/>
                </patternFill>
              </fill>
            </x14:dxf>
          </x14:cfRule>
          <xm:sqref>G26</xm:sqref>
        </x14:conditionalFormatting>
        <x14:conditionalFormatting xmlns:xm="http://schemas.microsoft.com/office/excel/2006/main">
          <x14:cfRule type="cellIs" priority="49" operator="greaterThanOrEqual" id="{73E89332-D868-4492-B58D-BFDE6C451C1B}">
            <xm:f>Table!$D$4</xm:f>
            <x14:dxf>
              <font>
                <color rgb="FF006100"/>
              </font>
              <fill>
                <patternFill>
                  <bgColor rgb="FFC6EFCE"/>
                </patternFill>
              </fill>
            </x14:dxf>
          </x14:cfRule>
          <x14:cfRule type="cellIs" priority="50" operator="lessThan" id="{FE404D95-BA4C-4658-AAC7-51DD9B5C0213}">
            <xm:f>Table!$D$4</xm:f>
            <x14:dxf>
              <font>
                <color rgb="FF9C0006"/>
              </font>
              <fill>
                <patternFill>
                  <bgColor rgb="FFFFC7CE"/>
                </patternFill>
              </fill>
            </x14:dxf>
          </x14:cfRule>
          <xm:sqref>G22</xm:sqref>
        </x14:conditionalFormatting>
        <x14:conditionalFormatting xmlns:xm="http://schemas.microsoft.com/office/excel/2006/main">
          <x14:cfRule type="cellIs" priority="47" operator="greaterThanOrEqual" id="{016706BE-96BC-4934-86D2-419E89EA51CC}">
            <xm:f>Table!$D$4</xm:f>
            <x14:dxf>
              <font>
                <color rgb="FF006100"/>
              </font>
              <fill>
                <patternFill>
                  <bgColor rgb="FFC6EFCE"/>
                </patternFill>
              </fill>
            </x14:dxf>
          </x14:cfRule>
          <x14:cfRule type="cellIs" priority="48" operator="lessThan" id="{0D1E3703-B90D-4854-AD3F-5038B8413F18}">
            <xm:f>Table!$D$4</xm:f>
            <x14:dxf>
              <font>
                <color rgb="FF9C0006"/>
              </font>
              <fill>
                <patternFill>
                  <bgColor rgb="FFFFC7CE"/>
                </patternFill>
              </fill>
            </x14:dxf>
          </x14:cfRule>
          <xm:sqref>G23</xm:sqref>
        </x14:conditionalFormatting>
        <x14:conditionalFormatting xmlns:xm="http://schemas.microsoft.com/office/excel/2006/main">
          <x14:cfRule type="cellIs" priority="45" operator="greaterThanOrEqual" id="{501BE06B-257F-410E-A7AE-BB71E8E1723E}">
            <xm:f>Table!$D$4</xm:f>
            <x14:dxf>
              <font>
                <color rgb="FF006100"/>
              </font>
              <fill>
                <patternFill>
                  <bgColor rgb="FFC6EFCE"/>
                </patternFill>
              </fill>
            </x14:dxf>
          </x14:cfRule>
          <x14:cfRule type="cellIs" priority="46" operator="lessThan" id="{BA708AE8-24E5-4C57-915D-F277ECEAD94F}">
            <xm:f>Table!$D$4</xm:f>
            <x14:dxf>
              <font>
                <color rgb="FF9C0006"/>
              </font>
              <fill>
                <patternFill>
                  <bgColor rgb="FFFFC7CE"/>
                </patternFill>
              </fill>
            </x14:dxf>
          </x14:cfRule>
          <xm:sqref>G24</xm:sqref>
        </x14:conditionalFormatting>
        <x14:conditionalFormatting xmlns:xm="http://schemas.microsoft.com/office/excel/2006/main">
          <x14:cfRule type="cellIs" priority="43" operator="greaterThanOrEqual" id="{59FAA78D-2A60-4232-BC33-2826D0A6D1A8}">
            <xm:f>Table!$D$4</xm:f>
            <x14:dxf>
              <font>
                <color rgb="FF006100"/>
              </font>
              <fill>
                <patternFill>
                  <bgColor rgb="FFC6EFCE"/>
                </patternFill>
              </fill>
            </x14:dxf>
          </x14:cfRule>
          <x14:cfRule type="cellIs" priority="44" operator="lessThan" id="{D7CC3265-6C83-4F75-B69C-7B763CA81453}">
            <xm:f>Table!$D$4</xm:f>
            <x14:dxf>
              <font>
                <color rgb="FF9C0006"/>
              </font>
              <fill>
                <patternFill>
                  <bgColor rgb="FFFFC7CE"/>
                </patternFill>
              </fill>
            </x14:dxf>
          </x14:cfRule>
          <xm:sqref>G25</xm:sqref>
        </x14:conditionalFormatting>
      </x14:conditionalFormattings>
    </ex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Table!$C$26:$C$32</xm:f>
          </x14:formula1>
          <xm:sqref>X38:X118</xm:sqref>
        </x14:dataValidation>
        <x14:dataValidation type="list" allowBlank="1" showInputMessage="1" showErrorMessage="1">
          <x14:formula1>
            <xm:f>Table!$C$8:$C$9</xm:f>
          </x14:formula1>
          <xm:sqref>D38:D118</xm:sqref>
        </x14:dataValidation>
        <x14:dataValidation type="list" allowBlank="1" showInputMessage="1" showErrorMessage="1">
          <x14:formula1>
            <xm:f>Table!$C$13:$C$22</xm:f>
          </x14:formula1>
          <xm:sqref>P38:Q118</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workbookViewId="0"/>
  </sheetViews>
  <sheetFormatPr defaultRowHeight="15" x14ac:dyDescent="0.25"/>
  <sheetData/>
  <customSheetViews>
    <customSheetView guid="{250915DF-0B97-45D7-B29D-7EED4C89C1C1}">
      <pageMargins left="0.7" right="0.7" top="0.75" bottom="0.75" header="0.3" footer="0.3"/>
    </customSheetView>
    <customSheetView guid="{D33AC7AF-C8AB-4CE9-94C7-9237011A5FC3}">
      <pageMargins left="0.7" right="0.7" top="0.75" bottom="0.75" header="0.3" footer="0.3"/>
    </customSheetView>
    <customSheetView guid="{336B6883-2145-4B58-921E-CEC7185A847E}">
      <pageMargins left="0.7" right="0.7" top="0.75" bottom="0.75" header="0.3" footer="0.3"/>
    </customSheetView>
    <customSheetView guid="{A2C66332-A809-458E-971B-FDB6D62C74C3}">
      <pageMargins left="0.7" right="0.7" top="0.75" bottom="0.75" header="0.3" footer="0.3"/>
    </customSheetView>
    <customSheetView guid="{7ECC2B8E-6A82-42F5-8AB0-4A51C54EA5EC}">
      <pageMargins left="0.7" right="0.7" top="0.75" bottom="0.75" header="0.3" footer="0.3"/>
    </customSheetView>
    <customSheetView guid="{72A6EB0A-84D5-4B8A-AC51-54CCD061630B}">
      <pageMargins left="0.7" right="0.7" top="0.75" bottom="0.75" header="0.3" footer="0.3"/>
    </customSheetView>
    <customSheetView guid="{3B3E6719-EACB-4D2C-89C1-05FFAB6020FD}">
      <pageMargins left="0.7" right="0.7" top="0.75" bottom="0.75" header="0.3" footer="0.3"/>
    </customSheetView>
  </customSheetView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99"/>
  <sheetViews>
    <sheetView zoomScale="70" zoomScaleNormal="70" workbookViewId="0">
      <selection activeCell="A31" sqref="A31"/>
    </sheetView>
  </sheetViews>
  <sheetFormatPr defaultRowHeight="15" x14ac:dyDescent="0.25"/>
  <cols>
    <col min="2" max="2" width="12.5703125" customWidth="1"/>
    <col min="4" max="4" width="20.85546875" customWidth="1"/>
    <col min="5" max="5" width="21" customWidth="1"/>
    <col min="6" max="6" width="23.5703125" customWidth="1"/>
    <col min="8" max="8" width="26.28515625" customWidth="1"/>
    <col min="9" max="9" width="29.140625" customWidth="1"/>
  </cols>
  <sheetData>
    <row r="1" spans="1:8" x14ac:dyDescent="0.25">
      <c r="A1" s="1" t="s">
        <v>44</v>
      </c>
      <c r="B1" s="65">
        <v>43896</v>
      </c>
      <c r="D1" s="65">
        <v>43910</v>
      </c>
      <c r="F1" s="6"/>
    </row>
    <row r="2" spans="1:8" x14ac:dyDescent="0.25">
      <c r="A2" s="1" t="s">
        <v>31</v>
      </c>
      <c r="B2" s="7">
        <f>SUM(INT((WEEKDAY(B1-{2,3,4,5,6}) +D1-B1)/7))</f>
        <v>11</v>
      </c>
    </row>
    <row r="3" spans="1:8" x14ac:dyDescent="0.25">
      <c r="A3" s="1" t="s">
        <v>739</v>
      </c>
      <c r="B3" s="7">
        <v>0</v>
      </c>
    </row>
    <row r="4" spans="1:8" x14ac:dyDescent="0.25">
      <c r="A4" s="1" t="s">
        <v>286</v>
      </c>
      <c r="B4">
        <f ca="1">IF(TODAY()&lt;D1,SUM(INT((WEEKDAY(B1-{2,3,4,5,6})+TODAY()-B1)/7)),SUM(INT((WEEKDAY(B1-{2,3,4,5,6})+D1-B1)/7)))-B3</f>
        <v>11</v>
      </c>
    </row>
    <row r="5" spans="1:8" x14ac:dyDescent="0.25">
      <c r="A5" s="1"/>
    </row>
    <row r="6" spans="1:8" x14ac:dyDescent="0.25">
      <c r="B6" s="1" t="s">
        <v>35</v>
      </c>
    </row>
    <row r="7" spans="1:8" ht="30" x14ac:dyDescent="0.25">
      <c r="C7" s="68" t="s">
        <v>26</v>
      </c>
      <c r="D7" s="68" t="s">
        <v>27</v>
      </c>
      <c r="E7" s="68" t="s">
        <v>28</v>
      </c>
      <c r="F7" s="68" t="s">
        <v>29</v>
      </c>
      <c r="G7" s="10" t="s">
        <v>226</v>
      </c>
      <c r="H7" s="10" t="s">
        <v>30</v>
      </c>
    </row>
    <row r="8" spans="1:8" x14ac:dyDescent="0.25">
      <c r="C8" s="8">
        <v>1</v>
      </c>
      <c r="D8" s="67" t="s">
        <v>3</v>
      </c>
      <c r="E8" s="67">
        <v>720</v>
      </c>
      <c r="F8" s="67">
        <v>720</v>
      </c>
      <c r="G8" s="67">
        <v>1.6</v>
      </c>
      <c r="H8" s="74">
        <v>1</v>
      </c>
    </row>
    <row r="9" spans="1:8" x14ac:dyDescent="0.25">
      <c r="C9" s="8">
        <v>2</v>
      </c>
      <c r="D9" s="67" t="s">
        <v>2</v>
      </c>
      <c r="E9" s="67">
        <v>6644.0020000000004</v>
      </c>
      <c r="F9" s="67">
        <v>3433.96</v>
      </c>
      <c r="G9" s="67">
        <v>51.107707692307699</v>
      </c>
      <c r="H9" s="74">
        <v>0.51685113881663491</v>
      </c>
    </row>
    <row r="10" spans="1:8" x14ac:dyDescent="0.25">
      <c r="C10" s="62"/>
      <c r="D10" s="43"/>
      <c r="E10" s="43"/>
      <c r="F10" s="43"/>
      <c r="G10" s="63"/>
    </row>
    <row r="11" spans="1:8" x14ac:dyDescent="0.25">
      <c r="B11" s="1" t="s">
        <v>36</v>
      </c>
    </row>
    <row r="12" spans="1:8" ht="30" x14ac:dyDescent="0.25">
      <c r="C12" s="68" t="s">
        <v>26</v>
      </c>
      <c r="D12" s="68" t="s">
        <v>32</v>
      </c>
      <c r="E12" s="10" t="s">
        <v>33</v>
      </c>
      <c r="F12" s="10" t="s">
        <v>34</v>
      </c>
      <c r="G12" s="10" t="s">
        <v>226</v>
      </c>
    </row>
    <row r="13" spans="1:8" x14ac:dyDescent="0.25">
      <c r="C13" s="41">
        <v>1</v>
      </c>
      <c r="D13" s="41" t="s">
        <v>312</v>
      </c>
      <c r="E13" s="67">
        <v>225</v>
      </c>
      <c r="F13" s="67">
        <v>1088.672</v>
      </c>
      <c r="G13" s="67">
        <v>8.8743999999999996</v>
      </c>
    </row>
    <row r="14" spans="1:8" x14ac:dyDescent="0.25">
      <c r="C14" s="41">
        <v>2</v>
      </c>
      <c r="D14" s="41" t="s">
        <v>313</v>
      </c>
      <c r="E14" s="67">
        <v>0</v>
      </c>
      <c r="F14" s="67">
        <v>1085.0970000000002</v>
      </c>
      <c r="G14" s="67">
        <v>8.3469000000000015</v>
      </c>
    </row>
    <row r="15" spans="1:8" x14ac:dyDescent="0.25">
      <c r="C15" s="41">
        <v>3</v>
      </c>
      <c r="D15" s="41" t="s">
        <v>314</v>
      </c>
      <c r="E15" s="67">
        <v>495</v>
      </c>
      <c r="F15" s="67">
        <v>286</v>
      </c>
      <c r="G15" s="67">
        <v>3.3</v>
      </c>
    </row>
    <row r="16" spans="1:8" x14ac:dyDescent="0.25">
      <c r="C16" s="41">
        <v>4</v>
      </c>
      <c r="D16" s="41" t="s">
        <v>315</v>
      </c>
      <c r="E16" s="67">
        <v>0</v>
      </c>
      <c r="F16" s="67">
        <v>974.19099999999992</v>
      </c>
      <c r="G16" s="67">
        <v>7.493776923076922</v>
      </c>
    </row>
    <row r="17" spans="2:7" x14ac:dyDescent="0.25">
      <c r="C17" s="42"/>
      <c r="D17" s="42"/>
      <c r="E17" s="43"/>
      <c r="F17" s="43"/>
    </row>
    <row r="18" spans="2:7" x14ac:dyDescent="0.25">
      <c r="B18" s="1" t="s">
        <v>37</v>
      </c>
    </row>
    <row r="19" spans="2:7" x14ac:dyDescent="0.25">
      <c r="C19" s="68" t="s">
        <v>26</v>
      </c>
      <c r="D19" s="143" t="s">
        <v>38</v>
      </c>
      <c r="E19" s="143"/>
      <c r="F19" s="143"/>
      <c r="G19" s="143"/>
    </row>
    <row r="20" spans="2:7" x14ac:dyDescent="0.25">
      <c r="C20" s="41">
        <v>1</v>
      </c>
      <c r="D20" s="144" t="s">
        <v>67</v>
      </c>
      <c r="E20" s="145"/>
      <c r="F20" s="145"/>
      <c r="G20" s="145"/>
    </row>
    <row r="21" spans="2:7" x14ac:dyDescent="0.25">
      <c r="C21" s="41">
        <v>2</v>
      </c>
      <c r="D21" s="145" t="s">
        <v>67</v>
      </c>
      <c r="E21" s="145"/>
      <c r="F21" s="145"/>
      <c r="G21" s="145"/>
    </row>
    <row r="22" spans="2:7" x14ac:dyDescent="0.25">
      <c r="C22" s="41">
        <v>3</v>
      </c>
      <c r="D22" s="145" t="s">
        <v>67</v>
      </c>
      <c r="E22" s="145"/>
      <c r="F22" s="145"/>
      <c r="G22" s="145"/>
    </row>
    <row r="23" spans="2:7" x14ac:dyDescent="0.25">
      <c r="C23" s="41">
        <v>4</v>
      </c>
      <c r="D23" s="145" t="s">
        <v>67</v>
      </c>
      <c r="E23" s="145"/>
      <c r="F23" s="145"/>
      <c r="G23" s="145"/>
    </row>
    <row r="25" spans="2:7" x14ac:dyDescent="0.25">
      <c r="B25" s="1" t="s">
        <v>39</v>
      </c>
    </row>
    <row r="26" spans="2:7" x14ac:dyDescent="0.25">
      <c r="C26" s="68" t="s">
        <v>26</v>
      </c>
      <c r="D26" s="143" t="s">
        <v>41</v>
      </c>
      <c r="E26" s="143"/>
      <c r="F26" s="143"/>
      <c r="G26" s="143"/>
    </row>
    <row r="27" spans="2:7" x14ac:dyDescent="0.25">
      <c r="C27" s="41">
        <v>1</v>
      </c>
      <c r="D27" s="70" t="s">
        <v>67</v>
      </c>
      <c r="E27" s="71"/>
      <c r="F27" s="71"/>
      <c r="G27" s="72"/>
    </row>
    <row r="28" spans="2:7" x14ac:dyDescent="0.25">
      <c r="C28" s="41">
        <v>2</v>
      </c>
      <c r="D28" s="70" t="s">
        <v>67</v>
      </c>
      <c r="E28" s="71"/>
      <c r="F28" s="71"/>
      <c r="G28" s="72"/>
    </row>
    <row r="29" spans="2:7" x14ac:dyDescent="0.25">
      <c r="C29" s="41">
        <v>3</v>
      </c>
      <c r="D29" s="70" t="s">
        <v>67</v>
      </c>
      <c r="E29" s="71"/>
      <c r="F29" s="71"/>
      <c r="G29" s="72"/>
    </row>
    <row r="30" spans="2:7" x14ac:dyDescent="0.25">
      <c r="C30" s="41">
        <v>4</v>
      </c>
      <c r="D30" s="70" t="s">
        <v>67</v>
      </c>
      <c r="E30" s="71"/>
      <c r="F30" s="71"/>
      <c r="G30" s="72"/>
    </row>
    <row r="32" spans="2:7" x14ac:dyDescent="0.25">
      <c r="B32" s="1" t="s">
        <v>40</v>
      </c>
    </row>
    <row r="33" spans="2:6" x14ac:dyDescent="0.25">
      <c r="C33" s="68" t="s">
        <v>26</v>
      </c>
      <c r="D33" s="68" t="s">
        <v>32</v>
      </c>
      <c r="E33" s="10" t="s">
        <v>42</v>
      </c>
      <c r="F33" s="10" t="s">
        <v>43</v>
      </c>
    </row>
    <row r="34" spans="2:6" x14ac:dyDescent="0.25">
      <c r="C34" s="41">
        <v>1</v>
      </c>
      <c r="D34" s="41" t="s">
        <v>312</v>
      </c>
      <c r="E34" s="69" t="s">
        <v>67</v>
      </c>
      <c r="F34" s="69" t="s">
        <v>67</v>
      </c>
    </row>
    <row r="35" spans="2:6" x14ac:dyDescent="0.25">
      <c r="C35" s="41">
        <v>2</v>
      </c>
      <c r="D35" s="41" t="s">
        <v>313</v>
      </c>
      <c r="E35" s="69" t="s">
        <v>67</v>
      </c>
      <c r="F35" s="69" t="s">
        <v>67</v>
      </c>
    </row>
    <row r="36" spans="2:6" x14ac:dyDescent="0.25">
      <c r="C36" s="41">
        <v>3</v>
      </c>
      <c r="D36" s="41" t="s">
        <v>314</v>
      </c>
      <c r="E36" s="69">
        <v>10</v>
      </c>
      <c r="F36" s="85" t="s">
        <v>740</v>
      </c>
    </row>
    <row r="37" spans="2:6" x14ac:dyDescent="0.25">
      <c r="C37" s="41">
        <v>4</v>
      </c>
      <c r="D37" s="41" t="s">
        <v>315</v>
      </c>
      <c r="E37" s="69" t="s">
        <v>67</v>
      </c>
      <c r="F37" s="69" t="s">
        <v>67</v>
      </c>
    </row>
    <row r="38" spans="2:6" x14ac:dyDescent="0.25">
      <c r="C38" s="42"/>
      <c r="D38" s="42"/>
      <c r="E38" s="43"/>
      <c r="F38" s="42"/>
    </row>
    <row r="40" spans="2:6" x14ac:dyDescent="0.25">
      <c r="B40" s="1" t="s">
        <v>45</v>
      </c>
    </row>
    <row r="41" spans="2:6" x14ac:dyDescent="0.25">
      <c r="C41" s="1" t="s">
        <v>47</v>
      </c>
    </row>
    <row r="42" spans="2:6" x14ac:dyDescent="0.25">
      <c r="D42" t="s">
        <v>46</v>
      </c>
    </row>
    <row r="43" spans="2:6" x14ac:dyDescent="0.25">
      <c r="D43" t="s">
        <v>214</v>
      </c>
    </row>
    <row r="44" spans="2:6" x14ac:dyDescent="0.25">
      <c r="C44" s="1" t="s">
        <v>48</v>
      </c>
    </row>
    <row r="45" spans="2:6" x14ac:dyDescent="0.25">
      <c r="D45" t="s">
        <v>49</v>
      </c>
    </row>
    <row r="46" spans="2:6" x14ac:dyDescent="0.25">
      <c r="D46" t="s">
        <v>50</v>
      </c>
    </row>
    <row r="49" spans="1:9" x14ac:dyDescent="0.25">
      <c r="B49" s="1" t="s">
        <v>490</v>
      </c>
    </row>
    <row r="50" spans="1:9" x14ac:dyDescent="0.25">
      <c r="A50" s="1">
        <v>1</v>
      </c>
      <c r="B50" s="1" t="s">
        <v>62</v>
      </c>
      <c r="C50" s="1" t="s">
        <v>159</v>
      </c>
    </row>
    <row r="51" spans="1:9" x14ac:dyDescent="0.25">
      <c r="B51" s="1" t="s">
        <v>458</v>
      </c>
      <c r="C51" s="64">
        <v>13.961250000000003</v>
      </c>
      <c r="D51" t="s">
        <v>459</v>
      </c>
    </row>
    <row r="52" spans="1:9" x14ac:dyDescent="0.25">
      <c r="B52" s="1" t="s">
        <v>471</v>
      </c>
      <c r="C52" s="7">
        <v>4</v>
      </c>
      <c r="D52" t="s">
        <v>459</v>
      </c>
      <c r="E52" t="s">
        <v>338</v>
      </c>
      <c r="F52" s="6">
        <v>43896</v>
      </c>
      <c r="G52" s="6" t="s">
        <v>339</v>
      </c>
      <c r="H52" s="6">
        <v>43901</v>
      </c>
    </row>
    <row r="53" spans="1:9" x14ac:dyDescent="0.25">
      <c r="B53" s="1" t="s">
        <v>472</v>
      </c>
      <c r="C53" s="7">
        <v>6</v>
      </c>
      <c r="D53" t="s">
        <v>459</v>
      </c>
      <c r="E53" t="s">
        <v>338</v>
      </c>
      <c r="F53" s="6">
        <v>43896</v>
      </c>
      <c r="G53" s="6" t="s">
        <v>339</v>
      </c>
      <c r="H53" s="6">
        <v>43903</v>
      </c>
    </row>
    <row r="54" spans="1:9" x14ac:dyDescent="0.25">
      <c r="B54" s="1" t="s">
        <v>18</v>
      </c>
      <c r="C54" t="s">
        <v>489</v>
      </c>
    </row>
    <row r="56" spans="1:9" ht="30" x14ac:dyDescent="0.25">
      <c r="C56" s="68" t="s">
        <v>26</v>
      </c>
      <c r="D56" s="68" t="s">
        <v>27</v>
      </c>
      <c r="E56" s="10" t="s">
        <v>460</v>
      </c>
      <c r="F56" s="10" t="s">
        <v>461</v>
      </c>
      <c r="G56" s="10" t="s">
        <v>462</v>
      </c>
      <c r="H56" s="10" t="s">
        <v>463</v>
      </c>
      <c r="I56" s="10" t="s">
        <v>30</v>
      </c>
    </row>
    <row r="57" spans="1:9" x14ac:dyDescent="0.25">
      <c r="C57" s="8">
        <v>1</v>
      </c>
      <c r="D57" s="67" t="s">
        <v>3</v>
      </c>
      <c r="E57" s="67">
        <v>0</v>
      </c>
      <c r="F57" s="67">
        <v>0</v>
      </c>
      <c r="G57" s="67">
        <v>0</v>
      </c>
      <c r="H57" s="67">
        <v>0</v>
      </c>
      <c r="I57" s="74" t="s">
        <v>21</v>
      </c>
    </row>
    <row r="58" spans="1:9" x14ac:dyDescent="0.25">
      <c r="C58" s="8">
        <v>2</v>
      </c>
      <c r="D58" s="67" t="s">
        <v>2</v>
      </c>
      <c r="E58" s="67">
        <v>1814.972</v>
      </c>
      <c r="F58" s="67">
        <v>1814.972</v>
      </c>
      <c r="G58" s="67">
        <v>13.961250000000003</v>
      </c>
      <c r="H58" s="67">
        <v>16.5</v>
      </c>
      <c r="I58" s="74">
        <v>1</v>
      </c>
    </row>
    <row r="60" spans="1:9" x14ac:dyDescent="0.25">
      <c r="C60" t="s">
        <v>465</v>
      </c>
    </row>
    <row r="61" spans="1:9" x14ac:dyDescent="0.25">
      <c r="D61" s="66" t="s">
        <v>486</v>
      </c>
    </row>
    <row r="62" spans="1:9" x14ac:dyDescent="0.25">
      <c r="D62" s="66" t="s">
        <v>487</v>
      </c>
    </row>
    <row r="64" spans="1:9" x14ac:dyDescent="0.25">
      <c r="A64" s="1">
        <v>2</v>
      </c>
      <c r="B64" s="1" t="s">
        <v>62</v>
      </c>
      <c r="C64" s="1" t="s">
        <v>206</v>
      </c>
    </row>
    <row r="65" spans="1:9" x14ac:dyDescent="0.25">
      <c r="B65" s="1" t="s">
        <v>458</v>
      </c>
      <c r="C65" s="64">
        <v>1.1000000000000001</v>
      </c>
      <c r="D65" t="s">
        <v>459</v>
      </c>
    </row>
    <row r="66" spans="1:9" x14ac:dyDescent="0.25">
      <c r="B66" s="1" t="s">
        <v>471</v>
      </c>
      <c r="C66" s="7">
        <v>1.1000000000000001</v>
      </c>
      <c r="D66" t="s">
        <v>459</v>
      </c>
      <c r="E66" t="s">
        <v>338</v>
      </c>
      <c r="F66" s="6">
        <v>43896</v>
      </c>
      <c r="G66" s="6" t="s">
        <v>466</v>
      </c>
      <c r="H66" s="6">
        <v>43899</v>
      </c>
    </row>
    <row r="67" spans="1:9" x14ac:dyDescent="0.25">
      <c r="B67" s="1" t="s">
        <v>472</v>
      </c>
      <c r="C67" s="7">
        <v>1</v>
      </c>
      <c r="D67" t="s">
        <v>459</v>
      </c>
      <c r="E67" t="s">
        <v>338</v>
      </c>
      <c r="F67" s="6">
        <v>43896</v>
      </c>
      <c r="G67" s="6" t="s">
        <v>466</v>
      </c>
      <c r="H67" s="6">
        <v>43899</v>
      </c>
    </row>
    <row r="68" spans="1:9" x14ac:dyDescent="0.25">
      <c r="B68" s="1" t="s">
        <v>18</v>
      </c>
      <c r="C68" t="s">
        <v>467</v>
      </c>
    </row>
    <row r="70" spans="1:9" ht="30" x14ac:dyDescent="0.25">
      <c r="C70" s="68" t="s">
        <v>26</v>
      </c>
      <c r="D70" s="68" t="s">
        <v>27</v>
      </c>
      <c r="E70" s="10" t="s">
        <v>460</v>
      </c>
      <c r="F70" s="10" t="s">
        <v>461</v>
      </c>
      <c r="G70" s="10" t="s">
        <v>462</v>
      </c>
      <c r="H70" s="10" t="s">
        <v>463</v>
      </c>
      <c r="I70" s="10" t="s">
        <v>30</v>
      </c>
    </row>
    <row r="71" spans="1:9" x14ac:dyDescent="0.25">
      <c r="C71" s="8">
        <v>1</v>
      </c>
      <c r="D71" s="67" t="s">
        <v>3</v>
      </c>
      <c r="E71" s="67">
        <v>0</v>
      </c>
      <c r="F71" s="67">
        <v>0</v>
      </c>
      <c r="G71" s="67">
        <v>0</v>
      </c>
      <c r="H71" s="67">
        <v>0</v>
      </c>
      <c r="I71" s="74" t="s">
        <v>21</v>
      </c>
    </row>
    <row r="72" spans="1:9" x14ac:dyDescent="0.25">
      <c r="C72" s="8">
        <v>2</v>
      </c>
      <c r="D72" s="67" t="s">
        <v>2</v>
      </c>
      <c r="E72" s="67">
        <v>143</v>
      </c>
      <c r="F72" s="67">
        <v>143</v>
      </c>
      <c r="G72" s="67">
        <v>1.1000000000000001</v>
      </c>
      <c r="H72" s="67">
        <v>1.5</v>
      </c>
      <c r="I72" s="74">
        <v>1</v>
      </c>
    </row>
    <row r="74" spans="1:9" x14ac:dyDescent="0.25">
      <c r="C74" t="s">
        <v>465</v>
      </c>
    </row>
    <row r="75" spans="1:9" x14ac:dyDescent="0.25">
      <c r="D75" s="66" t="s">
        <v>488</v>
      </c>
    </row>
    <row r="77" spans="1:9" x14ac:dyDescent="0.25">
      <c r="A77" s="1">
        <v>3</v>
      </c>
      <c r="B77" s="1" t="s">
        <v>62</v>
      </c>
      <c r="C77" s="1" t="s">
        <v>283</v>
      </c>
    </row>
    <row r="78" spans="1:9" x14ac:dyDescent="0.25">
      <c r="B78" s="1" t="s">
        <v>458</v>
      </c>
      <c r="C78" s="64">
        <v>12.55</v>
      </c>
      <c r="D78" t="s">
        <v>459</v>
      </c>
    </row>
    <row r="79" spans="1:9" x14ac:dyDescent="0.25">
      <c r="B79" s="1" t="s">
        <v>471</v>
      </c>
      <c r="C79">
        <v>3.375</v>
      </c>
      <c r="D79" t="s">
        <v>459</v>
      </c>
      <c r="E79" t="s">
        <v>340</v>
      </c>
      <c r="F79" s="6">
        <v>43906</v>
      </c>
      <c r="G79" s="6" t="s">
        <v>339</v>
      </c>
      <c r="H79" s="6">
        <v>43909</v>
      </c>
    </row>
    <row r="80" spans="1:9" x14ac:dyDescent="0.25">
      <c r="B80" s="1" t="s">
        <v>472</v>
      </c>
      <c r="C80">
        <v>3.375</v>
      </c>
      <c r="D80" t="s">
        <v>459</v>
      </c>
      <c r="E80" t="s">
        <v>338</v>
      </c>
      <c r="F80" s="6">
        <v>43907</v>
      </c>
      <c r="G80" s="6" t="s">
        <v>470</v>
      </c>
      <c r="H80" s="6">
        <v>43910</v>
      </c>
    </row>
    <row r="81" spans="1:9" x14ac:dyDescent="0.25">
      <c r="B81" s="1" t="s">
        <v>18</v>
      </c>
      <c r="C81" t="s">
        <v>489</v>
      </c>
    </row>
    <row r="83" spans="1:9" ht="30" x14ac:dyDescent="0.25">
      <c r="C83" s="68" t="s">
        <v>26</v>
      </c>
      <c r="D83" s="68" t="s">
        <v>27</v>
      </c>
      <c r="E83" s="10" t="s">
        <v>460</v>
      </c>
      <c r="F83" s="10" t="s">
        <v>461</v>
      </c>
      <c r="G83" s="10" t="s">
        <v>462</v>
      </c>
      <c r="H83" s="10" t="s">
        <v>463</v>
      </c>
      <c r="I83" s="10" t="s">
        <v>30</v>
      </c>
    </row>
    <row r="84" spans="1:9" x14ac:dyDescent="0.25">
      <c r="C84" s="8">
        <v>1</v>
      </c>
      <c r="D84" s="67" t="s">
        <v>3</v>
      </c>
      <c r="E84" s="67">
        <v>720</v>
      </c>
      <c r="F84" s="67">
        <v>720</v>
      </c>
      <c r="G84" s="67">
        <v>1.6</v>
      </c>
      <c r="H84" s="67">
        <v>1.5</v>
      </c>
      <c r="I84" s="74">
        <v>1</v>
      </c>
    </row>
    <row r="85" spans="1:9" x14ac:dyDescent="0.25">
      <c r="C85" s="8">
        <v>2</v>
      </c>
      <c r="D85" s="67" t="s">
        <v>2</v>
      </c>
      <c r="E85" s="67">
        <v>1423.5</v>
      </c>
      <c r="F85" s="67">
        <v>1423.5</v>
      </c>
      <c r="G85" s="67">
        <v>10.950000000000001</v>
      </c>
      <c r="H85" s="67">
        <v>12.024999999999999</v>
      </c>
      <c r="I85" s="74">
        <v>1</v>
      </c>
    </row>
    <row r="87" spans="1:9" x14ac:dyDescent="0.25">
      <c r="C87" t="s">
        <v>465</v>
      </c>
    </row>
    <row r="88" spans="1:9" x14ac:dyDescent="0.25">
      <c r="D88" s="66" t="s">
        <v>485</v>
      </c>
    </row>
    <row r="90" spans="1:9" x14ac:dyDescent="0.25">
      <c r="A90" s="1">
        <v>4</v>
      </c>
      <c r="B90" s="1" t="s">
        <v>62</v>
      </c>
      <c r="C90" s="1" t="s">
        <v>452</v>
      </c>
    </row>
    <row r="91" spans="1:9" x14ac:dyDescent="0.25">
      <c r="B91" s="1" t="s">
        <v>458</v>
      </c>
      <c r="C91" s="64">
        <v>25.096250000000001</v>
      </c>
      <c r="D91" t="s">
        <v>459</v>
      </c>
    </row>
    <row r="92" spans="1:9" x14ac:dyDescent="0.25">
      <c r="B92" s="1" t="s">
        <v>286</v>
      </c>
      <c r="C92">
        <v>7</v>
      </c>
      <c r="D92" t="s">
        <v>459</v>
      </c>
      <c r="E92" t="s">
        <v>338</v>
      </c>
      <c r="F92" s="6">
        <v>43910</v>
      </c>
      <c r="G92" s="6" t="s">
        <v>339</v>
      </c>
      <c r="H92" s="6">
        <v>43920</v>
      </c>
    </row>
    <row r="93" spans="1:9" x14ac:dyDescent="0.25">
      <c r="B93" s="1" t="s">
        <v>18</v>
      </c>
    </row>
    <row r="95" spans="1:9" ht="30" x14ac:dyDescent="0.25">
      <c r="C95" s="68" t="s">
        <v>26</v>
      </c>
      <c r="D95" s="68" t="s">
        <v>27</v>
      </c>
      <c r="E95" s="10" t="s">
        <v>460</v>
      </c>
      <c r="F95" s="10" t="s">
        <v>461</v>
      </c>
      <c r="G95" s="10" t="s">
        <v>462</v>
      </c>
      <c r="H95" s="10" t="s">
        <v>463</v>
      </c>
      <c r="I95" s="10" t="s">
        <v>30</v>
      </c>
    </row>
    <row r="96" spans="1:9" x14ac:dyDescent="0.25">
      <c r="C96" s="8">
        <v>1</v>
      </c>
      <c r="D96" s="67" t="s">
        <v>3</v>
      </c>
      <c r="E96" s="67">
        <v>0</v>
      </c>
      <c r="F96" s="67">
        <v>0</v>
      </c>
      <c r="G96" s="67">
        <v>0</v>
      </c>
      <c r="H96" s="67">
        <v>0</v>
      </c>
      <c r="I96" s="74" t="s">
        <v>21</v>
      </c>
    </row>
    <row r="97" spans="3:9" x14ac:dyDescent="0.25">
      <c r="C97" s="8">
        <v>2</v>
      </c>
      <c r="D97" s="67" t="s">
        <v>2</v>
      </c>
      <c r="E97" s="67">
        <v>3262.5299999999993</v>
      </c>
      <c r="F97" s="67">
        <v>52.488000000000284</v>
      </c>
      <c r="G97" s="67">
        <v>25.096250000000001</v>
      </c>
      <c r="H97" s="67">
        <v>1</v>
      </c>
      <c r="I97" s="74">
        <v>1.6088127925260549E-2</v>
      </c>
    </row>
    <row r="99" spans="3:9" x14ac:dyDescent="0.25">
      <c r="C99" t="s">
        <v>465</v>
      </c>
    </row>
  </sheetData>
  <customSheetViews>
    <customSheetView guid="{250915DF-0B97-45D7-B29D-7EED4C89C1C1}" scale="70">
      <selection activeCell="A31" sqref="A31"/>
      <pageMargins left="0.7" right="0.7" top="0.75" bottom="0.75" header="0.3" footer="0.3"/>
      <pageSetup orientation="portrait" r:id="rId1"/>
    </customSheetView>
    <customSheetView guid="{D33AC7AF-C8AB-4CE9-94C7-9237011A5FC3}" scale="70">
      <selection activeCell="A31" sqref="A31"/>
      <pageMargins left="0.7" right="0.7" top="0.75" bottom="0.75" header="0.3" footer="0.3"/>
      <pageSetup orientation="portrait" r:id="rId2"/>
    </customSheetView>
    <customSheetView guid="{336B6883-2145-4B58-921E-CEC7185A847E}" scale="70">
      <selection activeCell="A31" sqref="A31"/>
      <pageMargins left="0.7" right="0.7" top="0.75" bottom="0.75" header="0.3" footer="0.3"/>
      <pageSetup orientation="portrait" r:id="rId3"/>
    </customSheetView>
    <customSheetView guid="{A2C66332-A809-458E-971B-FDB6D62C74C3}" scale="70">
      <selection activeCell="A31" sqref="A31"/>
      <pageMargins left="0.7" right="0.7" top="0.75" bottom="0.75" header="0.3" footer="0.3"/>
      <pageSetup orientation="portrait" r:id="rId4"/>
    </customSheetView>
    <customSheetView guid="{7ECC2B8E-6A82-42F5-8AB0-4A51C54EA5EC}" scale="70">
      <selection activeCell="A31" sqref="A31"/>
      <pageMargins left="0.7" right="0.7" top="0.75" bottom="0.75" header="0.3" footer="0.3"/>
      <pageSetup orientation="portrait" r:id="rId5"/>
    </customSheetView>
    <customSheetView guid="{72A6EB0A-84D5-4B8A-AC51-54CCD061630B}" scale="70" topLeftCell="A88">
      <selection activeCell="G15" sqref="G15"/>
      <pageMargins left="0.7" right="0.7" top="0.75" bottom="0.75" header="0.3" footer="0.3"/>
      <pageSetup orientation="portrait" r:id="rId6"/>
    </customSheetView>
    <customSheetView guid="{3B3E6719-EACB-4D2C-89C1-05FFAB6020FD}" scale="70">
      <selection activeCell="A31" sqref="A31"/>
      <pageMargins left="0.7" right="0.7" top="0.75" bottom="0.75" header="0.3" footer="0.3"/>
      <pageSetup orientation="portrait" r:id="rId7"/>
    </customSheetView>
  </customSheetViews>
  <mergeCells count="6">
    <mergeCell ref="D26:G26"/>
    <mergeCell ref="D19:G19"/>
    <mergeCell ref="D20:G20"/>
    <mergeCell ref="D21:G21"/>
    <mergeCell ref="D22:G22"/>
    <mergeCell ref="D23:G23"/>
  </mergeCells>
  <conditionalFormatting sqref="H57">
    <cfRule type="cellIs" dxfId="17" priority="18" operator="greaterThan">
      <formula>G57</formula>
    </cfRule>
  </conditionalFormatting>
  <conditionalFormatting sqref="H58">
    <cfRule type="cellIs" dxfId="16" priority="17" operator="greaterThan">
      <formula>G58</formula>
    </cfRule>
  </conditionalFormatting>
  <conditionalFormatting sqref="H71">
    <cfRule type="cellIs" dxfId="15" priority="16" operator="greaterThan">
      <formula>G71</formula>
    </cfRule>
  </conditionalFormatting>
  <conditionalFormatting sqref="H72">
    <cfRule type="cellIs" dxfId="14" priority="15" operator="greaterThan">
      <formula>G72</formula>
    </cfRule>
  </conditionalFormatting>
  <conditionalFormatting sqref="H84">
    <cfRule type="cellIs" dxfId="13" priority="14" operator="greaterThan">
      <formula>G84</formula>
    </cfRule>
  </conditionalFormatting>
  <conditionalFormatting sqref="H85">
    <cfRule type="cellIs" dxfId="12" priority="13" operator="greaterThan">
      <formula>G85</formula>
    </cfRule>
  </conditionalFormatting>
  <conditionalFormatting sqref="H96">
    <cfRule type="cellIs" dxfId="11" priority="12" operator="greaterThan">
      <formula>G96</formula>
    </cfRule>
  </conditionalFormatting>
  <conditionalFormatting sqref="H97">
    <cfRule type="cellIs" dxfId="10" priority="11" operator="greaterThan">
      <formula>G97</formula>
    </cfRule>
  </conditionalFormatting>
  <conditionalFormatting sqref="H8:H9">
    <cfRule type="cellIs" dxfId="9" priority="9" operator="equal">
      <formula>1</formula>
    </cfRule>
    <cfRule type="cellIs" dxfId="8" priority="10" operator="lessThan">
      <formula>1</formula>
    </cfRule>
  </conditionalFormatting>
  <conditionalFormatting sqref="I57:I58">
    <cfRule type="cellIs" dxfId="7" priority="7" operator="equal">
      <formula>1</formula>
    </cfRule>
    <cfRule type="cellIs" dxfId="6" priority="8" operator="lessThan">
      <formula>1</formula>
    </cfRule>
  </conditionalFormatting>
  <conditionalFormatting sqref="I71:I72">
    <cfRule type="cellIs" dxfId="5" priority="5" operator="equal">
      <formula>1</formula>
    </cfRule>
    <cfRule type="cellIs" dxfId="4" priority="6" operator="lessThan">
      <formula>1</formula>
    </cfRule>
  </conditionalFormatting>
  <conditionalFormatting sqref="I84:I85">
    <cfRule type="cellIs" dxfId="3" priority="3" operator="equal">
      <formula>1</formula>
    </cfRule>
    <cfRule type="cellIs" dxfId="2" priority="4" operator="lessThan">
      <formula>1</formula>
    </cfRule>
  </conditionalFormatting>
  <conditionalFormatting sqref="I96:I97">
    <cfRule type="cellIs" dxfId="1" priority="1" operator="equal">
      <formula>1</formula>
    </cfRule>
    <cfRule type="cellIs" dxfId="0" priority="2" operator="lessThan">
      <formula>1</formula>
    </cfRule>
  </conditionalFormatting>
  <pageMargins left="0.7" right="0.7" top="0.75" bottom="0.75" header="0.3" footer="0.3"/>
  <pageSetup orientation="portrait" r:id="rId8"/>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H46"/>
  <sheetViews>
    <sheetView workbookViewId="0">
      <selection activeCell="A31" sqref="A31"/>
    </sheetView>
  </sheetViews>
  <sheetFormatPr defaultRowHeight="15" x14ac:dyDescent="0.25"/>
  <cols>
    <col min="1" max="1" width="10" bestFit="1" customWidth="1"/>
    <col min="2" max="2" width="13.28515625" customWidth="1"/>
    <col min="4" max="4" width="25" customWidth="1"/>
    <col min="8" max="8" width="19" customWidth="1"/>
  </cols>
  <sheetData>
    <row r="1" spans="1:8" x14ac:dyDescent="0.25">
      <c r="A1" s="1" t="s">
        <v>44</v>
      </c>
      <c r="B1" s="65">
        <v>43911</v>
      </c>
      <c r="D1" s="65">
        <v>43941</v>
      </c>
      <c r="F1" s="6"/>
    </row>
    <row r="2" spans="1:8" x14ac:dyDescent="0.25">
      <c r="A2" s="1" t="s">
        <v>31</v>
      </c>
      <c r="B2" s="7">
        <f>SUM(INT((WEEKDAY(B1-{2,3,4,5,6}) +D1-B1)/7))</f>
        <v>21</v>
      </c>
    </row>
    <row r="3" spans="1:8" x14ac:dyDescent="0.25">
      <c r="A3" s="1" t="s">
        <v>739</v>
      </c>
      <c r="B3" s="7">
        <v>0</v>
      </c>
    </row>
    <row r="4" spans="1:8" x14ac:dyDescent="0.25">
      <c r="A4" s="1" t="s">
        <v>286</v>
      </c>
      <c r="B4">
        <f ca="1">IF(TODAY()&lt;D1,SUM(INT((WEEKDAY(B1-{2,3,4,5,6})+TODAY()-B1)/7)),SUM(INT((WEEKDAY(B1-{2,3,4,5,6})+D1-B1)/7)))-B3</f>
        <v>20</v>
      </c>
    </row>
    <row r="5" spans="1:8" x14ac:dyDescent="0.25">
      <c r="A5" s="1"/>
    </row>
    <row r="6" spans="1:8" x14ac:dyDescent="0.25">
      <c r="B6" s="1" t="s">
        <v>35</v>
      </c>
    </row>
    <row r="7" spans="1:8" ht="45" x14ac:dyDescent="0.25">
      <c r="C7" s="86" t="s">
        <v>26</v>
      </c>
      <c r="D7" s="86" t="s">
        <v>27</v>
      </c>
      <c r="E7" s="86" t="s">
        <v>28</v>
      </c>
      <c r="F7" s="86" t="s">
        <v>29</v>
      </c>
      <c r="G7" s="10" t="s">
        <v>226</v>
      </c>
      <c r="H7" s="10" t="s">
        <v>30</v>
      </c>
    </row>
    <row r="8" spans="1:8" x14ac:dyDescent="0.25">
      <c r="C8" s="8">
        <v>1</v>
      </c>
      <c r="D8" s="88" t="s">
        <v>3</v>
      </c>
      <c r="E8" s="88"/>
      <c r="F8" s="88"/>
      <c r="G8" s="88"/>
      <c r="H8" s="74"/>
    </row>
    <row r="9" spans="1:8" x14ac:dyDescent="0.25">
      <c r="C9" s="8">
        <v>2</v>
      </c>
      <c r="D9" s="88" t="s">
        <v>2</v>
      </c>
      <c r="E9" s="88"/>
      <c r="F9" s="88"/>
      <c r="G9" s="88"/>
      <c r="H9" s="74"/>
    </row>
    <row r="10" spans="1:8" x14ac:dyDescent="0.25">
      <c r="C10" s="62"/>
      <c r="D10" s="43"/>
      <c r="E10" s="43"/>
      <c r="F10" s="43"/>
      <c r="G10" s="63"/>
    </row>
    <row r="11" spans="1:8" x14ac:dyDescent="0.25">
      <c r="B11" s="1" t="s">
        <v>36</v>
      </c>
    </row>
    <row r="12" spans="1:8" ht="30" x14ac:dyDescent="0.25">
      <c r="C12" s="86" t="s">
        <v>26</v>
      </c>
      <c r="D12" s="86" t="s">
        <v>32</v>
      </c>
      <c r="E12" s="10" t="s">
        <v>33</v>
      </c>
      <c r="F12" s="10" t="s">
        <v>34</v>
      </c>
      <c r="G12" s="10" t="s">
        <v>226</v>
      </c>
    </row>
    <row r="13" spans="1:8" x14ac:dyDescent="0.25">
      <c r="C13" s="41">
        <v>1</v>
      </c>
      <c r="D13" s="41" t="s">
        <v>312</v>
      </c>
      <c r="E13" s="88"/>
      <c r="F13" s="88"/>
      <c r="G13" s="88"/>
    </row>
    <row r="14" spans="1:8" x14ac:dyDescent="0.25">
      <c r="C14" s="41">
        <v>2</v>
      </c>
      <c r="D14" s="41" t="s">
        <v>313</v>
      </c>
      <c r="E14" s="88"/>
      <c r="F14" s="88"/>
      <c r="G14" s="88"/>
    </row>
    <row r="15" spans="1:8" x14ac:dyDescent="0.25">
      <c r="C15" s="41">
        <v>3</v>
      </c>
      <c r="D15" s="41" t="s">
        <v>314</v>
      </c>
      <c r="E15" s="88"/>
      <c r="F15" s="88"/>
      <c r="G15" s="88"/>
    </row>
    <row r="16" spans="1:8" x14ac:dyDescent="0.25">
      <c r="C16" s="41">
        <v>4</v>
      </c>
      <c r="D16" s="41" t="s">
        <v>315</v>
      </c>
      <c r="E16" s="88"/>
      <c r="F16" s="88"/>
      <c r="G16" s="88"/>
    </row>
    <row r="17" spans="2:7" x14ac:dyDescent="0.25">
      <c r="C17" s="42"/>
      <c r="D17" s="42"/>
      <c r="E17" s="43"/>
      <c r="F17" s="43"/>
    </row>
    <row r="18" spans="2:7" x14ac:dyDescent="0.25">
      <c r="B18" s="1" t="s">
        <v>37</v>
      </c>
    </row>
    <row r="19" spans="2:7" x14ac:dyDescent="0.25">
      <c r="C19" s="86" t="s">
        <v>26</v>
      </c>
      <c r="D19" s="89" t="s">
        <v>38</v>
      </c>
      <c r="E19" s="90"/>
      <c r="F19" s="90"/>
      <c r="G19" s="91"/>
    </row>
    <row r="20" spans="2:7" x14ac:dyDescent="0.25">
      <c r="C20" s="41">
        <v>1</v>
      </c>
      <c r="D20" s="87" t="s">
        <v>67</v>
      </c>
      <c r="E20" s="88"/>
      <c r="F20" s="88"/>
      <c r="G20" s="88"/>
    </row>
    <row r="21" spans="2:7" x14ac:dyDescent="0.25">
      <c r="C21" s="41">
        <v>2</v>
      </c>
      <c r="D21" s="88" t="s">
        <v>67</v>
      </c>
      <c r="E21" s="88"/>
      <c r="F21" s="88"/>
      <c r="G21" s="88"/>
    </row>
    <row r="22" spans="2:7" x14ac:dyDescent="0.25">
      <c r="C22" s="41">
        <v>3</v>
      </c>
      <c r="D22" s="88" t="s">
        <v>67</v>
      </c>
      <c r="E22" s="88"/>
      <c r="F22" s="88"/>
      <c r="G22" s="88"/>
    </row>
    <row r="23" spans="2:7" x14ac:dyDescent="0.25">
      <c r="C23" s="41">
        <v>4</v>
      </c>
      <c r="D23" s="88" t="s">
        <v>67</v>
      </c>
      <c r="E23" s="88"/>
      <c r="F23" s="88"/>
      <c r="G23" s="88"/>
    </row>
    <row r="25" spans="2:7" x14ac:dyDescent="0.25">
      <c r="B25" s="1" t="s">
        <v>39</v>
      </c>
    </row>
    <row r="26" spans="2:7" x14ac:dyDescent="0.25">
      <c r="C26" s="86" t="s">
        <v>26</v>
      </c>
      <c r="D26" s="89" t="s">
        <v>41</v>
      </c>
      <c r="E26" s="90"/>
      <c r="F26" s="90"/>
      <c r="G26" s="91"/>
    </row>
    <row r="27" spans="2:7" x14ac:dyDescent="0.25">
      <c r="C27" s="41">
        <v>1</v>
      </c>
      <c r="D27" s="70" t="s">
        <v>67</v>
      </c>
      <c r="E27" s="71"/>
      <c r="F27" s="71"/>
      <c r="G27" s="72"/>
    </row>
    <row r="28" spans="2:7" x14ac:dyDescent="0.25">
      <c r="C28" s="41">
        <v>2</v>
      </c>
      <c r="D28" s="70" t="s">
        <v>67</v>
      </c>
      <c r="E28" s="71"/>
      <c r="F28" s="71"/>
      <c r="G28" s="72"/>
    </row>
    <row r="29" spans="2:7" x14ac:dyDescent="0.25">
      <c r="C29" s="41">
        <v>3</v>
      </c>
      <c r="D29" s="70" t="s">
        <v>67</v>
      </c>
      <c r="E29" s="71"/>
      <c r="F29" s="71"/>
      <c r="G29" s="72"/>
    </row>
    <row r="30" spans="2:7" x14ac:dyDescent="0.25">
      <c r="C30" s="41">
        <v>4</v>
      </c>
      <c r="D30" s="70" t="s">
        <v>67</v>
      </c>
      <c r="E30" s="71"/>
      <c r="F30" s="71"/>
      <c r="G30" s="72"/>
    </row>
    <row r="32" spans="2:7" x14ac:dyDescent="0.25">
      <c r="B32" s="1" t="s">
        <v>40</v>
      </c>
    </row>
    <row r="33" spans="2:6" ht="30" x14ac:dyDescent="0.25">
      <c r="C33" s="86" t="s">
        <v>26</v>
      </c>
      <c r="D33" s="86" t="s">
        <v>32</v>
      </c>
      <c r="E33" s="10" t="s">
        <v>42</v>
      </c>
      <c r="F33" s="10" t="s">
        <v>43</v>
      </c>
    </row>
    <row r="34" spans="2:6" x14ac:dyDescent="0.25">
      <c r="C34" s="41">
        <v>1</v>
      </c>
      <c r="D34" s="41" t="s">
        <v>312</v>
      </c>
      <c r="E34" s="87" t="s">
        <v>67</v>
      </c>
      <c r="F34" s="87" t="s">
        <v>67</v>
      </c>
    </row>
    <row r="35" spans="2:6" x14ac:dyDescent="0.25">
      <c r="C35" s="41">
        <v>2</v>
      </c>
      <c r="D35" s="41" t="s">
        <v>313</v>
      </c>
      <c r="E35" s="87" t="s">
        <v>67</v>
      </c>
      <c r="F35" s="87" t="s">
        <v>67</v>
      </c>
    </row>
    <row r="36" spans="2:6" x14ac:dyDescent="0.25">
      <c r="C36" s="41">
        <v>3</v>
      </c>
      <c r="D36" s="41" t="s">
        <v>314</v>
      </c>
      <c r="E36" s="87" t="s">
        <v>67</v>
      </c>
      <c r="F36" s="87" t="s">
        <v>67</v>
      </c>
    </row>
    <row r="37" spans="2:6" x14ac:dyDescent="0.25">
      <c r="C37" s="41">
        <v>4</v>
      </c>
      <c r="D37" s="41" t="s">
        <v>315</v>
      </c>
      <c r="E37" s="87" t="s">
        <v>67</v>
      </c>
      <c r="F37" s="87" t="s">
        <v>67</v>
      </c>
    </row>
    <row r="38" spans="2:6" x14ac:dyDescent="0.25">
      <c r="C38" s="42"/>
      <c r="D38" s="42"/>
      <c r="E38" s="43"/>
      <c r="F38" s="42"/>
    </row>
    <row r="40" spans="2:6" x14ac:dyDescent="0.25">
      <c r="B40" s="1" t="s">
        <v>45</v>
      </c>
    </row>
    <row r="41" spans="2:6" x14ac:dyDescent="0.25">
      <c r="C41" s="1" t="s">
        <v>47</v>
      </c>
    </row>
    <row r="42" spans="2:6" x14ac:dyDescent="0.25">
      <c r="D42" t="s">
        <v>46</v>
      </c>
    </row>
    <row r="43" spans="2:6" x14ac:dyDescent="0.25">
      <c r="D43" t="s">
        <v>214</v>
      </c>
    </row>
    <row r="44" spans="2:6" x14ac:dyDescent="0.25">
      <c r="C44" s="1" t="s">
        <v>48</v>
      </c>
    </row>
    <row r="45" spans="2:6" x14ac:dyDescent="0.25">
      <c r="D45" t="s">
        <v>49</v>
      </c>
    </row>
    <row r="46" spans="2:6" x14ac:dyDescent="0.25">
      <c r="D46" t="s">
        <v>50</v>
      </c>
    </row>
  </sheetData>
  <customSheetViews>
    <customSheetView guid="{250915DF-0B97-45D7-B29D-7EED4C89C1C1}">
      <selection activeCell="A31" sqref="A31"/>
      <pageMargins left="0.7" right="0.7" top="0.75" bottom="0.75" header="0.3" footer="0.3"/>
      <pageSetup orientation="portrait" horizontalDpi="300" verticalDpi="0" r:id="rId1"/>
    </customSheetView>
    <customSheetView guid="{D33AC7AF-C8AB-4CE9-94C7-9237011A5FC3}">
      <selection activeCell="A31" sqref="A31"/>
      <pageMargins left="0.7" right="0.7" top="0.75" bottom="0.75" header="0.3" footer="0.3"/>
      <pageSetup orientation="portrait" horizontalDpi="300" verticalDpi="0" r:id="rId2"/>
    </customSheetView>
    <customSheetView guid="{336B6883-2145-4B58-921E-CEC7185A847E}">
      <selection activeCell="A31" sqref="A31"/>
      <pageMargins left="0.7" right="0.7" top="0.75" bottom="0.75" header="0.3" footer="0.3"/>
      <pageSetup orientation="portrait" horizontalDpi="300" verticalDpi="0" r:id="rId3"/>
    </customSheetView>
    <customSheetView guid="{A2C66332-A809-458E-971B-FDB6D62C74C3}">
      <selection activeCell="A31" sqref="A31"/>
      <pageMargins left="0.7" right="0.7" top="0.75" bottom="0.75" header="0.3" footer="0.3"/>
      <pageSetup orientation="portrait" horizontalDpi="300" verticalDpi="0" r:id="rId4"/>
    </customSheetView>
    <customSheetView guid="{7ECC2B8E-6A82-42F5-8AB0-4A51C54EA5EC}">
      <selection activeCell="A31" sqref="A31"/>
      <pageMargins left="0.7" right="0.7" top="0.75" bottom="0.75" header="0.3" footer="0.3"/>
      <pageSetup orientation="portrait" horizontalDpi="300" verticalDpi="0" r:id="rId5"/>
    </customSheetView>
    <customSheetView guid="{72A6EB0A-84D5-4B8A-AC51-54CCD061630B}">
      <selection activeCell="E27" sqref="E27"/>
      <pageMargins left="0.7" right="0.7" top="0.75" bottom="0.75" header="0.3" footer="0.3"/>
      <pageSetup orientation="portrait" horizontalDpi="300" verticalDpi="0" r:id="rId6"/>
    </customSheetView>
    <customSheetView guid="{3B3E6719-EACB-4D2C-89C1-05FFAB6020FD}">
      <selection activeCell="A31" sqref="A31"/>
      <pageMargins left="0.7" right="0.7" top="0.75" bottom="0.75" header="0.3" footer="0.3"/>
      <pageSetup orientation="portrait" horizontalDpi="300" verticalDpi="0" r:id="rId7"/>
    </customSheetView>
  </customSheetViews>
  <pageMargins left="0.7" right="0.7" top="0.75" bottom="0.75" header="0.3" footer="0.3"/>
  <pageSetup orientation="portrait" horizontalDpi="300" verticalDpi="0" r:id="rId8"/>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COEM_Data_20200414</vt:lpstr>
      <vt:lpstr>Merged</vt:lpstr>
      <vt:lpstr>|-&gt;</vt:lpstr>
      <vt:lpstr>Report_For_Each_Project</vt:lpstr>
      <vt:lpstr>Report_For_Each_Project_COEM</vt:lpstr>
      <vt:lpstr>Template_Total_Report</vt:lpstr>
      <vt:lpstr>Table</vt:lpstr>
      <vt:lpstr>Check_List</vt:lpstr>
      <vt:lpstr>|--&gt;</vt:lpstr>
      <vt:lpstr>Not_Fill_Data_20200321_20200420</vt:lpstr>
      <vt:lpstr>Not_Fill_Data_20200305_20200320</vt:lpstr>
      <vt:lpstr>|---&gt;</vt:lpstr>
      <vt:lpstr>Monthly_20200320</vt:lpstr>
      <vt:lpstr>Monthly_20200420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EXTERNAL Nguyen Trung Hieu (Ban Vien, RBVH/EPS45)</dc:creator>
  <cp:lastModifiedBy>EXTERNAL Nguyen Trung Hieu (Ban Vien, RBVH/EPS45)</cp:lastModifiedBy>
  <dcterms:created xsi:type="dcterms:W3CDTF">2006-09-16T00:00:00Z</dcterms:created>
  <dcterms:modified xsi:type="dcterms:W3CDTF">2020-04-17T15:06:25Z</dcterms:modified>
</cp:coreProperties>
</file>