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240" yWindow="105" windowWidth="14805" windowHeight="6540" firstSheet="3" activeTab="9"/>
  </bookViews>
  <sheets>
    <sheet name="Merged" sheetId="1" r:id="rId1"/>
    <sheet name="|-&gt;" sheetId="2" r:id="rId2"/>
    <sheet name="Report_For_Each_Project" sheetId="3" r:id="rId3"/>
    <sheet name="Template_Weekly_Report" sheetId="4" r:id="rId4"/>
    <sheet name="Template_Total_Report" sheetId="14" r:id="rId5"/>
    <sheet name="Table" sheetId="5" r:id="rId6"/>
    <sheet name="Check_List" sheetId="6" r:id="rId7"/>
    <sheet name="|--&gt;" sheetId="7" r:id="rId8"/>
    <sheet name="Data_20200321_20200420" sheetId="8" r:id="rId9"/>
    <sheet name="Data_20200305_20200320" sheetId="9" r:id="rId10"/>
    <sheet name="|---&gt;" sheetId="10" r:id="rId11"/>
    <sheet name="Monthly_20200320" sheetId="11" r:id="rId12"/>
    <sheet name="Monthly_20200420" sheetId="12" r:id="rId13"/>
  </sheets>
  <definedNames>
    <definedName name="_xlnm._FilterDatabase" localSheetId="9" hidden="1">Data_20200305_20200320!$B$37:$AK$106</definedName>
    <definedName name="_xlnm._FilterDatabase" localSheetId="8" hidden="1">Data_20200321_20200420!$B$43:$AK$169</definedName>
    <definedName name="_xlnm._FilterDatabase" localSheetId="0" hidden="1">Merged!$B$44:$AK$239</definedName>
    <definedName name="Z_0AF6B554_4F79_41B5_8703_A044EFBFC2D9_.wvu.FilterData" localSheetId="9" hidden="1">Data_20200305_20200320!$P$37:$P$106</definedName>
    <definedName name="Z_0C90D550_B6B4_4D0D_AC5F_CBB72A0D4DD0_.wvu.FilterData" localSheetId="9" hidden="1">Data_20200305_20200320!$B$37:$AJ$106</definedName>
    <definedName name="Z_1150E7E1_2C1D_4CE6_B5D6_3D69E85D1AD5_.wvu.FilterData" localSheetId="9" hidden="1">Data_20200305_20200320!$P$37:$P$106</definedName>
    <definedName name="Z_1168C744_4AB4_4E85_8A9A_9BBC73EE9AF5_.wvu.FilterData" localSheetId="9" hidden="1">Data_20200305_20200320!$P$37:$P$106</definedName>
    <definedName name="Z_116C406F_56EF_4929_AB69_7B88A04CBA56_.wvu.FilterData" localSheetId="0" hidden="1">Merged!$B$44:$AK$230</definedName>
    <definedName name="Z_17568297_DE94_42DB_A62D_8B9302C2B85A_.wvu.FilterData" localSheetId="9" hidden="1">Data_20200305_20200320!$B$37:$AI$106</definedName>
    <definedName name="Z_1E15BB3C_7168_4B10_A515_9444B5717103_.wvu.FilterData" localSheetId="9" hidden="1">Data_20200305_20200320!$P$37:$P$106</definedName>
    <definedName name="Z_250915DF_0B97_45D7_B29D_7EED4C89C1C1_.wvu.FilterData" localSheetId="9" hidden="1">Data_20200305_20200320!$B$37:$AK$106</definedName>
    <definedName name="Z_250915DF_0B97_45D7_B29D_7EED4C89C1C1_.wvu.FilterData" localSheetId="8" hidden="1">Data_20200321_20200420!$B$43:$AK$169</definedName>
    <definedName name="Z_250915DF_0B97_45D7_B29D_7EED4C89C1C1_.wvu.FilterData" localSheetId="0" hidden="1">Merged!$B$44:$AK$239</definedName>
    <definedName name="Z_2796A872_74B9_41A6_AD05_2D7FFBF27D76_.wvu.FilterData" localSheetId="9" hidden="1">Data_20200305_20200320!$B$37:$AI$106</definedName>
    <definedName name="Z_2A07EE45_985F_4D9C_B2F2_70762EEED00D_.wvu.FilterData" localSheetId="9" hidden="1">Data_20200305_20200320!$P$37:$P$106</definedName>
    <definedName name="Z_336B6883_2145_4B58_921E_CEC7185A847E_.wvu.Cols" localSheetId="9" hidden="1">Data_20200305_20200320!$M:$N</definedName>
    <definedName name="Z_336B6883_2145_4B58_921E_CEC7185A847E_.wvu.FilterData" localSheetId="9" hidden="1">Data_20200305_20200320!$B$37:$AK$106</definedName>
    <definedName name="Z_336B6883_2145_4B58_921E_CEC7185A847E_.wvu.FilterData" localSheetId="8" hidden="1">Data_20200321_20200420!$P$43:$P$214</definedName>
    <definedName name="Z_336B6883_2145_4B58_921E_CEC7185A847E_.wvu.FilterData" localSheetId="0" hidden="1">Merged!$P$44:$P$266</definedName>
    <definedName name="Z_35B0B6AE_086F_4F08_9CA9_A72BF8F13B9D_.wvu.FilterData" localSheetId="9" hidden="1">Data_20200305_20200320!$B$37:$AJ$106</definedName>
    <definedName name="Z_383BF8A1_6C72_4EB7_9FAB_340FA4A1558F_.wvu.FilterData" localSheetId="9" hidden="1">Data_20200305_20200320!$P$37:$P$106</definedName>
    <definedName name="Z_3EA9D389_9FD3_424D_80EB_7EB98E7E73C7_.wvu.FilterData" localSheetId="9" hidden="1">Data_20200305_20200320!$B$37:$AJ$106</definedName>
    <definedName name="Z_3EE173E3_F30C_4123_BA68_472D213EF7CF_.wvu.FilterData" localSheetId="9" hidden="1">Data_20200305_20200320!$B$37:$AJ$106</definedName>
    <definedName name="Z_4D29A6CE_5922_48BC_BF46_90CE442EBF48_.wvu.FilterData" localSheetId="9" hidden="1">Data_20200305_20200320!$B$37:$AJ$106</definedName>
    <definedName name="Z_4E06BDBF_2CED_473B_850B_2A6C7311FF41_.wvu.Cols" localSheetId="9" hidden="1">Data_20200305_20200320!$M:$N</definedName>
    <definedName name="Z_4E06BDBF_2CED_473B_850B_2A6C7311FF41_.wvu.FilterData" localSheetId="9" hidden="1">Data_20200305_20200320!$Q$37:$Q$106</definedName>
    <definedName name="Z_584FB3CE_102E_4394_9BBE_155B20E57E5A_.wvu.FilterData" localSheetId="0" hidden="1">Merged!$B$44:$AK$239</definedName>
    <definedName name="Z_594856DB_1796_41BA_9D27_B22FF73A30E5_.wvu.FilterData" localSheetId="9" hidden="1">Data_20200305_20200320!$B$37:$AJ$106</definedName>
    <definedName name="Z_60D2C030_4E31_4E07_8E1C_44D2EE84B177_.wvu.Cols" localSheetId="9" hidden="1">Data_20200305_20200320!$M:$N</definedName>
    <definedName name="Z_60D2C030_4E31_4E07_8E1C_44D2EE84B177_.wvu.FilterData" localSheetId="9" hidden="1">Data_20200305_20200320!$B$37:$AI$106</definedName>
    <definedName name="Z_67C79A7D_F472_449C_9D1C_B7DCF65495C7_.wvu.FilterData" localSheetId="9" hidden="1">Data_20200305_20200320!$P$37:$P$106</definedName>
    <definedName name="Z_69246D09_D21B_4AF4_99AA_028EEB2BF6C6_.wvu.FilterData" localSheetId="9" hidden="1">Data_20200305_20200320!$B$37:$AJ$37</definedName>
    <definedName name="Z_70A317F3_C66F_4792_8B73_8C65CF69E316_.wvu.FilterData" localSheetId="9" hidden="1">Data_20200305_20200320!$B$37:$AJ$106</definedName>
    <definedName name="Z_72A6EB0A_84D5_4B8A_AC51_54CCD061630B_.wvu.Cols" localSheetId="9" hidden="1">Data_20200305_20200320!$M:$N</definedName>
    <definedName name="Z_72A6EB0A_84D5_4B8A_AC51_54CCD061630B_.wvu.FilterData" localSheetId="9" hidden="1">Data_20200305_20200320!$B$37:$AJ$106</definedName>
    <definedName name="Z_737B379B_6C1E_44B7_8265_30C1FE0980AB_.wvu.FilterData" localSheetId="9" hidden="1">Data_20200305_20200320!$P$37:$P$106</definedName>
    <definedName name="Z_740DC6B1_F8A3_42A4_9DBA_B7F4B4302024_.wvu.FilterData" localSheetId="9" hidden="1">Data_20200305_20200320!$B$37:$AI$37</definedName>
    <definedName name="Z_75EBBE3D_6BBB_4DA6_9D69_395330ADF817_.wvu.FilterData" localSheetId="9" hidden="1">Data_20200305_20200320!$B$37:$AJ$106</definedName>
    <definedName name="Z_7E0EA425_A420_4443_B9E0_CDF0AA9E5D09_.wvu.Cols" localSheetId="9" hidden="1">Data_20200305_20200320!$M:$N</definedName>
    <definedName name="Z_7E0EA425_A420_4443_B9E0_CDF0AA9E5D09_.wvu.FilterData" localSheetId="9" hidden="1">Data_20200305_20200320!$Q$37:$Q$106</definedName>
    <definedName name="Z_7ECC2B8E_6A82_42F5_8AB0_4A51C54EA5EC_.wvu.FilterData" localSheetId="9" hidden="1">Data_20200305_20200320!$P$37:$P$106</definedName>
    <definedName name="Z_7ECC2B8E_6A82_42F5_8AB0_4A51C54EA5EC_.wvu.FilterData" localSheetId="8" hidden="1">Data_20200321_20200420!$P$43:$P$214</definedName>
    <definedName name="Z_7ECC2B8E_6A82_42F5_8AB0_4A51C54EA5EC_.wvu.FilterData" localSheetId="0" hidden="1">Merged!$B$44:$AK$239</definedName>
    <definedName name="Z_839DFCBD_B2E4_4623_A615_58494692EC74_.wvu.FilterData" localSheetId="9" hidden="1">Data_20200305_20200320!$Q$37:$Q$106</definedName>
    <definedName name="Z_9BBC5FBB_CEC7_4B7E_8FC1_DC9F240B7B1A_.wvu.FilterData" localSheetId="9" hidden="1">Data_20200305_20200320!$B$37:$AI$106</definedName>
    <definedName name="Z_9BE24FAD_3F95_4380_A044_DEA13E215CBD_.wvu.FilterData" localSheetId="9" hidden="1">Data_20200305_20200320!$P$37:$P$106</definedName>
    <definedName name="Z_9ED4B296_E9A0_43D8_A56B_F4D7CC736352_.wvu.FilterData" localSheetId="9" hidden="1">Data_20200305_20200320!$B$37:$AI$37</definedName>
    <definedName name="Z_A239C479_B2DC_4DCA_A930_634A835634B0_.wvu.FilterData" localSheetId="9" hidden="1">Data_20200305_20200320!$B$37:$AI$106</definedName>
    <definedName name="Z_A2C66332_A809_458E_971B_FDB6D62C74C3_.wvu.FilterData" localSheetId="9" hidden="1">Data_20200305_20200320!$B$37:$AN$106</definedName>
    <definedName name="Z_A51EBE84_CBC8_46F9_AE0C_B070690415D4_.wvu.FilterData" localSheetId="9" hidden="1">Data_20200305_20200320!$Q$37:$Q$106</definedName>
    <definedName name="Z_A660862E_E137_45E6_9126_F71C85FD8B0C_.wvu.FilterData" localSheetId="0" hidden="1">Merged!$B$44:$AK$239</definedName>
    <definedName name="Z_BBAE6BD0_8958_494E_83AF_3471AF879750_.wvu.FilterData" localSheetId="9" hidden="1">Data_20200305_20200320!$B$37:$AI$106</definedName>
    <definedName name="Z_BC540321_E8DB_4542_BCB2_E7256206718C_.wvu.FilterData" localSheetId="9" hidden="1">Data_20200305_20200320!$P$37:$P$106</definedName>
    <definedName name="Z_D5F9A537_3EF6_4FA9_94D8_ABB431F3ED7F_.wvu.FilterData" localSheetId="9" hidden="1">Data_20200305_20200320!$Q$37:$Q$106</definedName>
    <definedName name="Z_E5223EEB_1CC4_41F4_8F6A_1BF12F1A8814_.wvu.FilterData" localSheetId="9" hidden="1">Data_20200305_20200320!$B$37:$AJ$37</definedName>
    <definedName name="Z_E8991E61_6D05_4C3B_B928_FD787FF86F58_.wvu.FilterData" localSheetId="9" hidden="1">Data_20200305_20200320!$Q$37:$Q$106</definedName>
    <definedName name="Z_F1CFDE0E_BA5F_49F4_A18C_858CC505F541_.wvu.FilterData" localSheetId="9" hidden="1">Data_20200305_20200320!$P$37:$P$106</definedName>
    <definedName name="Z_F7FEA3D1_12D3_472F_AD10_9C075C650610_.wvu.FilterData" localSheetId="9" hidden="1">Data_20200305_20200320!$P$37:$P$106</definedName>
  </definedNames>
  <calcPr calcId="162913"/>
  <customWorkbookViews>
    <customWorkbookView name="EXTERNAL Nguyen Trung Hieu (Ban Vien, RBVH/EPS45) - Personal View" guid="{250915DF-0B97-45D7-B29D-7EED4C89C1C1}" mergeInterval="0" personalView="1" maximized="1" xWindow="-8" yWindow="-8" windowWidth="1936" windowHeight="1176" activeSheetId="4"/>
    <customWorkbookView name="EXTERNAL Nguyen Duy Bang (Ban Vien, RBVH/EPS45) - Personal View" guid="{A2C66332-A809-458E-971B-FDB6D62C74C3}" mergeInterval="0" personalView="1" maximized="1" xWindow="-8" yWindow="-8" windowWidth="1936" windowHeight="1176" activeSheetId="9"/>
    <customWorkbookView name="EXTERNAL Nguyen Kim Thanh (Ban Vien, RBVH/EPS45) - Personal View" guid="{4E06BDBF-2CED-473B-850B-2A6C7311FF41}" mergeInterval="0" personalView="1" maximized="1" xWindow="-8" yWindow="-8" windowWidth="1936" windowHeight="1176" activeSheetId="9"/>
    <customWorkbookView name="EXTERNAL Do Phu Loc (Ban Vien, RBVH/EPS45) - Personal View" guid="{72A6EB0A-84D5-4B8A-AC51-54CCD061630B}" mergeInterval="0" personalView="1" maximized="1" xWindow="-8" yWindow="-8" windowWidth="1936" windowHeight="1176" tabRatio="428" activeSheetId="9"/>
    <customWorkbookView name="EXTERNAL Nguyen Tuan Duong (Ban Vien, RBVH/EPS45) - Personal View" guid="{7E0EA425-A420-4443-B9E0-CDF0AA9E5D09}" mergeInterval="0" personalView="1" maximized="1" xWindow="-8" yWindow="-8" windowWidth="1936" windowHeight="1176" activeSheetId="9"/>
    <customWorkbookView name="EXTERNAL Ly Chung (Ban Vien, RBVH/EPS45) - Personal View" guid="{60D2C030-4E31-4E07-8E1C-44D2EE84B177}" mergeInterval="0" personalView="1" maximized="1" xWindow="-8" yWindow="-8" windowWidth="1936" windowHeight="1186" tabRatio="428" activeSheetId="9"/>
    <customWorkbookView name="EXTERNAL Nguyen Tai Hau (Ban Vien, RBVH/EPS45) - Personal View" guid="{7ECC2B8E-6A82-42F5-8AB0-4A51C54EA5EC}"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1"/>
  </customWorkbookViews>
</workbook>
</file>

<file path=xl/calcChain.xml><?xml version="1.0" encoding="utf-8"?>
<calcChain xmlns="http://schemas.openxmlformats.org/spreadsheetml/2006/main">
  <c r="H146" i="3" l="1"/>
  <c r="H133" i="3"/>
  <c r="H120" i="3"/>
  <c r="H119" i="3"/>
  <c r="H103" i="3"/>
  <c r="H91" i="3"/>
  <c r="H90" i="3"/>
  <c r="W169" i="8"/>
  <c r="T169" i="8"/>
  <c r="U169" i="8" s="1"/>
  <c r="W168" i="8"/>
  <c r="T168" i="8"/>
  <c r="U168" i="8" s="1"/>
  <c r="T167" i="8"/>
  <c r="U167" i="8" s="1"/>
  <c r="T166" i="8"/>
  <c r="U166" i="8" s="1"/>
  <c r="T165" i="8"/>
  <c r="U165" i="8" s="1"/>
  <c r="T164" i="8"/>
  <c r="U164" i="8" s="1"/>
  <c r="T163" i="8"/>
  <c r="U163" i="8" s="1"/>
  <c r="W162" i="8"/>
  <c r="T162" i="8"/>
  <c r="U162" i="8" s="1"/>
  <c r="T161" i="8"/>
  <c r="U161" i="8" s="1"/>
  <c r="T160" i="8"/>
  <c r="U160" i="8" s="1"/>
  <c r="T159" i="8"/>
  <c r="U159" i="8" s="1"/>
  <c r="T158" i="8"/>
  <c r="U158" i="8" s="1"/>
  <c r="T157" i="8"/>
  <c r="U157" i="8" s="1"/>
  <c r="T156" i="8"/>
  <c r="U156" i="8" s="1"/>
  <c r="T155" i="8"/>
  <c r="U155" i="8" s="1"/>
  <c r="T154" i="8"/>
  <c r="U154" i="8" s="1"/>
  <c r="T153" i="8"/>
  <c r="U153" i="8" s="1"/>
  <c r="T152" i="8"/>
  <c r="U152" i="8" s="1"/>
  <c r="T151" i="8"/>
  <c r="U151" i="8" s="1"/>
  <c r="T150" i="8"/>
  <c r="U150" i="8" s="1"/>
  <c r="T149" i="8"/>
  <c r="U149" i="8" s="1"/>
  <c r="T148" i="8"/>
  <c r="U148" i="8" s="1"/>
  <c r="T147" i="8"/>
  <c r="U147" i="8" s="1"/>
  <c r="T146" i="8"/>
  <c r="U146" i="8" s="1"/>
  <c r="T145" i="8"/>
  <c r="U145" i="8" s="1"/>
  <c r="T144" i="8"/>
  <c r="U144" i="8" s="1"/>
  <c r="T143" i="8"/>
  <c r="U143" i="8" s="1"/>
  <c r="T142" i="8"/>
  <c r="U142" i="8" s="1"/>
  <c r="W141" i="8"/>
  <c r="T141" i="8"/>
  <c r="U141" i="8" s="1"/>
  <c r="W140" i="8"/>
  <c r="T140" i="8"/>
  <c r="U140" i="8" s="1"/>
  <c r="T139" i="8"/>
  <c r="U139" i="8" s="1"/>
  <c r="T138" i="8"/>
  <c r="U138" i="8" s="1"/>
  <c r="T137" i="8"/>
  <c r="U137" i="8" s="1"/>
  <c r="T136" i="8"/>
  <c r="U136" i="8" s="1"/>
  <c r="T135" i="8"/>
  <c r="U135" i="8" s="1"/>
  <c r="T134" i="8"/>
  <c r="U134" i="8" s="1"/>
  <c r="T133" i="8"/>
  <c r="U133" i="8" s="1"/>
  <c r="T132" i="8"/>
  <c r="U132" i="8" s="1"/>
  <c r="T131" i="8"/>
  <c r="U131" i="8" s="1"/>
  <c r="T130" i="8"/>
  <c r="U130" i="8" s="1"/>
  <c r="W129" i="8"/>
  <c r="T129" i="8"/>
  <c r="U129" i="8" s="1"/>
  <c r="T128" i="8"/>
  <c r="U128" i="8" s="1"/>
  <c r="T127" i="8"/>
  <c r="U127" i="8" s="1"/>
  <c r="T126" i="8"/>
  <c r="U126" i="8" s="1"/>
  <c r="T125" i="8"/>
  <c r="U125" i="8" s="1"/>
  <c r="T124" i="8"/>
  <c r="U124" i="8" s="1"/>
  <c r="T123" i="8"/>
  <c r="U123" i="8" s="1"/>
  <c r="T122" i="8"/>
  <c r="U122" i="8" s="1"/>
  <c r="T121" i="8"/>
  <c r="U121" i="8" s="1"/>
  <c r="T120" i="8"/>
  <c r="U120" i="8" s="1"/>
  <c r="T119" i="8"/>
  <c r="U119" i="8" s="1"/>
  <c r="T118" i="8"/>
  <c r="U118" i="8" s="1"/>
  <c r="T117" i="8"/>
  <c r="U117" i="8" s="1"/>
  <c r="T116" i="8"/>
  <c r="U116" i="8" s="1"/>
  <c r="T115" i="8"/>
  <c r="U115" i="8" s="1"/>
  <c r="T114" i="8"/>
  <c r="U114" i="8" s="1"/>
  <c r="T113" i="8"/>
  <c r="U113" i="8" s="1"/>
  <c r="T112" i="8"/>
  <c r="U112" i="8" s="1"/>
  <c r="T111" i="8"/>
  <c r="U111" i="8" s="1"/>
  <c r="T110" i="8"/>
  <c r="U110" i="8" s="1"/>
  <c r="T109" i="8"/>
  <c r="U109" i="8" s="1"/>
  <c r="T108" i="8"/>
  <c r="U108" i="8" s="1"/>
  <c r="T107" i="8"/>
  <c r="U107" i="8" s="1"/>
  <c r="T106" i="8"/>
  <c r="U106" i="8" s="1"/>
  <c r="T105" i="8"/>
  <c r="U105" i="8" s="1"/>
  <c r="T104" i="8"/>
  <c r="U104" i="8" s="1"/>
  <c r="T103" i="8"/>
  <c r="U103" i="8" s="1"/>
  <c r="T102" i="8"/>
  <c r="U102" i="8" s="1"/>
  <c r="T101" i="8"/>
  <c r="U101" i="8" s="1"/>
  <c r="T100" i="8"/>
  <c r="U100" i="8" s="1"/>
  <c r="T99" i="8"/>
  <c r="U99" i="8" s="1"/>
  <c r="T98" i="8"/>
  <c r="U98" i="8" s="1"/>
  <c r="T97" i="8"/>
  <c r="U97" i="8" s="1"/>
  <c r="T96" i="8"/>
  <c r="U96" i="8" s="1"/>
  <c r="T95" i="8"/>
  <c r="U95" i="8" s="1"/>
  <c r="T94" i="8"/>
  <c r="U94" i="8" s="1"/>
  <c r="T93" i="8"/>
  <c r="U93" i="8" s="1"/>
  <c r="T92" i="8"/>
  <c r="U92" i="8" s="1"/>
  <c r="T91" i="8"/>
  <c r="U91" i="8" s="1"/>
  <c r="T90" i="8"/>
  <c r="U90" i="8" s="1"/>
  <c r="T89" i="8"/>
  <c r="U89" i="8" s="1"/>
  <c r="T88" i="8"/>
  <c r="U88" i="8" s="1"/>
  <c r="T87" i="8"/>
  <c r="U87" i="8" s="1"/>
  <c r="T86" i="8"/>
  <c r="U86" i="8" s="1"/>
  <c r="T85" i="8"/>
  <c r="U85" i="8" s="1"/>
  <c r="T84" i="8"/>
  <c r="U84" i="8" s="1"/>
  <c r="T83" i="8"/>
  <c r="U83" i="8" s="1"/>
  <c r="T82" i="8"/>
  <c r="U82" i="8" s="1"/>
  <c r="T81" i="8"/>
  <c r="U81" i="8" s="1"/>
  <c r="T80" i="8"/>
  <c r="U80" i="8" s="1"/>
  <c r="T79" i="8"/>
  <c r="U79" i="8" s="1"/>
  <c r="T78" i="8"/>
  <c r="U78" i="8" s="1"/>
  <c r="T77" i="8"/>
  <c r="U77" i="8" s="1"/>
  <c r="T76" i="8"/>
  <c r="U76" i="8" s="1"/>
  <c r="T75" i="8"/>
  <c r="U75" i="8" s="1"/>
  <c r="T74" i="8"/>
  <c r="U74" i="8" s="1"/>
  <c r="T73" i="8"/>
  <c r="U73" i="8" s="1"/>
  <c r="T72" i="8"/>
  <c r="U72" i="8" s="1"/>
  <c r="T71" i="8"/>
  <c r="U71" i="8" s="1"/>
  <c r="T70" i="8"/>
  <c r="U70" i="8" s="1"/>
  <c r="T69" i="8"/>
  <c r="U69" i="8" s="1"/>
  <c r="T68" i="8"/>
  <c r="U68" i="8" s="1"/>
  <c r="T67" i="8"/>
  <c r="U67" i="8" s="1"/>
  <c r="T66" i="8"/>
  <c r="U66" i="8" s="1"/>
  <c r="T65" i="8"/>
  <c r="U65" i="8" s="1"/>
  <c r="T64" i="8"/>
  <c r="U64" i="8" s="1"/>
  <c r="T63" i="8"/>
  <c r="U63" i="8" s="1"/>
  <c r="T62" i="8"/>
  <c r="U62" i="8" s="1"/>
  <c r="T61" i="8"/>
  <c r="U61" i="8" s="1"/>
  <c r="T60" i="8"/>
  <c r="U60" i="8" s="1"/>
  <c r="T59" i="8"/>
  <c r="U59" i="8" s="1"/>
  <c r="T58" i="8"/>
  <c r="U58" i="8" s="1"/>
  <c r="T57" i="8"/>
  <c r="U57" i="8" s="1"/>
  <c r="T56" i="8"/>
  <c r="U56" i="8" s="1"/>
  <c r="T55" i="8"/>
  <c r="U55" i="8" s="1"/>
  <c r="T54" i="8"/>
  <c r="U54" i="8" s="1"/>
  <c r="T53" i="8"/>
  <c r="U53" i="8" s="1"/>
  <c r="T52" i="8"/>
  <c r="U52" i="8" s="1"/>
  <c r="T51" i="8"/>
  <c r="U51" i="8" s="1"/>
  <c r="T50" i="8"/>
  <c r="U50" i="8" s="1"/>
  <c r="T49" i="8"/>
  <c r="U49" i="8" s="1"/>
  <c r="T48" i="8"/>
  <c r="U48" i="8" s="1"/>
  <c r="T47" i="8"/>
  <c r="U47" i="8" s="1"/>
  <c r="T46" i="8"/>
  <c r="U46" i="8" s="1"/>
  <c r="T45" i="8"/>
  <c r="U45" i="8" s="1"/>
  <c r="T44" i="8"/>
  <c r="U44" i="8" s="1"/>
  <c r="T106" i="9"/>
  <c r="U106" i="9" s="1"/>
  <c r="T105" i="9"/>
  <c r="U105" i="9" s="1"/>
  <c r="T104" i="9"/>
  <c r="U104" i="9" s="1"/>
  <c r="T103" i="9"/>
  <c r="U103" i="9" s="1"/>
  <c r="T102" i="9"/>
  <c r="U102" i="9" s="1"/>
  <c r="T101" i="9"/>
  <c r="U101" i="9" s="1"/>
  <c r="T100" i="9"/>
  <c r="U100" i="9" s="1"/>
  <c r="T99" i="9"/>
  <c r="U99" i="9" s="1"/>
  <c r="T98" i="9"/>
  <c r="U98" i="9" s="1"/>
  <c r="T97" i="9"/>
  <c r="U97" i="9" s="1"/>
  <c r="T96" i="9"/>
  <c r="U96" i="9" s="1"/>
  <c r="T95" i="9"/>
  <c r="U95" i="9" s="1"/>
  <c r="T94" i="9"/>
  <c r="U94" i="9" s="1"/>
  <c r="T93" i="9"/>
  <c r="U93" i="9" s="1"/>
  <c r="T92" i="9"/>
  <c r="U92" i="9" s="1"/>
  <c r="T91" i="9"/>
  <c r="U91" i="9" s="1"/>
  <c r="T90" i="9"/>
  <c r="U90" i="9" s="1"/>
  <c r="T89" i="9"/>
  <c r="U89" i="9" s="1"/>
  <c r="T88" i="9"/>
  <c r="U88" i="9" s="1"/>
  <c r="T87" i="9"/>
  <c r="U87" i="9" s="1"/>
  <c r="T86" i="9"/>
  <c r="U86" i="9" s="1"/>
  <c r="T85" i="9"/>
  <c r="U85" i="9" s="1"/>
  <c r="T84" i="9"/>
  <c r="U84" i="9" s="1"/>
  <c r="T83" i="9"/>
  <c r="U83" i="9" s="1"/>
  <c r="T82" i="9"/>
  <c r="U82" i="9" s="1"/>
  <c r="T81" i="9"/>
  <c r="U81" i="9" s="1"/>
  <c r="T80" i="9"/>
  <c r="U80" i="9" s="1"/>
  <c r="T79" i="9"/>
  <c r="U79" i="9" s="1"/>
  <c r="T78" i="9"/>
  <c r="U78" i="9" s="1"/>
  <c r="T77" i="9"/>
  <c r="U77" i="9" s="1"/>
  <c r="T76" i="9"/>
  <c r="U76" i="9" s="1"/>
  <c r="T75" i="9"/>
  <c r="U75" i="9" s="1"/>
  <c r="T74" i="9"/>
  <c r="U74" i="9" s="1"/>
  <c r="T73" i="9"/>
  <c r="U73" i="9" s="1"/>
  <c r="T72" i="9"/>
  <c r="U72" i="9" s="1"/>
  <c r="T71" i="9"/>
  <c r="U71" i="9" s="1"/>
  <c r="T70" i="9"/>
  <c r="U70" i="9" s="1"/>
  <c r="T69" i="9"/>
  <c r="U69" i="9" s="1"/>
  <c r="T68" i="9"/>
  <c r="U68" i="9" s="1"/>
  <c r="T67" i="9"/>
  <c r="U67" i="9" s="1"/>
  <c r="T66" i="9"/>
  <c r="U66" i="9" s="1"/>
  <c r="T65" i="9"/>
  <c r="U65" i="9" s="1"/>
  <c r="T64" i="9"/>
  <c r="U64" i="9" s="1"/>
  <c r="T63" i="9"/>
  <c r="U63" i="9" s="1"/>
  <c r="T62" i="9"/>
  <c r="U62" i="9" s="1"/>
  <c r="T61" i="9"/>
  <c r="U61" i="9" s="1"/>
  <c r="T60" i="9"/>
  <c r="U60" i="9" s="1"/>
  <c r="T59" i="9"/>
  <c r="U59" i="9" s="1"/>
  <c r="T58" i="9"/>
  <c r="U58" i="9" s="1"/>
  <c r="T57" i="9"/>
  <c r="U57" i="9" s="1"/>
  <c r="T56" i="9"/>
  <c r="U56" i="9" s="1"/>
  <c r="T55" i="9"/>
  <c r="U55" i="9" s="1"/>
  <c r="T54" i="9"/>
  <c r="U54" i="9" s="1"/>
  <c r="T53" i="9"/>
  <c r="U53" i="9" s="1"/>
  <c r="T52" i="9"/>
  <c r="U52" i="9" s="1"/>
  <c r="T51" i="9"/>
  <c r="U51" i="9" s="1"/>
  <c r="T50" i="9"/>
  <c r="U50" i="9" s="1"/>
  <c r="T49" i="9"/>
  <c r="U49" i="9" s="1"/>
  <c r="T48" i="9"/>
  <c r="U48" i="9" s="1"/>
  <c r="T47" i="9"/>
  <c r="U47" i="9" s="1"/>
  <c r="T46" i="9"/>
  <c r="U46" i="9" s="1"/>
  <c r="T45" i="9"/>
  <c r="U45" i="9" s="1"/>
  <c r="T44" i="9"/>
  <c r="U44" i="9" s="1"/>
  <c r="T43" i="9"/>
  <c r="U43" i="9" s="1"/>
  <c r="T42" i="9"/>
  <c r="U42" i="9" s="1"/>
  <c r="T41" i="9"/>
  <c r="U41" i="9" s="1"/>
  <c r="T40" i="9"/>
  <c r="U40" i="9" s="1"/>
  <c r="T39" i="9"/>
  <c r="U39" i="9" s="1"/>
  <c r="T38" i="9"/>
  <c r="U38" i="9" s="1"/>
  <c r="D1" i="14"/>
  <c r="B4" i="14" s="1"/>
  <c r="A139" i="3"/>
  <c r="E146" i="3"/>
  <c r="F146" i="3"/>
  <c r="G146" i="3"/>
  <c r="G147" i="3"/>
  <c r="A126" i="3"/>
  <c r="G134" i="3"/>
  <c r="G133" i="3"/>
  <c r="F133" i="3"/>
  <c r="E133" i="3"/>
  <c r="I146" i="3" l="1"/>
  <c r="I133" i="3"/>
  <c r="C127" i="3"/>
  <c r="B2" i="14"/>
  <c r="C140" i="3"/>
  <c r="W239" i="1" l="1"/>
  <c r="H147" i="3" s="1"/>
  <c r="W238" i="1" l="1"/>
  <c r="W232" i="1"/>
  <c r="H134" i="3" s="1"/>
  <c r="T239" i="1" l="1"/>
  <c r="T238" i="1"/>
  <c r="U238" i="1" s="1"/>
  <c r="T237" i="1"/>
  <c r="U237" i="1" s="1"/>
  <c r="T236" i="1"/>
  <c r="U236" i="1" s="1"/>
  <c r="T235" i="1"/>
  <c r="U235" i="1" s="1"/>
  <c r="T234" i="1"/>
  <c r="U234" i="1" s="1"/>
  <c r="T233" i="1"/>
  <c r="U233" i="1" s="1"/>
  <c r="T232" i="1"/>
  <c r="U232" i="1" s="1"/>
  <c r="T231" i="1"/>
  <c r="U231" i="1" l="1"/>
  <c r="F134" i="3" s="1"/>
  <c r="I134" i="3" s="1"/>
  <c r="E134" i="3"/>
  <c r="U239" i="1"/>
  <c r="F147" i="3" s="1"/>
  <c r="E147" i="3"/>
  <c r="F13" i="8"/>
  <c r="L13" i="8"/>
  <c r="M13" i="8"/>
  <c r="N13" i="8"/>
  <c r="F14" i="8"/>
  <c r="L14" i="8"/>
  <c r="M14" i="8"/>
  <c r="N14" i="8"/>
  <c r="D15" i="8"/>
  <c r="V15" i="14" s="1"/>
  <c r="F15" i="8"/>
  <c r="L15" i="8"/>
  <c r="M15" i="8"/>
  <c r="N15" i="8"/>
  <c r="F16" i="8"/>
  <c r="L16" i="8"/>
  <c r="M16" i="8"/>
  <c r="P16" i="8" s="1"/>
  <c r="N16" i="8"/>
  <c r="F17" i="8"/>
  <c r="L17" i="8"/>
  <c r="M17" i="8"/>
  <c r="N17" i="8"/>
  <c r="F4" i="8"/>
  <c r="L4" i="8"/>
  <c r="M4" i="8"/>
  <c r="P4" i="8" s="1"/>
  <c r="N4" i="8"/>
  <c r="D5" i="8"/>
  <c r="U14" i="14" s="1"/>
  <c r="E5" i="8"/>
  <c r="F5" i="8"/>
  <c r="L5" i="8"/>
  <c r="M5" i="8"/>
  <c r="N5" i="8"/>
  <c r="F6" i="8"/>
  <c r="L6" i="8"/>
  <c r="N6" i="8"/>
  <c r="I147" i="3" l="1"/>
  <c r="W14" i="14"/>
  <c r="X15" i="14"/>
  <c r="H5" i="8"/>
  <c r="E4" i="8"/>
  <c r="G4" i="8" s="1"/>
  <c r="O14" i="8"/>
  <c r="O13" i="8"/>
  <c r="O17" i="8"/>
  <c r="O5" i="8"/>
  <c r="E16" i="8"/>
  <c r="G16" i="8" s="1"/>
  <c r="E6" i="8"/>
  <c r="G6" i="8" s="1"/>
  <c r="D4" i="8"/>
  <c r="U13" i="14" s="1"/>
  <c r="O15" i="8"/>
  <c r="M6" i="8"/>
  <c r="D6" i="8"/>
  <c r="U15" i="14" s="1"/>
  <c r="O4" i="8"/>
  <c r="O16" i="8"/>
  <c r="D14" i="8"/>
  <c r="V14" i="14" s="1"/>
  <c r="G5" i="8"/>
  <c r="D16" i="8"/>
  <c r="V16" i="14" s="1"/>
  <c r="P14" i="8"/>
  <c r="D13" i="8"/>
  <c r="V13" i="14" s="1"/>
  <c r="E14" i="8"/>
  <c r="E15" i="8"/>
  <c r="E13" i="8"/>
  <c r="P5" i="8"/>
  <c r="P17" i="8"/>
  <c r="E17" i="8"/>
  <c r="N9" i="14" s="1"/>
  <c r="P9" i="14" s="1"/>
  <c r="P15" i="8"/>
  <c r="P13" i="8"/>
  <c r="D17" i="8"/>
  <c r="M9" i="14" s="1"/>
  <c r="O9" i="14" s="1"/>
  <c r="C99" i="3"/>
  <c r="C98" i="3"/>
  <c r="C86" i="3"/>
  <c r="C85" i="3"/>
  <c r="C114" i="3"/>
  <c r="C115" i="3"/>
  <c r="W15" i="14" l="1"/>
  <c r="X13" i="14"/>
  <c r="X14" i="14"/>
  <c r="X16" i="14"/>
  <c r="W13" i="14"/>
  <c r="H4" i="8"/>
  <c r="H6" i="8"/>
  <c r="H16" i="8"/>
  <c r="P6" i="8"/>
  <c r="O6" i="8"/>
  <c r="G15" i="8"/>
  <c r="H15" i="8"/>
  <c r="G17" i="8"/>
  <c r="H17" i="8"/>
  <c r="H14" i="8"/>
  <c r="G14" i="8"/>
  <c r="G13" i="8"/>
  <c r="H13" i="8"/>
  <c r="F103" i="3"/>
  <c r="F90" i="3"/>
  <c r="F65" i="3"/>
  <c r="F49" i="3"/>
  <c r="F23" i="3"/>
  <c r="F9" i="3"/>
  <c r="G120" i="3"/>
  <c r="G119" i="3"/>
  <c r="G104" i="3"/>
  <c r="G103" i="3"/>
  <c r="E103" i="3"/>
  <c r="G91" i="3"/>
  <c r="G90" i="3"/>
  <c r="E90" i="3"/>
  <c r="I90" i="3" l="1"/>
  <c r="I103" i="3"/>
  <c r="C87" i="3"/>
  <c r="C113" i="3"/>
  <c r="C97" i="3"/>
  <c r="C84" i="3"/>
  <c r="T230" i="1"/>
  <c r="U230" i="1" s="1"/>
  <c r="T229" i="1"/>
  <c r="U229" i="1" s="1"/>
  <c r="T228" i="1"/>
  <c r="U228" i="1" s="1"/>
  <c r="T227" i="1"/>
  <c r="U227" i="1" s="1"/>
  <c r="T226" i="1"/>
  <c r="U226" i="1" s="1"/>
  <c r="T225" i="1"/>
  <c r="U225" i="1" s="1"/>
  <c r="T224" i="1"/>
  <c r="U224" i="1" s="1"/>
  <c r="T223" i="1"/>
  <c r="U223" i="1" s="1"/>
  <c r="T222" i="1"/>
  <c r="U222" i="1" s="1"/>
  <c r="T221" i="1"/>
  <c r="U221" i="1" s="1"/>
  <c r="T220" i="1"/>
  <c r="U220" i="1" s="1"/>
  <c r="T219" i="1"/>
  <c r="U219" i="1" s="1"/>
  <c r="T218" i="1"/>
  <c r="U218" i="1" s="1"/>
  <c r="T217" i="1"/>
  <c r="U217" i="1" s="1"/>
  <c r="T216" i="1"/>
  <c r="E120" i="3" l="1"/>
  <c r="U216" i="1"/>
  <c r="F120" i="3" s="1"/>
  <c r="I120" i="3" s="1"/>
  <c r="F119" i="3"/>
  <c r="E119" i="3"/>
  <c r="W211" i="1"/>
  <c r="I119" i="3" l="1"/>
  <c r="W210" i="1"/>
  <c r="H104" i="3" s="1"/>
  <c r="T215" i="1" l="1"/>
  <c r="U215" i="1" s="1"/>
  <c r="T214" i="1"/>
  <c r="U214" i="1" s="1"/>
  <c r="T213" i="1"/>
  <c r="U213" i="1" s="1"/>
  <c r="T212" i="1"/>
  <c r="U212" i="1" s="1"/>
  <c r="T211" i="1"/>
  <c r="U211" i="1" s="1"/>
  <c r="T210" i="1"/>
  <c r="U210" i="1" s="1"/>
  <c r="T209" i="1"/>
  <c r="U209" i="1" s="1"/>
  <c r="T208" i="1"/>
  <c r="T207" i="1"/>
  <c r="U207" i="1" s="1"/>
  <c r="T206" i="1"/>
  <c r="U206" i="1" s="1"/>
  <c r="T205" i="1"/>
  <c r="U205" i="1" s="1"/>
  <c r="T204" i="1"/>
  <c r="U204" i="1" l="1"/>
  <c r="F91" i="3" s="1"/>
  <c r="I91" i="3" s="1"/>
  <c r="E91" i="3"/>
  <c r="U208" i="1"/>
  <c r="F104" i="3" s="1"/>
  <c r="E104" i="3"/>
  <c r="E39" i="1"/>
  <c r="C40" i="1" s="1"/>
  <c r="E38" i="8"/>
  <c r="C41" i="8" s="1"/>
  <c r="C45" i="3"/>
  <c r="B4" i="12"/>
  <c r="B2" i="12"/>
  <c r="C73" i="3"/>
  <c r="G78" i="3"/>
  <c r="H77" i="3"/>
  <c r="G77" i="3"/>
  <c r="H65" i="3"/>
  <c r="G65" i="3"/>
  <c r="E65" i="3"/>
  <c r="I65" i="3" s="1"/>
  <c r="H64" i="3"/>
  <c r="G64" i="3"/>
  <c r="H50" i="3"/>
  <c r="G50" i="3"/>
  <c r="H49" i="3"/>
  <c r="G49" i="3"/>
  <c r="E49" i="3"/>
  <c r="H37" i="3"/>
  <c r="G37" i="3"/>
  <c r="H36" i="3"/>
  <c r="G36" i="3"/>
  <c r="H24" i="3"/>
  <c r="G24" i="3"/>
  <c r="H23" i="3"/>
  <c r="G23" i="3"/>
  <c r="E23" i="3"/>
  <c r="H10" i="3"/>
  <c r="H9" i="3"/>
  <c r="G10" i="3"/>
  <c r="G9" i="3"/>
  <c r="E9" i="3"/>
  <c r="I9" i="3" s="1"/>
  <c r="I104" i="3" l="1"/>
  <c r="F22" i="8"/>
  <c r="C61" i="3"/>
  <c r="C42" i="1"/>
  <c r="F22" i="1" s="1"/>
  <c r="C39" i="8"/>
  <c r="I23" i="3"/>
  <c r="I49" i="3"/>
  <c r="F23" i="8" l="1"/>
  <c r="F25" i="8"/>
  <c r="F26" i="8"/>
  <c r="F24" i="8"/>
  <c r="F24" i="1"/>
  <c r="F23" i="1"/>
  <c r="F26" i="1"/>
  <c r="F25" i="1"/>
  <c r="N8" i="9"/>
  <c r="M8" i="9"/>
  <c r="L8" i="9"/>
  <c r="F8" i="9"/>
  <c r="N7" i="9"/>
  <c r="M7" i="9"/>
  <c r="L7" i="9"/>
  <c r="F7" i="9"/>
  <c r="N6" i="9"/>
  <c r="L6" i="9"/>
  <c r="F6" i="9"/>
  <c r="N5" i="9"/>
  <c r="M5" i="9"/>
  <c r="L5" i="9"/>
  <c r="F5" i="9"/>
  <c r="N4" i="9"/>
  <c r="L4" i="9"/>
  <c r="F4" i="9"/>
  <c r="D4" i="9"/>
  <c r="M13" i="14" s="1"/>
  <c r="M17" i="9"/>
  <c r="P17" i="9" s="1"/>
  <c r="L17" i="9"/>
  <c r="F17" i="9"/>
  <c r="N16" i="9"/>
  <c r="M16" i="9"/>
  <c r="L16" i="9"/>
  <c r="F16" i="9"/>
  <c r="N15" i="9"/>
  <c r="M15" i="9"/>
  <c r="L15" i="9"/>
  <c r="F15" i="9"/>
  <c r="M14" i="9"/>
  <c r="M23" i="9" s="1"/>
  <c r="L14" i="9"/>
  <c r="F14" i="9"/>
  <c r="D14" i="9"/>
  <c r="N14" i="14" s="1"/>
  <c r="N13" i="9"/>
  <c r="M13" i="9"/>
  <c r="L13" i="9"/>
  <c r="L22" i="9" s="1"/>
  <c r="F13" i="9"/>
  <c r="N14" i="9"/>
  <c r="O14" i="9" s="1"/>
  <c r="E7" i="9"/>
  <c r="E5" i="9"/>
  <c r="D15" i="9"/>
  <c r="N15" i="14" s="1"/>
  <c r="M4" i="9"/>
  <c r="D16" i="9"/>
  <c r="N16" i="14" s="1"/>
  <c r="B4" i="11"/>
  <c r="N8" i="8"/>
  <c r="M8" i="8"/>
  <c r="L8" i="8"/>
  <c r="F8" i="8"/>
  <c r="N7" i="8"/>
  <c r="L7" i="8"/>
  <c r="L25" i="8" s="1"/>
  <c r="F7" i="8"/>
  <c r="L24" i="8"/>
  <c r="L22" i="8"/>
  <c r="O13" i="14" l="1"/>
  <c r="E13" i="14"/>
  <c r="G13" i="14" s="1"/>
  <c r="P16" i="14"/>
  <c r="F16" i="14"/>
  <c r="H16" i="14" s="1"/>
  <c r="P15" i="14"/>
  <c r="F15" i="14"/>
  <c r="H15" i="14" s="1"/>
  <c r="P14" i="14"/>
  <c r="F14" i="14"/>
  <c r="H14" i="14" s="1"/>
  <c r="L24" i="9"/>
  <c r="O16" i="9"/>
  <c r="E17" i="9"/>
  <c r="L25" i="9"/>
  <c r="P7" i="9"/>
  <c r="P8" i="9"/>
  <c r="E15" i="9"/>
  <c r="G15" i="9" s="1"/>
  <c r="P13" i="9"/>
  <c r="L23" i="9"/>
  <c r="P15" i="9"/>
  <c r="M25" i="9"/>
  <c r="P5" i="9"/>
  <c r="E14" i="9"/>
  <c r="E23" i="9" s="1"/>
  <c r="M6" i="9"/>
  <c r="O6" i="9" s="1"/>
  <c r="D6" i="9"/>
  <c r="O8" i="9"/>
  <c r="F24" i="9"/>
  <c r="F26" i="9"/>
  <c r="F25" i="9"/>
  <c r="F23" i="9"/>
  <c r="F22" i="9"/>
  <c r="G5" i="9"/>
  <c r="E16" i="9"/>
  <c r="G7" i="9"/>
  <c r="O4" i="9"/>
  <c r="P4" i="9"/>
  <c r="D8" i="9"/>
  <c r="M22" i="9"/>
  <c r="P14" i="9"/>
  <c r="P16" i="9"/>
  <c r="N17" i="9"/>
  <c r="O17" i="9" s="1"/>
  <c r="E4" i="9"/>
  <c r="E6" i="9"/>
  <c r="E8" i="9"/>
  <c r="V8" i="14" s="1"/>
  <c r="O15" i="9"/>
  <c r="D17" i="9"/>
  <c r="E9" i="14" s="1"/>
  <c r="D5" i="9"/>
  <c r="O5" i="9"/>
  <c r="D7" i="9"/>
  <c r="O7" i="9"/>
  <c r="D13" i="9"/>
  <c r="O13" i="9"/>
  <c r="E13" i="9"/>
  <c r="P8" i="8"/>
  <c r="L23" i="8"/>
  <c r="L26" i="8" s="1"/>
  <c r="M24" i="8"/>
  <c r="D8" i="8"/>
  <c r="M8" i="14" s="1"/>
  <c r="O8" i="14" s="1"/>
  <c r="E7" i="8"/>
  <c r="D7" i="8"/>
  <c r="U16" i="14" s="1"/>
  <c r="M7" i="8"/>
  <c r="M25" i="8" s="1"/>
  <c r="D22" i="8"/>
  <c r="D24" i="8"/>
  <c r="M23" i="8"/>
  <c r="D23" i="8"/>
  <c r="E8" i="8"/>
  <c r="N8" i="14" s="1"/>
  <c r="P8" i="14" s="1"/>
  <c r="O8" i="8"/>
  <c r="M22" i="8"/>
  <c r="T45" i="1"/>
  <c r="T46" i="1"/>
  <c r="U46" i="1" s="1"/>
  <c r="T47" i="1"/>
  <c r="U47" i="1" s="1"/>
  <c r="T48" i="1"/>
  <c r="U48" i="1" s="1"/>
  <c r="T49" i="1"/>
  <c r="U49" i="1" s="1"/>
  <c r="T50" i="1"/>
  <c r="U50" i="1" s="1"/>
  <c r="T51" i="1"/>
  <c r="U51" i="1" s="1"/>
  <c r="T52" i="1"/>
  <c r="U52" i="1" s="1"/>
  <c r="T53" i="1"/>
  <c r="U53" i="1" s="1"/>
  <c r="T54" i="1"/>
  <c r="U54" i="1" s="1"/>
  <c r="T55" i="1"/>
  <c r="U55" i="1" s="1"/>
  <c r="T56" i="1"/>
  <c r="U56" i="1" s="1"/>
  <c r="T57" i="1"/>
  <c r="U57" i="1" s="1"/>
  <c r="T58" i="1"/>
  <c r="U58" i="1" s="1"/>
  <c r="T59" i="1"/>
  <c r="U59" i="1" s="1"/>
  <c r="T60" i="1"/>
  <c r="U60" i="1" s="1"/>
  <c r="T61" i="1"/>
  <c r="U61" i="1" s="1"/>
  <c r="T62" i="1"/>
  <c r="U62" i="1" s="1"/>
  <c r="T63" i="1"/>
  <c r="U63" i="1" s="1"/>
  <c r="T64" i="1"/>
  <c r="U64" i="1" s="1"/>
  <c r="T65" i="1"/>
  <c r="U65" i="1" s="1"/>
  <c r="T66" i="1"/>
  <c r="U66" i="1" s="1"/>
  <c r="T67" i="1"/>
  <c r="U67" i="1" s="1"/>
  <c r="T68" i="1"/>
  <c r="U68" i="1" s="1"/>
  <c r="T69" i="1"/>
  <c r="U69" i="1" s="1"/>
  <c r="T70" i="1"/>
  <c r="U70" i="1" s="1"/>
  <c r="T71" i="1"/>
  <c r="U71" i="1" s="1"/>
  <c r="T72" i="1"/>
  <c r="U72" i="1" s="1"/>
  <c r="T73" i="1"/>
  <c r="U73" i="1" s="1"/>
  <c r="T74" i="1"/>
  <c r="U74" i="1" s="1"/>
  <c r="T75" i="1"/>
  <c r="U75" i="1" s="1"/>
  <c r="T76" i="1"/>
  <c r="U76" i="1" s="1"/>
  <c r="T77" i="1"/>
  <c r="U77" i="1" s="1"/>
  <c r="T78" i="1"/>
  <c r="U78" i="1" s="1"/>
  <c r="T79" i="1"/>
  <c r="U79" i="1" s="1"/>
  <c r="T80" i="1"/>
  <c r="U80" i="1" s="1"/>
  <c r="T81" i="1"/>
  <c r="U81" i="1" s="1"/>
  <c r="T82" i="1"/>
  <c r="U82" i="1" s="1"/>
  <c r="T83" i="1"/>
  <c r="T84" i="1"/>
  <c r="U84" i="1" s="1"/>
  <c r="T85" i="1"/>
  <c r="U85" i="1" s="1"/>
  <c r="T86" i="1"/>
  <c r="T87" i="1"/>
  <c r="U87" i="1" s="1"/>
  <c r="T88" i="1"/>
  <c r="T89" i="1"/>
  <c r="U89" i="1" s="1"/>
  <c r="T90" i="1"/>
  <c r="U90" i="1" s="1"/>
  <c r="T91" i="1"/>
  <c r="U91" i="1" s="1"/>
  <c r="T92" i="1"/>
  <c r="U92" i="1" s="1"/>
  <c r="T93" i="1"/>
  <c r="U93" i="1" s="1"/>
  <c r="T94" i="1"/>
  <c r="U94" i="1" s="1"/>
  <c r="T95" i="1"/>
  <c r="U95" i="1" s="1"/>
  <c r="T96" i="1"/>
  <c r="U96" i="1" s="1"/>
  <c r="T97" i="1"/>
  <c r="U97" i="1" s="1"/>
  <c r="T98" i="1"/>
  <c r="U98" i="1" s="1"/>
  <c r="T99" i="1"/>
  <c r="U99" i="1" s="1"/>
  <c r="T100" i="1"/>
  <c r="U100" i="1" s="1"/>
  <c r="T101" i="1"/>
  <c r="U101" i="1" s="1"/>
  <c r="T102" i="1"/>
  <c r="U102" i="1" s="1"/>
  <c r="T103" i="1"/>
  <c r="U103" i="1" s="1"/>
  <c r="T104" i="1"/>
  <c r="U104" i="1" s="1"/>
  <c r="T105" i="1"/>
  <c r="U105" i="1" s="1"/>
  <c r="T106" i="1"/>
  <c r="U106" i="1" s="1"/>
  <c r="T107" i="1"/>
  <c r="U107" i="1" s="1"/>
  <c r="T108" i="1"/>
  <c r="U108" i="1" s="1"/>
  <c r="T109" i="1"/>
  <c r="U109" i="1" s="1"/>
  <c r="T110" i="1"/>
  <c r="U110" i="1" s="1"/>
  <c r="T111" i="1"/>
  <c r="U111" i="1" s="1"/>
  <c r="T112" i="1"/>
  <c r="U112" i="1" s="1"/>
  <c r="T113" i="1"/>
  <c r="U113" i="1" s="1"/>
  <c r="N8" i="1"/>
  <c r="M8" i="1"/>
  <c r="L8" i="1"/>
  <c r="F8" i="1"/>
  <c r="N7" i="1"/>
  <c r="L7" i="1"/>
  <c r="F7" i="1"/>
  <c r="N6" i="1"/>
  <c r="L6" i="1"/>
  <c r="F6" i="1"/>
  <c r="N5" i="1"/>
  <c r="L5" i="1"/>
  <c r="F5" i="1"/>
  <c r="N4" i="1"/>
  <c r="L4" i="1"/>
  <c r="F4" i="1"/>
  <c r="M17" i="1"/>
  <c r="L17" i="1"/>
  <c r="N16" i="1"/>
  <c r="M16" i="1"/>
  <c r="L16" i="1"/>
  <c r="F16" i="1"/>
  <c r="N15" i="1"/>
  <c r="M15" i="1"/>
  <c r="L15" i="1"/>
  <c r="F15" i="1"/>
  <c r="M14" i="1"/>
  <c r="L14" i="1"/>
  <c r="L23" i="1" s="1"/>
  <c r="N13" i="1"/>
  <c r="M13" i="1"/>
  <c r="L13" i="1"/>
  <c r="F13" i="1"/>
  <c r="T203" i="1"/>
  <c r="T202" i="1"/>
  <c r="T201" i="1"/>
  <c r="T200" i="1"/>
  <c r="U200" i="1" s="1"/>
  <c r="W199" i="1"/>
  <c r="T199" i="1"/>
  <c r="T198" i="1"/>
  <c r="U198" i="1" s="1"/>
  <c r="T197" i="1"/>
  <c r="U197" i="1" s="1"/>
  <c r="T196" i="1"/>
  <c r="U196" i="1" s="1"/>
  <c r="T195" i="1"/>
  <c r="U195" i="1" s="1"/>
  <c r="T194" i="1"/>
  <c r="U194" i="1" s="1"/>
  <c r="T193" i="1"/>
  <c r="U193" i="1" s="1"/>
  <c r="T192" i="1"/>
  <c r="T191" i="1"/>
  <c r="U191" i="1" s="1"/>
  <c r="T190" i="1"/>
  <c r="U190" i="1" s="1"/>
  <c r="T189" i="1"/>
  <c r="U189" i="1" s="1"/>
  <c r="T188" i="1"/>
  <c r="T187" i="1"/>
  <c r="U187" i="1" s="1"/>
  <c r="T186" i="1"/>
  <c r="T185" i="1"/>
  <c r="U185" i="1" s="1"/>
  <c r="T184" i="1"/>
  <c r="T183" i="1"/>
  <c r="U183" i="1" s="1"/>
  <c r="T182" i="1"/>
  <c r="U182" i="1" s="1"/>
  <c r="T181" i="1"/>
  <c r="U181" i="1" s="1"/>
  <c r="T180" i="1"/>
  <c r="U180" i="1" s="1"/>
  <c r="T179" i="1"/>
  <c r="U179" i="1" s="1"/>
  <c r="T178" i="1"/>
  <c r="U178" i="1" s="1"/>
  <c r="T177" i="1"/>
  <c r="U177" i="1" s="1"/>
  <c r="T176" i="1"/>
  <c r="U176" i="1" s="1"/>
  <c r="T175" i="1"/>
  <c r="U175" i="1" s="1"/>
  <c r="T174" i="1"/>
  <c r="U174" i="1" s="1"/>
  <c r="T173" i="1"/>
  <c r="U173" i="1" s="1"/>
  <c r="T172" i="1"/>
  <c r="U172" i="1" s="1"/>
  <c r="T171" i="1"/>
  <c r="U171" i="1" s="1"/>
  <c r="T170" i="1"/>
  <c r="U170" i="1" s="1"/>
  <c r="T169" i="1"/>
  <c r="U169" i="1" s="1"/>
  <c r="T168" i="1"/>
  <c r="U168" i="1" s="1"/>
  <c r="T167" i="1"/>
  <c r="U167" i="1" s="1"/>
  <c r="T166" i="1"/>
  <c r="U166" i="1" s="1"/>
  <c r="T165" i="1"/>
  <c r="U165" i="1" s="1"/>
  <c r="T164" i="1"/>
  <c r="U164" i="1" s="1"/>
  <c r="T163" i="1"/>
  <c r="U163" i="1" s="1"/>
  <c r="T162" i="1"/>
  <c r="U162" i="1" s="1"/>
  <c r="T161" i="1"/>
  <c r="U161" i="1" s="1"/>
  <c r="T160" i="1"/>
  <c r="U160" i="1" s="1"/>
  <c r="T159" i="1"/>
  <c r="U159" i="1" s="1"/>
  <c r="T158" i="1"/>
  <c r="U158" i="1" s="1"/>
  <c r="T157" i="1"/>
  <c r="U157" i="1" s="1"/>
  <c r="T156" i="1"/>
  <c r="U156" i="1" s="1"/>
  <c r="T155" i="1"/>
  <c r="U155" i="1" s="1"/>
  <c r="T154" i="1"/>
  <c r="U154" i="1" s="1"/>
  <c r="T153" i="1"/>
  <c r="U153" i="1" s="1"/>
  <c r="T152" i="1"/>
  <c r="U152" i="1" s="1"/>
  <c r="T151" i="1"/>
  <c r="U151" i="1" s="1"/>
  <c r="T150" i="1"/>
  <c r="U150" i="1" s="1"/>
  <c r="T149" i="1"/>
  <c r="U149" i="1" s="1"/>
  <c r="T148" i="1"/>
  <c r="U148" i="1" s="1"/>
  <c r="T147" i="1"/>
  <c r="U147" i="1" s="1"/>
  <c r="T146" i="1"/>
  <c r="U146" i="1" s="1"/>
  <c r="T145" i="1"/>
  <c r="U145" i="1" s="1"/>
  <c r="T144" i="1"/>
  <c r="U144" i="1" s="1"/>
  <c r="T143" i="1"/>
  <c r="U143" i="1" s="1"/>
  <c r="T142" i="1"/>
  <c r="U142" i="1" s="1"/>
  <c r="T141" i="1"/>
  <c r="U141" i="1" s="1"/>
  <c r="T140" i="1"/>
  <c r="U140" i="1" s="1"/>
  <c r="T139" i="1"/>
  <c r="U139" i="1" s="1"/>
  <c r="T138" i="1"/>
  <c r="U138" i="1" s="1"/>
  <c r="T137" i="1"/>
  <c r="U137" i="1" s="1"/>
  <c r="T136" i="1"/>
  <c r="U136" i="1" s="1"/>
  <c r="T135" i="1"/>
  <c r="U135" i="1" s="1"/>
  <c r="T134" i="1"/>
  <c r="T133" i="1"/>
  <c r="U133" i="1" s="1"/>
  <c r="T132" i="1"/>
  <c r="U132" i="1" s="1"/>
  <c r="T131" i="1"/>
  <c r="U131" i="1" s="1"/>
  <c r="T130" i="1"/>
  <c r="U130" i="1" s="1"/>
  <c r="T129" i="1"/>
  <c r="U129" i="1" s="1"/>
  <c r="T128" i="1"/>
  <c r="U128" i="1" s="1"/>
  <c r="T127" i="1"/>
  <c r="U127" i="1" s="1"/>
  <c r="T126" i="1"/>
  <c r="U126" i="1" s="1"/>
  <c r="T125" i="1"/>
  <c r="U125" i="1" s="1"/>
  <c r="T124" i="1"/>
  <c r="U124" i="1" s="1"/>
  <c r="T123" i="1"/>
  <c r="U123" i="1" s="1"/>
  <c r="T122" i="1"/>
  <c r="U122" i="1" s="1"/>
  <c r="T121" i="1"/>
  <c r="U121" i="1" s="1"/>
  <c r="T120" i="1"/>
  <c r="U120" i="1" s="1"/>
  <c r="T119" i="1"/>
  <c r="U119" i="1" s="1"/>
  <c r="T118" i="1"/>
  <c r="U118" i="1" s="1"/>
  <c r="T117" i="1"/>
  <c r="U117" i="1" s="1"/>
  <c r="T116" i="1"/>
  <c r="U116" i="1" s="1"/>
  <c r="T115" i="1"/>
  <c r="U115" i="1" s="1"/>
  <c r="T114" i="1"/>
  <c r="C72" i="3"/>
  <c r="C60" i="3"/>
  <c r="U8" i="14" l="1"/>
  <c r="W8" i="14" s="1"/>
  <c r="E8" i="14"/>
  <c r="U9" i="14"/>
  <c r="W9" i="14" s="1"/>
  <c r="G9" i="14"/>
  <c r="G17" i="9"/>
  <c r="V9" i="14"/>
  <c r="F9" i="14"/>
  <c r="D24" i="9"/>
  <c r="M15" i="14"/>
  <c r="X8" i="14"/>
  <c r="H7" i="9"/>
  <c r="M16" i="14"/>
  <c r="O16" i="14" s="1"/>
  <c r="D22" i="9"/>
  <c r="N13" i="14"/>
  <c r="H5" i="9"/>
  <c r="M14" i="14"/>
  <c r="W16" i="14"/>
  <c r="F8" i="14"/>
  <c r="G8" i="14"/>
  <c r="H14" i="9"/>
  <c r="P17" i="1"/>
  <c r="M24" i="9"/>
  <c r="M26" i="9" s="1"/>
  <c r="P6" i="9"/>
  <c r="H15" i="9"/>
  <c r="L26" i="9"/>
  <c r="E24" i="9"/>
  <c r="H17" i="9"/>
  <c r="P25" i="9"/>
  <c r="G14" i="9"/>
  <c r="P23" i="9"/>
  <c r="E5" i="1"/>
  <c r="P15" i="1"/>
  <c r="O16" i="1"/>
  <c r="P13" i="1"/>
  <c r="U86" i="1"/>
  <c r="F37" i="3" s="1"/>
  <c r="E37" i="3"/>
  <c r="U88" i="1"/>
  <c r="F36" i="3" s="1"/>
  <c r="E36" i="3"/>
  <c r="U45" i="1"/>
  <c r="F10" i="3" s="1"/>
  <c r="E10" i="3"/>
  <c r="E78" i="3"/>
  <c r="U199" i="1"/>
  <c r="U202" i="1"/>
  <c r="E77" i="3"/>
  <c r="E17" i="1"/>
  <c r="E50" i="3"/>
  <c r="E64" i="3"/>
  <c r="N14" i="1"/>
  <c r="O14" i="1" s="1"/>
  <c r="H78" i="3"/>
  <c r="L24" i="1"/>
  <c r="U83" i="1"/>
  <c r="F24" i="3" s="1"/>
  <c r="E24" i="3"/>
  <c r="E22" i="9"/>
  <c r="H13" i="9"/>
  <c r="G13" i="9"/>
  <c r="G4" i="9"/>
  <c r="H4" i="9"/>
  <c r="D25" i="9"/>
  <c r="D23" i="9"/>
  <c r="H23" i="9" s="1"/>
  <c r="G8" i="9"/>
  <c r="H8" i="9"/>
  <c r="P24" i="9"/>
  <c r="G16" i="9"/>
  <c r="H16" i="9"/>
  <c r="E25" i="9"/>
  <c r="G6" i="9"/>
  <c r="H6" i="9"/>
  <c r="P22" i="9"/>
  <c r="C71" i="3"/>
  <c r="P23" i="8"/>
  <c r="P24" i="8"/>
  <c r="G8" i="8"/>
  <c r="H8" i="8"/>
  <c r="P25" i="8"/>
  <c r="E25" i="8"/>
  <c r="D25" i="8"/>
  <c r="D26" i="8" s="1"/>
  <c r="P22" i="8"/>
  <c r="M26" i="8"/>
  <c r="E24" i="8"/>
  <c r="H7" i="8"/>
  <c r="G7" i="8"/>
  <c r="E23" i="8"/>
  <c r="E22" i="8"/>
  <c r="P7" i="8"/>
  <c r="O7" i="8"/>
  <c r="D4" i="1"/>
  <c r="M6" i="1"/>
  <c r="E15" i="1"/>
  <c r="D14" i="1"/>
  <c r="M4" i="1"/>
  <c r="E7" i="1"/>
  <c r="L22" i="1"/>
  <c r="D6" i="1"/>
  <c r="D15" i="1"/>
  <c r="U114" i="1"/>
  <c r="U134" i="1"/>
  <c r="U184" i="1"/>
  <c r="U186" i="1"/>
  <c r="U188" i="1"/>
  <c r="U192" i="1"/>
  <c r="D16" i="1"/>
  <c r="F14" i="1"/>
  <c r="L25" i="1"/>
  <c r="F17" i="1"/>
  <c r="M7" i="1"/>
  <c r="P8" i="1"/>
  <c r="M5" i="1"/>
  <c r="O8" i="1"/>
  <c r="D8" i="1"/>
  <c r="U201" i="1"/>
  <c r="E16" i="1" s="1"/>
  <c r="U203" i="1"/>
  <c r="P14" i="1"/>
  <c r="P16" i="1"/>
  <c r="N17" i="1"/>
  <c r="O17" i="1" s="1"/>
  <c r="E4" i="1"/>
  <c r="E6" i="1"/>
  <c r="E8" i="1"/>
  <c r="D13" i="1"/>
  <c r="O13" i="1"/>
  <c r="O15" i="1"/>
  <c r="D17" i="1"/>
  <c r="D5" i="1"/>
  <c r="D7" i="1"/>
  <c r="H24" i="9" l="1"/>
  <c r="X9" i="14"/>
  <c r="E16" i="14"/>
  <c r="G16" i="14" s="1"/>
  <c r="P13" i="14"/>
  <c r="F13" i="14"/>
  <c r="H13" i="14" s="1"/>
  <c r="O15" i="14"/>
  <c r="E15" i="14"/>
  <c r="G15" i="14" s="1"/>
  <c r="O14" i="14"/>
  <c r="E14" i="14"/>
  <c r="G14" i="14" s="1"/>
  <c r="H8" i="14"/>
  <c r="H9" i="14"/>
  <c r="E13" i="4"/>
  <c r="G13" i="4" s="1"/>
  <c r="E15" i="4"/>
  <c r="G15" i="4" s="1"/>
  <c r="O5" i="1"/>
  <c r="F16" i="4"/>
  <c r="H16" i="4" s="1"/>
  <c r="F8" i="4"/>
  <c r="O7" i="1"/>
  <c r="F9" i="4"/>
  <c r="F50" i="3"/>
  <c r="I50" i="3" s="1"/>
  <c r="F77" i="3"/>
  <c r="I77" i="3" s="1"/>
  <c r="F64" i="3"/>
  <c r="I64" i="3" s="1"/>
  <c r="F78" i="3"/>
  <c r="I78" i="3" s="1"/>
  <c r="G15" i="1"/>
  <c r="F15" i="4"/>
  <c r="H15" i="4" s="1"/>
  <c r="G5" i="1"/>
  <c r="I24" i="3"/>
  <c r="E13" i="1"/>
  <c r="H15" i="1"/>
  <c r="G7" i="1"/>
  <c r="O4" i="1"/>
  <c r="M22" i="1"/>
  <c r="P22" i="1" s="1"/>
  <c r="I37" i="3"/>
  <c r="P6" i="1"/>
  <c r="L26" i="1"/>
  <c r="E24" i="1"/>
  <c r="E8" i="4"/>
  <c r="D24" i="1"/>
  <c r="D23" i="1"/>
  <c r="E14" i="4"/>
  <c r="G14" i="4" s="1"/>
  <c r="D22" i="1"/>
  <c r="O6" i="1"/>
  <c r="P4" i="1"/>
  <c r="P7" i="1"/>
  <c r="H7" i="1"/>
  <c r="E16" i="4"/>
  <c r="G16" i="4" s="1"/>
  <c r="H17" i="1"/>
  <c r="E9" i="4"/>
  <c r="M24" i="1"/>
  <c r="P24" i="1" s="1"/>
  <c r="G17" i="1"/>
  <c r="E14" i="1"/>
  <c r="P5" i="1"/>
  <c r="I10" i="3"/>
  <c r="I36" i="3"/>
  <c r="P26" i="9"/>
  <c r="D26" i="9"/>
  <c r="H25" i="9"/>
  <c r="E26" i="9"/>
  <c r="H22" i="9"/>
  <c r="P26" i="8"/>
  <c r="H25" i="8"/>
  <c r="E26" i="8"/>
  <c r="H22" i="8"/>
  <c r="H24" i="8"/>
  <c r="H23" i="8"/>
  <c r="M25" i="1"/>
  <c r="P25" i="1" s="1"/>
  <c r="M23" i="1"/>
  <c r="P23" i="1" s="1"/>
  <c r="G16" i="1"/>
  <c r="H16" i="1"/>
  <c r="E25" i="1"/>
  <c r="G4" i="1"/>
  <c r="H4" i="1"/>
  <c r="H5" i="1"/>
  <c r="D25" i="1"/>
  <c r="G8" i="1"/>
  <c r="H8" i="1"/>
  <c r="G6" i="1"/>
  <c r="H6" i="1"/>
  <c r="C59" i="3"/>
  <c r="H8" i="4" l="1"/>
  <c r="G8" i="4"/>
  <c r="H9" i="4"/>
  <c r="G9" i="4"/>
  <c r="F14" i="4"/>
  <c r="H14" i="4" s="1"/>
  <c r="E22" i="1"/>
  <c r="H22" i="1" s="1"/>
  <c r="F13" i="4"/>
  <c r="H13" i="4" s="1"/>
  <c r="H24" i="1"/>
  <c r="H13" i="1"/>
  <c r="G13" i="1"/>
  <c r="M26" i="1"/>
  <c r="P26" i="1" s="1"/>
  <c r="D26" i="1"/>
  <c r="H14" i="1"/>
  <c r="E23" i="1"/>
  <c r="H23" i="1" s="1"/>
  <c r="G14" i="1"/>
  <c r="H26" i="9"/>
  <c r="H26" i="8"/>
  <c r="H25" i="1"/>
  <c r="E26" i="1" l="1"/>
  <c r="H26" i="1" s="1"/>
  <c r="C58" i="3" l="1"/>
  <c r="D1" i="4"/>
  <c r="B4" i="4" s="1"/>
  <c r="G22" i="8" l="1"/>
  <c r="G25" i="8"/>
  <c r="G24" i="8"/>
  <c r="G23" i="8"/>
  <c r="N25" i="9"/>
  <c r="O25" i="9" s="1"/>
  <c r="N23" i="9"/>
  <c r="O23" i="9" s="1"/>
  <c r="G25" i="9"/>
  <c r="G23" i="9"/>
  <c r="N26" i="9"/>
  <c r="O26" i="9" s="1"/>
  <c r="N24" i="9"/>
  <c r="O24" i="9" s="1"/>
  <c r="N22" i="9"/>
  <c r="O22" i="9" s="1"/>
  <c r="G26" i="9"/>
  <c r="G24" i="9"/>
  <c r="G22" i="9"/>
  <c r="N25" i="8"/>
  <c r="O25" i="8" s="1"/>
  <c r="N23" i="8"/>
  <c r="O23" i="8" s="1"/>
  <c r="N26" i="8"/>
  <c r="O26" i="8" s="1"/>
  <c r="N24" i="8"/>
  <c r="O24" i="8" s="1"/>
  <c r="N22" i="8"/>
  <c r="O22" i="8" s="1"/>
  <c r="G26" i="8"/>
  <c r="B2" i="11" l="1"/>
  <c r="N25" i="1" l="1"/>
  <c r="O25" i="1" s="1"/>
  <c r="N23" i="1"/>
  <c r="O23" i="1" s="1"/>
  <c r="G25" i="1"/>
  <c r="G23" i="1"/>
  <c r="N26" i="1"/>
  <c r="O26" i="1" s="1"/>
  <c r="N24" i="1"/>
  <c r="O24" i="1" s="1"/>
  <c r="N22" i="1"/>
  <c r="O22" i="1" s="1"/>
  <c r="G26" i="1"/>
  <c r="G24" i="1"/>
  <c r="G22" i="1"/>
  <c r="C18" i="3"/>
  <c r="C19" i="3"/>
  <c r="C5" i="3"/>
  <c r="C32" i="3" l="1"/>
  <c r="C31" i="3"/>
  <c r="C4" i="3"/>
  <c r="A16" i="3" l="1"/>
  <c r="A29" i="3" s="1"/>
  <c r="A42" i="3" s="1"/>
  <c r="A57" i="3" s="1"/>
  <c r="A70" i="3" s="1"/>
  <c r="A83" i="3" s="1"/>
  <c r="A96" i="3" s="1"/>
  <c r="A112" i="3" s="1"/>
  <c r="C44" i="3"/>
  <c r="B2" i="4"/>
  <c r="C17" i="3" l="1"/>
  <c r="C33" i="3" l="1"/>
  <c r="C43" i="3"/>
  <c r="C6" i="3"/>
  <c r="C30" i="3"/>
  <c r="C3" i="3"/>
</calcChain>
</file>

<file path=xl/sharedStrings.xml><?xml version="1.0" encoding="utf-8"?>
<sst xmlns="http://schemas.openxmlformats.org/spreadsheetml/2006/main" count="7169" uniqueCount="890">
  <si>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</si>
  <si>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</si>
  <si>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</si>
  <si>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</si>
  <si>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</si>
  <si>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</si>
  <si>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</si>
  <si>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</si>
  <si>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</si>
  <si>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</si>
  <si>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</si>
  <si>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</si>
  <si>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</si>
  <si>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</si>
  <si>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</si>
  <si>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</si>
  <si>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</si>
  <si>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Reason</t>
  </si>
  <si>
    <t>Status</t>
  </si>
  <si>
    <t>Ready for review</t>
  </si>
  <si>
    <t>Status Table</t>
  </si>
  <si>
    <t>N/A</t>
  </si>
  <si>
    <t>Ready for PLC</t>
  </si>
  <si>
    <t>KPI/days</t>
  </si>
  <si>
    <t>Total Day</t>
  </si>
  <si>
    <t>Ongoing</t>
  </si>
  <si>
    <t>Total Loc Assigned</t>
  </si>
  <si>
    <t>Total LOC Complete</t>
  </si>
  <si>
    <t>Status (%)</t>
  </si>
  <si>
    <t>#</t>
  </si>
  <si>
    <t>Types</t>
  </si>
  <si>
    <t>Assigned ELOCs</t>
  </si>
  <si>
    <t>Completed ELOCs</t>
  </si>
  <si>
    <t>Status (%)
(Completed/Assigned)</t>
  </si>
  <si>
    <t>Total Days</t>
  </si>
  <si>
    <t>External Name</t>
  </si>
  <si>
    <t>PSW
ELOCs</t>
  </si>
  <si>
    <t>ASW
ELOCs</t>
  </si>
  <si>
    <t>1. Completed ELOCs of the team from the beginning of Month (Mar) till Now:</t>
  </si>
  <si>
    <t>2. Completed ELOCs of each member from the beginning of Month (Mar) till Now:</t>
  </si>
  <si>
    <t>3. Risks/ Pending Issues:</t>
  </si>
  <si>
    <t>Risks/ Issues</t>
  </si>
  <si>
    <t>4. Found Defects/ OPLs in Month (Mar):</t>
  </si>
  <si>
    <t>5. Leave Plan (Mar):</t>
  </si>
  <si>
    <t>Defects / OPLs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</si>
  <si>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</si>
  <si>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</si>
  <si>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</si>
  <si>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</si>
  <si>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</si>
  <si>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</si>
  <si>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</si>
  <si>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</si>
  <si>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</si>
  <si>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</si>
  <si>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</si>
  <si>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</si>
  <si>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</si>
  <si>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</si>
  <si>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</si>
  <si>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</si>
  <si>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</si>
  <si>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</si>
  <si>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</si>
  <si>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</si>
  <si>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</si>
  <si>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</si>
  <si>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</si>
  <si>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</si>
  <si>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</si>
  <si>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</si>
  <si>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</si>
  <si>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</si>
  <si>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</si>
  <si>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</si>
  <si>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</si>
  <si>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</si>
  <si>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</si>
  <si>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</si>
  <si>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</si>
  <si>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</si>
  <si>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</si>
  <si>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</si>
  <si>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</si>
  <si>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</si>
  <si>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</si>
  <si>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</si>
  <si>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</si>
  <si>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</si>
  <si>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</si>
  <si>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</si>
  <si>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</si>
  <si>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</si>
  <si>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</si>
  <si>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</si>
  <si>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</si>
  <si>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</si>
  <si>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</si>
  <si>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</si>
  <si>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</si>
  <si>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</si>
  <si>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</si>
  <si>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</si>
  <si>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1.3.115.1</t>
  </si>
  <si>
    <t>1.2.115.1</t>
  </si>
  <si>
    <t>4.15.115.0</t>
  </si>
  <si>
    <t>1.3.115.0</t>
  </si>
  <si>
    <t>6.25.0.6.115.1</t>
  </si>
  <si>
    <t>1.47.115.0</t>
  </si>
  <si>
    <t>1.25.1.1.115.0</t>
  </si>
  <si>
    <t>1.0.1.5.115.0</t>
  </si>
  <si>
    <t>1.0.115.1</t>
  </si>
  <si>
    <t>1.2.5.0.115.1</t>
  </si>
  <si>
    <t>1.2.5.0.115.0</t>
  </si>
  <si>
    <t>1.23.115.1</t>
  </si>
  <si>
    <t>6.2.115.1</t>
  </si>
  <si>
    <t>1.7.115.0</t>
  </si>
  <si>
    <t>6.13.115.0</t>
  </si>
  <si>
    <t>1.0.115.0</t>
  </si>
  <si>
    <t>9.0.115.0</t>
  </si>
  <si>
    <t>1.1.115.2</t>
  </si>
  <si>
    <t>1.0.104.4.115.0</t>
  </si>
  <si>
    <t>4.2.115.6</t>
  </si>
  <si>
    <t>1.1.115.1</t>
  </si>
  <si>
    <t>MT_016</t>
  </si>
  <si>
    <t>MT_017</t>
  </si>
  <si>
    <t>MT_018</t>
  </si>
  <si>
    <t>MT_020</t>
  </si>
  <si>
    <t>MT_021</t>
  </si>
  <si>
    <t>MT_022</t>
  </si>
  <si>
    <t>MT_024</t>
  </si>
  <si>
    <t>MT_027</t>
  </si>
  <si>
    <t>MT_028</t>
  </si>
  <si>
    <t>MT_029</t>
  </si>
  <si>
    <t>MT_030</t>
  </si>
  <si>
    <t>MT_032</t>
  </si>
  <si>
    <t>MT_033</t>
  </si>
  <si>
    <t>MT_034</t>
  </si>
  <si>
    <t>MT_035</t>
  </si>
  <si>
    <t>MT_036</t>
  </si>
  <si>
    <t>MT_038</t>
  </si>
  <si>
    <t>MT_041</t>
  </si>
  <si>
    <t>MT_042</t>
  </si>
  <si>
    <t>MT_045</t>
  </si>
  <si>
    <t>MT_048</t>
  </si>
  <si>
    <t>MT_050</t>
  </si>
  <si>
    <t>MT_051</t>
  </si>
  <si>
    <t>MT_052</t>
  </si>
  <si>
    <t>MT_053</t>
  </si>
  <si>
    <t>MT_054</t>
  </si>
  <si>
    <t>MT_055</t>
  </si>
  <si>
    <t>MT_056</t>
  </si>
  <si>
    <t>MT_057</t>
  </si>
  <si>
    <t>MT_058</t>
  </si>
  <si>
    <t>MT_059</t>
  </si>
  <si>
    <t>MT_060</t>
  </si>
  <si>
    <t>MT_061</t>
  </si>
  <si>
    <t>MT_062</t>
  </si>
  <si>
    <t>MT_064</t>
  </si>
  <si>
    <t>MT_065</t>
  </si>
  <si>
    <t>MT_066</t>
  </si>
  <si>
    <t>MT_069</t>
  </si>
  <si>
    <t xml:space="preserve">PSA_PHEVv1_81ASW_10PSW </t>
  </si>
  <si>
    <t>PSA_Gen9_3_CarbonB3_PHEVv1_AscetDB</t>
  </si>
  <si>
    <t>GRCTrigger_Hold_to_Deactivate</t>
  </si>
  <si>
    <t>GRC_DeactivationStrategy</t>
  </si>
  <si>
    <t>cal_velocity_check</t>
  </si>
  <si>
    <t>CDD_FxGradLimGenerator</t>
  </si>
  <si>
    <t>StrategyCase2Mode_ESPhybrid</t>
  </si>
  <si>
    <t>ESPhybrid_StateMachine</t>
  </si>
  <si>
    <t>ESPhevX_QPrecontrol</t>
  </si>
  <si>
    <t>Dy_PCA_StandbyRamp_Arbitrator</t>
  </si>
  <si>
    <t>DBR_SF_Init_DebugData</t>
  </si>
  <si>
    <t>DBR_ControllerIntervention_HydBraking</t>
  </si>
  <si>
    <t>PressureLimiter_pGradLim</t>
  </si>
  <si>
    <t>CRB_ValidWheels</t>
  </si>
  <si>
    <t>CRB_StabilityMargin_Gradient</t>
  </si>
  <si>
    <t>CRB_StabilityMargin_Delay</t>
  </si>
  <si>
    <t>CRB_FbHydTargetDeadZone</t>
  </si>
  <si>
    <t>VehControl_Axle</t>
  </si>
  <si>
    <t>VLC_MPropwTrqConv_AP</t>
  </si>
  <si>
    <t>VLC_FxTarPTStatProp_AP</t>
  </si>
  <si>
    <t>Dy_CPK4_VLCAP_AxCtrlLimGradFx</t>
  </si>
  <si>
    <t>Psa_TCSPlus_TakeOffModeReq</t>
  </si>
  <si>
    <t>Psa_HADC_DTStateMMotCondition</t>
  </si>
  <si>
    <t>Pata_PassivRegler_Dy</t>
  </si>
  <si>
    <t>Pata_ModeSelectionOutput_Dy</t>
  </si>
  <si>
    <t>Pata_ModeEspNormalSport_EOR_Dy</t>
  </si>
  <si>
    <t>Pata_ModeEspNormalSport_Dy</t>
  </si>
  <si>
    <t>Pata_ModeEspNormal_Dy</t>
  </si>
  <si>
    <t>Pata_ModeASRPassiv_EOR_Dy</t>
  </si>
  <si>
    <t>Pata_ModeASRPassiv_Dy</t>
  </si>
  <si>
    <t>Pata_HMI_Interface_Dy</t>
  </si>
  <si>
    <t>Pata_ButtonPushed_Dy</t>
  </si>
  <si>
    <t>Dy_TCSPlus_Total_Max</t>
  </si>
  <si>
    <t>Dy_TCSPlus_SelectorDSM</t>
  </si>
  <si>
    <t>Dy_TCSPlus_ModeManagement</t>
  </si>
  <si>
    <t>Dy_CPK_AxRoadSlopeinDrivingDirectionProcessing</t>
  </si>
  <si>
    <t>CDD_nPumoLimitFix</t>
  </si>
  <si>
    <t>CDD_AXCMinLimdFxActuatorEna</t>
  </si>
  <si>
    <t>BEO_Accumulator</t>
  </si>
  <si>
    <t>T501</t>
  </si>
  <si>
    <t>T500</t>
  </si>
  <si>
    <t>T502</t>
  </si>
  <si>
    <t>OK</t>
  </si>
  <si>
    <t>NG</t>
  </si>
  <si>
    <t>Toy_PtsMessageCounter</t>
  </si>
  <si>
    <t>Toy_PtsSignalFilterInterpol</t>
  </si>
  <si>
    <t>Toyota_SspWss_MPropQualifier</t>
  </si>
  <si>
    <t>TOY_403B_MPT2_Integration37</t>
  </si>
  <si>
    <t>MT_008</t>
  </si>
  <si>
    <t>MT_009</t>
  </si>
  <si>
    <t>MT_010</t>
  </si>
  <si>
    <t>T02</t>
  </si>
  <si>
    <t xml:space="preserve">Halamani Prabhu (RBEI/ESJ-ATO) </t>
  </si>
  <si>
    <t>CSMosarASWMainstream93__TMC_403B_MPT2</t>
  </si>
  <si>
    <t>9 Data set</t>
  </si>
  <si>
    <t>ASW: 130 ELOCs</t>
  </si>
  <si>
    <t>Param2D Can't cover 100% C0/C1/MCDC</t>
  </si>
  <si>
    <t>NA</t>
  </si>
  <si>
    <t>None MCDC</t>
  </si>
  <si>
    <t>1 TC False output result is undefine</t>
  </si>
  <si>
    <t xml:space="preserve">Can't cover full MCDC at line #45. Because methods Ps_Switcher.calc(Slope,TCS_ParameterSet) and Ps_Switcher_TakeOff.calc(TCS_ParameterSet) isn't call in true case at line#42. =&gt; Ps_Switcher_TakeOff.Ps_TakeOff_AbsMDif_FA_Thr() always equal to zero.  </t>
  </si>
  <si>
    <t>none MCDC</t>
  </si>
  <si>
    <t>2 dataset: init, calc</t>
  </si>
  <si>
    <t>cannot cover false case at line 43:  (self-&gt;TCSPlus_DamageCounter_Value-&gt;val &lt;= (uint32)5999976U</t>
  </si>
  <si>
    <t>2 dataset</t>
  </si>
  <si>
    <t>Can't cover case default at line #79. Because switch (CRB_RollerBenchMode) at line #9 is full case for variable CRB_RollerBenchMode. None MCDC</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</si>
  <si>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</si>
  <si>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</si>
  <si>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</si>
  <si>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</si>
  <si>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</si>
  <si>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</si>
  <si>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</si>
  <si>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</si>
  <si>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Okahiro Kosuke (CC-AS/ESJ4-JP), Pham Thanh Hai (RBVH/EAS23, CC-AS/ESJ4-JP)</t>
  </si>
  <si>
    <t>CTRL_PadWearAdjustmentHandler</t>
  </si>
  <si>
    <t>AnregHAAbregHA</t>
  </si>
  <si>
    <t>Controller_Gain_evGi</t>
  </si>
  <si>
    <t>FilterCoefficientB_UnbrakedCase</t>
  </si>
  <si>
    <t>MzPotentialDeZo</t>
  </si>
  <si>
    <t>VDC_ETR_UndersteeringCoefficient</t>
  </si>
  <si>
    <t>ConditionForReleaseOfUndersteeringControl</t>
  </si>
  <si>
    <t>DetectionOfPulledSteering</t>
  </si>
  <si>
    <t>FilterCoefficientA_BrakedCase</t>
  </si>
  <si>
    <t>FilterCoefficientA_UnbrakedCase</t>
  </si>
  <si>
    <t>FilterCoefficientsBrakedCase</t>
  </si>
  <si>
    <t>LimitForDecreasingSteeringAngle</t>
  </si>
  <si>
    <t>LimitForIncreasingSteeringAngle</t>
  </si>
  <si>
    <t>LoadTransferMzControl</t>
  </si>
  <si>
    <t>MaxTotalForceDriver</t>
  </si>
  <si>
    <t>TargetSlipBase</t>
  </si>
  <si>
    <t>TotalForceSafety</t>
  </si>
  <si>
    <t>YawRateMax</t>
  </si>
  <si>
    <t>FHI_Pata_HMI_Interface</t>
  </si>
  <si>
    <t>FHI_Pata_ModeSelectionOutput</t>
  </si>
  <si>
    <t>Subaru_Pata_EnvironmentVariables</t>
  </si>
  <si>
    <t>Subaru_Pata_ModeSupperXmode1</t>
  </si>
  <si>
    <t>Subaru_Pata_ModeSupperXmode2</t>
  </si>
  <si>
    <t>Subaru_Pata_VDCbuzzer</t>
  </si>
  <si>
    <t>Subaru_VehicleDynamicModeSelection</t>
  </si>
  <si>
    <t>DIA_MonitoringDeactivation_FHI</t>
  </si>
  <si>
    <t>STM_FeatureDeactivation_FHI</t>
  </si>
  <si>
    <t>1.8.140.0</t>
  </si>
  <si>
    <t>1.1.140.1</t>
  </si>
  <si>
    <t>8.5.140.1</t>
  </si>
  <si>
    <t>4.3.140.0</t>
  </si>
  <si>
    <t>8.3.140.1</t>
  </si>
  <si>
    <t>8.1.140.0</t>
  </si>
  <si>
    <t>1.5.140.1</t>
  </si>
  <si>
    <t>8.2.140.0</t>
  </si>
  <si>
    <t>8.4.140.1</t>
  </si>
  <si>
    <t>8.1.140.1</t>
  </si>
  <si>
    <t>8.2.140.1</t>
  </si>
  <si>
    <t>9.0.140.0</t>
  </si>
  <si>
    <t>8.0.140.1</t>
  </si>
  <si>
    <t>2.0.0.1</t>
  </si>
  <si>
    <t>1.0</t>
  </si>
  <si>
    <t>1.1.0.1</t>
  </si>
  <si>
    <t>1.0.0.2</t>
  </si>
  <si>
    <t>1.1.0.4</t>
  </si>
  <si>
    <t>[UUID _5ZqNAENOEea778p6_nyRsA]</t>
  </si>
  <si>
    <t>[UUID _5bKo4ENOEea778p6_nyRsA]</t>
  </si>
  <si>
    <t>rb.as.ms.f30.app.asw.custtarball</t>
  </si>
  <si>
    <t>rb.as.ms.f30.dsmpr</t>
  </si>
  <si>
    <t>SBR_ESP9_3_Gxx_SIA_Dev5_GA9W_BL03</t>
  </si>
  <si>
    <t>Total</t>
  </si>
  <si>
    <t>Judge Total KPI</t>
  </si>
  <si>
    <t>Duration</t>
  </si>
  <si>
    <t>MT_Needed</t>
  </si>
  <si>
    <t>MT_Number</t>
  </si>
  <si>
    <t>UT_055</t>
  </si>
  <si>
    <t>UT_058</t>
  </si>
  <si>
    <t>MT_013</t>
  </si>
  <si>
    <t>MT_040</t>
  </si>
  <si>
    <t>MT_043</t>
  </si>
  <si>
    <t>MT_046</t>
  </si>
  <si>
    <t>MT_047</t>
  </si>
  <si>
    <t>MT_063</t>
  </si>
  <si>
    <t>MT_067</t>
  </si>
  <si>
    <t>MT_071</t>
  </si>
  <si>
    <t>MT_072</t>
  </si>
  <si>
    <t>MT_075</t>
  </si>
  <si>
    <t>MT_076</t>
  </si>
  <si>
    <t>MT_077</t>
  </si>
  <si>
    <t>MT_078</t>
  </si>
  <si>
    <t>MT_079</t>
  </si>
  <si>
    <t>UT_055_DIA_MonitoringDeactivation_FHI_BB99433</t>
  </si>
  <si>
    <t>UT_058_STM_FeatureDeactivation_FHI_BB99433</t>
  </si>
  <si>
    <t>rb.as.core.app.asw.apbmi.host</t>
  </si>
  <si>
    <t>rb.as.core.app.asw.vdc.vdcwaddons</t>
  </si>
  <si>
    <t>How to fill status</t>
  </si>
  <si>
    <t>Status: Passed/Failed</t>
  </si>
  <si>
    <t>Test_Result: Ready for review</t>
  </si>
  <si>
    <t>Nguyen Trung Hieu</t>
  </si>
  <si>
    <t>Nguyen Tai Hau</t>
  </si>
  <si>
    <t>Nguyen Duy Bang</t>
  </si>
  <si>
    <t>Luu Cong Dac</t>
  </si>
  <si>
    <t>RBVar_VariantHandling_FHI</t>
  </si>
  <si>
    <t>[UUID _mMRKYD0UEeaEcLwvmBdEmA]</t>
  </si>
  <si>
    <t>UT_048</t>
  </si>
  <si>
    <t>UT_048_RBVar_VariantHandling_FHI_BB99433</t>
  </si>
  <si>
    <t>T200</t>
  </si>
  <si>
    <t>T201</t>
  </si>
  <si>
    <t>T202</t>
  </si>
  <si>
    <t>T203</t>
  </si>
  <si>
    <t>rb.as.ms.f30.app.dsm</t>
  </si>
  <si>
    <t>CSMosarASWMainstream93_SUB_Gx9_BL01</t>
  </si>
  <si>
    <t>Param1D, Param2D can't cover full C0/C1</t>
  </si>
  <si>
    <t>- Param2D can not cover 100% coverage
- anreguha () return can not greater than 2 due to limit assignment by formula and range value of "l_vGiHA", "P_vGiduM" from 0 to 1</t>
  </si>
  <si>
    <t>Line 17, 21: can not cover because limit assignment of dMz at line 17 =&gt; never greater than 0</t>
  </si>
  <si>
    <t>- Line 215: if(RBFS_Project == RBFS_Project_GxxiBwithEyesightJPN || RBFS_Project == RBFS_Project_GxxiBwithoutEyesightJPN) is never true because it is fixed by:
#define RBFS_Project                           RBFS_Project_GB8withEyesight
- Line 598: if(RBFS_iBooster == RBFS_iBooster_Yes) is never false because it is fixed by:
#define RBFS_iBooster                          RBFS_iBooster_No
- Line 623: if(RBFS_iBooster == RBFS_iBooster_No) is never false because it is fixed by:
#define RBFS_iBooster                          RBFS_iBooster_No
- Line 651: if(RBFS_Vehicle == RBFS_Vehicle_Exx) is never true because it is fixed by:
#define RBFS_Vehicle                           RBFS_Vehicle_Gxx
- Line 678: if(RBFS_Vehicle == RBFS_Vehicle_Gxx) is never false because it is fixed by:
#define RBFS_Vehicle                           RBFS_Vehicle_Gxx</t>
  </si>
  <si>
    <t>Delta&gt;New</t>
  </si>
  <si>
    <t>New</t>
  </si>
  <si>
    <t>Delta</t>
  </si>
  <si>
    <t>MainstreamFHI</t>
  </si>
  <si>
    <t>cannot cover default of switch case at line 150</t>
  </si>
  <si>
    <t xml:space="preserve"> cannot at input to cover 4 cases :
(uint32)self-&gt;CovGiSon-&gt;val * (uint32)self-&gt;P_CocvGiSoFAn1-&gt;val &gt;   (uint32)131072U at line 24,36
(uint16)_t1sint32 &gt; (uint16)2048 at line 62, 66</t>
  </si>
  <si>
    <t>at line 33, cannot cover  P_CovGiSoFil_xmode-&gt;val &gt; (uint16)2048</t>
  </si>
  <si>
    <t>Line 46: dMzDeZoF += P_CoFiltDMzPot*( 2*l_dMzDeZo-dMzDeZoF); 
=&gt; Unable cover out range max, min. Because it is a filter and the range of P_CoFiltDMzPot is from 0 to 0.95</t>
  </si>
  <si>
    <t>8h00</t>
  </si>
  <si>
    <t>17h00</t>
  </si>
  <si>
    <t>15h00</t>
  </si>
  <si>
    <t>Dy_BrakingInProgress</t>
  </si>
  <si>
    <t>WQ_WSS_Inpl</t>
  </si>
  <si>
    <t>WQ_vRadPPPmaxmin</t>
  </si>
  <si>
    <t>WQ_Norm_Whl</t>
  </si>
  <si>
    <t>WF_WheelvMinIdent</t>
  </si>
  <si>
    <t>WF_LiftedWheel</t>
  </si>
  <si>
    <t>WF_CalcFRad</t>
  </si>
  <si>
    <t>vxaxToOffKorrStdBeob</t>
  </si>
  <si>
    <t>TransVF20ms</t>
  </si>
  <si>
    <t>Trans_vyMin</t>
  </si>
  <si>
    <t>Trans_vRadLam</t>
  </si>
  <si>
    <t>Trans_vRadFreiLamVA</t>
  </si>
  <si>
    <t>Trans_vRadFreiLamHA</t>
  </si>
  <si>
    <t>Trans_vGiRadst</t>
  </si>
  <si>
    <t>SpecialSituationsRad</t>
  </si>
  <si>
    <t>SM_TempIdentification</t>
  </si>
  <si>
    <t>SM_CalcvFzRefHilfKorr</t>
  </si>
  <si>
    <t>SM_CalcaxToOff</t>
  </si>
  <si>
    <t>SM_CalcaxToFR</t>
  </si>
  <si>
    <t>SM_ABSbeiBlsW</t>
  </si>
  <si>
    <t>SM_AbhaengT</t>
  </si>
  <si>
    <t>SlopeEstimation</t>
  </si>
  <si>
    <t>Set_vFzRef_LastValid</t>
  </si>
  <si>
    <t>REFQualifierOut</t>
  </si>
  <si>
    <t>RefIniState</t>
  </si>
  <si>
    <t>REF_WSS_LWSinCos</t>
  </si>
  <si>
    <t>REF_Reconfiguration</t>
  </si>
  <si>
    <t>REF_Reconfig_Whl</t>
  </si>
  <si>
    <t>OffRoadAufseilSusp</t>
  </si>
  <si>
    <t>NoSignals2Log</t>
  </si>
  <si>
    <t>ISWheels</t>
  </si>
  <si>
    <t>Extra_vRadFreiLamRad</t>
  </si>
  <si>
    <t>Extra_vRad1NoInp</t>
  </si>
  <si>
    <t>Extra_vFzgF</t>
  </si>
  <si>
    <t>Extra_vFzg</t>
  </si>
  <si>
    <t>Extra_Rol</t>
  </si>
  <si>
    <t>Extra_RadSorterKorrektor</t>
  </si>
  <si>
    <t>Extra_RadSorter</t>
  </si>
  <si>
    <t>Extra_CalcvRadFreiLam</t>
  </si>
  <si>
    <t>DriveSituationIdentification</t>
  </si>
  <si>
    <t>CalcStuetz</t>
  </si>
  <si>
    <t>Bremsschlupf</t>
  </si>
  <si>
    <t>Backup2Log</t>
  </si>
  <si>
    <t>AnzABS</t>
  </si>
  <si>
    <t>ABS2REF_Confidence</t>
  </si>
  <si>
    <t>WF_VDCActive</t>
  </si>
  <si>
    <t>STM_REF_Adapter</t>
  </si>
  <si>
    <t>SpecialSituationsFahrzeug</t>
  </si>
  <si>
    <t>RMIstatemachine</t>
  </si>
  <si>
    <t>DySosOut_WheelMappingIn</t>
  </si>
  <si>
    <t>DySosEst_tFZRVAL</t>
  </si>
  <si>
    <t>DySosEst_LwCrit</t>
  </si>
  <si>
    <t>DySosEst_LoadTransferBdOn</t>
  </si>
  <si>
    <t>DySosEst_LMSusp</t>
  </si>
  <si>
    <t>DySosEst_KovGiSoRed</t>
  </si>
  <si>
    <t>DySosEst_DSignLw</t>
  </si>
  <si>
    <t>DySosEst_DBetaILw</t>
  </si>
  <si>
    <t>DySosCon_dMzDySosHMueFilter</t>
  </si>
  <si>
    <t>DySosCon_dMzDySosHMueEnd</t>
  </si>
  <si>
    <t>DySosCon_anreguhaRed</t>
  </si>
  <si>
    <t>BodyAndSideSlipAngleIntegration_Dy</t>
  </si>
  <si>
    <t>ax_Kalman</t>
  </si>
  <si>
    <t>TCSTar_Opt_TireStiffness_Est</t>
  </si>
  <si>
    <t>TCSbaseLib_BreakPoint</t>
  </si>
  <si>
    <t>TCS_Tar_Opt_slTarMyExtd</t>
  </si>
  <si>
    <t>TCS_Tar_Opt_ORD_CoslOffroad</t>
  </si>
  <si>
    <t>TCS_Tar_CoslTarTCS</t>
  </si>
  <si>
    <t>TCS_Tar_CoPropRed</t>
  </si>
  <si>
    <t>TCS_Sig_Perm_Axe_SlipSignals</t>
  </si>
  <si>
    <t>TCS_Sig_axModellError</t>
  </si>
  <si>
    <t>2.2</t>
  </si>
  <si>
    <t>8.0</t>
  </si>
  <si>
    <t>4.0</t>
  </si>
  <si>
    <t>5.0</t>
  </si>
  <si>
    <t>5.0.115.0</t>
  </si>
  <si>
    <t>6.2.115.2</t>
  </si>
  <si>
    <t>2.0</t>
  </si>
  <si>
    <t>2.1</t>
  </si>
  <si>
    <t>4.1</t>
  </si>
  <si>
    <t>3.2</t>
  </si>
  <si>
    <t>4.3</t>
  </si>
  <si>
    <t>4.0.115.0</t>
  </si>
  <si>
    <t>4.0.116.0</t>
  </si>
  <si>
    <t>Delta/New</t>
  </si>
  <si>
    <t>MT_031</t>
  </si>
  <si>
    <t>MT_037</t>
  </si>
  <si>
    <t>MT_039</t>
  </si>
  <si>
    <t>MT_044</t>
  </si>
  <si>
    <t>MT_049</t>
  </si>
  <si>
    <t>MT_068</t>
  </si>
  <si>
    <t>MT_070</t>
  </si>
  <si>
    <t>MT_073</t>
  </si>
  <si>
    <t>MT_074</t>
  </si>
  <si>
    <t>MT_080</t>
  </si>
  <si>
    <t>MT_081</t>
  </si>
  <si>
    <t>MT_082</t>
  </si>
  <si>
    <t>MT_083</t>
  </si>
  <si>
    <t>MT_084</t>
  </si>
  <si>
    <t>MT_085</t>
  </si>
  <si>
    <t>MT_086</t>
  </si>
  <si>
    <t>MT_087</t>
  </si>
  <si>
    <t>MT_088</t>
  </si>
  <si>
    <t>MT_089</t>
  </si>
  <si>
    <t>MT_090</t>
  </si>
  <si>
    <t>MT_091</t>
  </si>
  <si>
    <t>MT_092</t>
  </si>
  <si>
    <t>MT_093</t>
  </si>
  <si>
    <t>MT_094</t>
  </si>
  <si>
    <t>MT_095</t>
  </si>
  <si>
    <t>MT_096</t>
  </si>
  <si>
    <t>MT_097</t>
  </si>
  <si>
    <t>CW10_EMP2V3_SmartCar_MHEV_381</t>
  </si>
  <si>
    <t xml:space="preserve">Can't cover case "vGiAct = 0" at line #47. Because of at line #34 "vGiAct = vGiAct.max(vGiMin);" the variable vGiMin is always greater than zero, and min of Thres_vxMin value is 1.
Can't cover out max assignment to YawRateRatio at line #55. Because of max value of P_FilCoYawRateRatio is 1, and max value of YawRateRatioRaw is 10. </t>
  </si>
  <si>
    <t>Can't cover case assignment to tmp2 greater than zero at line #12. Because of the variable DAbsLw &lt; 0 and temp1 is always greater zero
Can't cover case assignment to tmp2 greater than zero at line #18. Because of the variable DAbsLw &lt; 0 and temp1 is always greater zero.
Param1D, Param2D can't cover full C0/C1/MCDC</t>
  </si>
  <si>
    <t>Can't cover case  assignment to CovGiSob less than zero at line #23. Because of at line #3 "DvGiMax = (DvGiF.abs()).min(P_DvGiFAbhStabMax.getAt(mueF));" =&gt; DvGiMax always less than or qual to P_DvGiFAbhStabMax.getAt(mueF)
Param1D, Param2D can't cover full C0/C1</t>
  </si>
  <si>
    <t>Param1D can't cover full C0/C1.
Can't cover assignment to vGiSoAckUAckUF out range max and min at line #8. Because max value of P_CoAckuUeberzieh is qual to 1.
Can't cover check AbsvGiSoAckUAckUF == 0 at line#19. Because when condition at line #15 true, AbsvGiSoAckUAckUF &gt; 0
Can't cover assignment to Ueberz out range max at line #19. Because "vGiSoBegRohmod &lt; AbsvGiSoAckUAckUF"</t>
  </si>
  <si>
    <t>CovGiSon is never less than 0, and greater than 1 because:
+ Limit assignment for CovGiSon: [0; 1.0]</t>
  </si>
  <si>
    <t>Time</t>
  </si>
  <si>
    <t>days</t>
  </si>
  <si>
    <t>Assigned
ELOCs</t>
  </si>
  <si>
    <t>Completed
ELOCs</t>
  </si>
  <si>
    <t>Effort
(days)</t>
  </si>
  <si>
    <t>Actual Effort
(days)</t>
  </si>
  <si>
    <t>Loc Assigned</t>
  </si>
  <si>
    <t>Brief Description:</t>
  </si>
  <si>
    <t>9h00</t>
  </si>
  <si>
    <t>Ontime</t>
  </si>
  <si>
    <t>Can't cover assignment to vGiSoAckUAckUF out range max, min at line #8. Because when vGiSoAckUAckUF reach max value than P_CoAckuzvGiSo equal to 1. =&gt; vGiSoAckUAckUF(max) = vGiSoAckUF(max) = 4
Can’t cover  assignment to Ueberz out range max at line #19. Because "vGiSoBegRohmod &lt; AbsvGiSoAckUAckUF"</t>
  </si>
  <si>
    <t>cannot cover because of param1D and true case (slRadSoV &gt; 1024) at line 13
explain: slRadSoV   = (slRadSoV.min(P_slRadSoVMax)).max(0); // P_slRadSoVMax max = 891</t>
  </si>
  <si>
    <t>12h00</t>
  </si>
  <si>
    <t>Duration (Plan)</t>
  </si>
  <si>
    <t>Duration (Actual)</t>
  </si>
  <si>
    <t>Contact point: EXTERNAL Sooraj L Sankaranarayanan (Brigosha, RBEI/PJ-OM-NE2-VS); CC: Bincy Francis (RBEI/ESE31) ; Priyadarshini Sharma (RBEI/ESE31) ; Jawahar Ravichandran (RBEI/ESE31)</t>
  </si>
  <si>
    <t>Contact Point: EXTERNAL Sooraj L Sankaranarayanan (Brigosha, RBEI/PJ-OM-NE2-VS); CC: Bincy Francis (RBEI/ESE31) ; Priyadarshini Sharma (RBEI/ESE31) ; Jawahar Ravichandran (RBEI/ESE31</t>
  </si>
  <si>
    <t>[No1]: #Line 112 never false because when B_Goto_PrefillFromAcc is false, but B_Goto_PrefillFromAcc is false, # Line 99 will never reached =&gt; # Line 108 will false
[No2]: #Line 127, condition (state &lt;= ESPhybrid_State_PressCntrlBoth)  is never false because state must be greater than 15, therefore we have to control through condtion at #Line 112. However, #Line 112 is never false, so the variable state always less than value 15.
[No3]: Line 134, Line 135: condition "PressureControlEnable_Evra" is never reach effective false due to when state = 13, pTarget_FA must be value "0" and B_OverpResidual_TargetFA must be value "TRUE". However the limit assignment for pResidual_Hys_Estimated is [0-12800] so "B_OverpResidual_TargetFA" is always reset to value "FALSE"
[No4]: Line 20: pResidual_Hys_Estimated=pResidual_Estimated-pSmall is never reached overflow of the MAX value
+ pSmall = ESPhevX_pSmall = 0.5 (non-calib)
+ Limit assignment pResidual_Hys_Estimated: [0;12800]; pResidual_Estimated: [-640;12800]; pSmall: [-640;12800]
Therefore, the calcualation of "pResidual_Estimated-pSmall" is alway less than the MAX value of pResidual_Hys_Estimated</t>
  </si>
  <si>
    <t>Variable debugData always initialized with value "0" at line 6. Therefore, the output of variable debugData is never reached value MAX from line 12 to line 19</t>
  </si>
  <si>
    <t>Can't cover case min assignment for variable pTgtGradlim_RA_loc at line#102. Because of min value of Qlim_RA_loc is equal to zero.
Can't cover case min assignment for variable delta_p_fine_RA at line#103. Because of min value of pTgtGradlim_RA_loc is equal to zero.
Can't cover cases min max assignment for variable delta_p_fine_FA at line #113 and line #114. Because of " delta_p_fine_FA - ReImplement2Pressure_normal(delta_p_fine_FA)" is always less then max value of delta_p_fine_FA and greater than min value of delta_p_fine_FA.
Can't cover case max assignment for variable cCir at line#122. Because of max value of "cCir = (cFA * cRA) / (cRA + cFA);" when cFA = cRA; =&gt; max = cFA/2=cRA/2 &lt; max of cCir.
Param1D can't cover full C0/C1/MCDC</t>
  </si>
  <si>
    <t>Can't cover full MCDC at line #16. 
Because of C_TimeLowGradient = max(CRB_LowGradientTimeABS_FA,CRB_dT), cant create case "crb_sm_GradTimer &gt; C_TimeLowGradient &amp;&amp; crb_sm_GradTimer == C_dTCycle". 
None MCDC</t>
  </si>
  <si>
    <t>Param2D Cant cover 100% for C0/C1</t>
  </si>
  <si>
    <t>Param1D can't cover full C0/C1/MCDC.
Can't cover out max min assignment to varable VlcFxTarPTStatProp at line #20. Because of local variable VlcFxTarPTStatPropModel can't reach max or min value.
Can't cover true case at line #24 and line #28. Because when condition at line #22 is true then variable VlcFxTarPTStatPropModel always equal to varable VlcFxTarPTStatProp.</t>
  </si>
  <si>
    <t>cannot cover MCDC at line 47:   Vx &gt; self-&gt;C_SpeedThreshold_ASRPassivMotricity-&gt;val &lt;&lt; 3), because it is depended on line 36: Vx &lt;= self-&gt;C_SpeedThreshold_ASRPassivMotricity-&gt;val &lt;&lt; 3)
cannot cover MCDA at line 99, 110, 121: Vx &lt;= self-&gt;C_SpeedThreshold_ASRPlus-&gt;val &lt;&lt; 3), because it is depended on line 87:   Vx &lt;= self-&gt;C_SpeedThreshold_ASRPassiv-&gt;val &lt;&lt; 3)</t>
  </si>
  <si>
    <t>canot cover:
case false at line 17: _t1sint32 &gt;= (sint32)-125829120) ? (_t1sint32 &lt;= (sint32)125829120L) with   _t1sint32 = (sint32)AxRoadSlopeF * self-&gt;l_LwCosMean-&gt;val;
case false at line 26: _t1sint32 &gt;= (sint32)-503316480) ? (_t1sint32 &lt;= (sint32)503316480L with _t1sint32 = (sint32)ay_COG * self-&gt;l_LwSinMean-&gt;val / (sint32)16 * self-&gt;C_Dy_AxRoadSlopeDrvAyCompCoeff-&gt;val;
case false at line 47: _t1sint32 &gt;= (sint32)-30720) with _t1sint32 = (sint32)self-&gt;AxRoadSlopeFinDrivingDirection_axPart-&gt;val + self-&gt;AxRoadSlopeFinDrivingDirection_ayPart-&gt;val</t>
  </si>
  <si>
    <t>cannot cover 100% because of Param1D and case false at line 21: _t1sint32 &lt;= (sint16)2500 with _t1sint32 = self-&gt;CDDnPumoMax-&gt;val + CharTable1_getAt_sint16_sint16_dispatch(self-&gt;C_Dy_CddApNPumoMaxOffset_1D, vVeh, "C_Dy_CddApNPumoMaxOffset_1D.getAtOneD at calc: line #21 in component CDD_nPumoLimitFix::Impl");</t>
  </si>
  <si>
    <t>cannot cover C0,1, MCDC because of param1D and last discistion true at line 11:  !self-&gt;AXCMinLimdFxActuatorEna-&gt;val
because it depend on itself in front of condition :   self-&gt;AXCMinLimdFxActuatorEna-&gt;val = (uint8)(CddAXCActive &amp;&amp; !CddAbsOneWhl &amp;&amp; !ApEmergencyBrake &amp;&amp; CddAxCtrlDev &gt; CharTable1_getAt_uint16_sint16_dispatch(self-&gt;P_CddAxCtrlDevDisableLimActuator_1D, APAStopDist, "P_CddAxCtrlDevDisableLimActuator_1D.getAtOneD at calc: line #9 in component CDD_AXCMinLimdFxActuatorEna::Impl") &amp;&amp; (CdddAxCtrlDev &gt; self-&gt;Loc_CdddAxCtrlDevDisableLimActuatorEna-&gt;val &amp;&amp; self-&gt;AXCMinLimdFxActuatorEna-&gt;val || CdddAxCtrlDev &gt; self-&gt;Loc_CdddAxCtrlDevDisableLimActuatorDis-&gt;val &amp;&amp; !self-&gt;AXCMinLimdFxActuatorEna-&gt;val))</t>
  </si>
  <si>
    <t>- Took 1 days to fix Action Item of Peer Review on 16th Mar, 2020</t>
  </si>
  <si>
    <t>- Different process with COEM team</t>
  </si>
  <si>
    <t>- Lacked 1 person due to surgery, so we do task with 3 person</t>
  </si>
  <si>
    <t>- No comment</t>
  </si>
  <si>
    <t>Delayed</t>
  </si>
  <si>
    <t>Detail:</t>
  </si>
  <si>
    <t>Actual Effort (days)</t>
  </si>
  <si>
    <t>Num of OPLs</t>
  </si>
  <si>
    <t>Num of Defects</t>
  </si>
  <si>
    <t>Conversion Leave Date</t>
  </si>
  <si>
    <t>Effort PSW (days)</t>
  </si>
  <si>
    <t>Effort ASW
(days)</t>
  </si>
  <si>
    <t>Line 11, 17 23, 29: AnzvRadMin++ is never reached max value because variable AnzvRadMin is initialized by value "0" at line 5</t>
  </si>
  <si>
    <t>Can't cover assignment to LOC_delAbhaengT out range max, min at line #11, line #12. Because of range of "(FStuetz - P_FStuetzNull)" is [-0.5; 0.5], and P_KabFStuetz = 1.3, P_KanFStuetz = 0.04
Can’t cover assignment to LOC_delAbhaengT out max, min at line #16. Because of max value of "LOC_AbhaengT - (2*LOC_delAbhaengT)" equal to 4.3, and min value is -0.5.
Can't cover assignment to LOC_delAbhaengT out min value at line#18. Because of min value of "LOC_AbhaengT - (2*LOC_delAbhaengT)" equal to -0.5
Can't cover  assignment to LOC_AbhaengT less than zero to zero at line #21. Because of at line #20 the variable LOC_delAbhaengT always greater than or equal to zero.
Can't cover case LOC_AbhaengT greater than P_AbhaengTmax at line #26, and assignment to AbhaengT out range max. Because of "LOC_delAbhaengT = (LOC_delAbhaengT.min(P_AbhaengTmax)).max(0);" at line #20 =&gt; LOC_delAbhaengT always less than or equal to P_AbhaengTmax.</t>
  </si>
  <si>
    <t>Can't cover check "NrPlausibleWheels-1" == 0 at line #29. Beacause the condition "if (NrPlausibleWheels &gt; 2)" at line #26 is TRUE case.
Can't cover check "NrPlausibleWheels" == 0 at line #33. Beacause the condition "if (NrPlausibleWheels &gt; 0)" at line #5 is TRUE case.
Can't cover  assignment to tvWhlInBand out min value at line #60. Because the condition "if (tvWhlInBand &gt; P_tvWhlDecrement)" at line #59 is TRUE case.</t>
  </si>
  <si>
    <t>Can't cover assignment to NrPlausibleWheels out max value at lines #17, #26, #35, #44. Because NrPlausibleWheels = 0 at line #2.
Can't cover  assignment to vWhl_MeanValid out max value at lines #20, #29, #38, #47. Because "vWhl_MeanValid = 0" at line #5, max value of vF_FL, vF_FR, vF_RL, vF_RR are equal to 100.</t>
  </si>
  <si>
    <t>T_J-001</t>
  </si>
  <si>
    <t>T_J-002</t>
  </si>
  <si>
    <t>T_J-003</t>
  </si>
  <si>
    <t>T_J-004</t>
  </si>
  <si>
    <t>T_J-005</t>
  </si>
  <si>
    <t>T_J-006</t>
  </si>
  <si>
    <t>T_J-007</t>
  </si>
  <si>
    <t>T_J-008</t>
  </si>
  <si>
    <t>T_J-009</t>
  </si>
  <si>
    <t>T_J-010</t>
  </si>
  <si>
    <t>T_J-011</t>
  </si>
  <si>
    <t>T_J-012</t>
  </si>
  <si>
    <t>T_J-013</t>
  </si>
  <si>
    <t>T_J-014</t>
  </si>
  <si>
    <t>T_J-015</t>
  </si>
  <si>
    <t>T_J-016</t>
  </si>
  <si>
    <t>T_J-017</t>
  </si>
  <si>
    <t>T_J-018</t>
  </si>
  <si>
    <t>T_J-019</t>
  </si>
  <si>
    <t>T_J-020</t>
  </si>
  <si>
    <t>T_J-021</t>
  </si>
  <si>
    <t>T_J-022</t>
  </si>
  <si>
    <t>T_J-023</t>
  </si>
  <si>
    <t>T_J-024</t>
  </si>
  <si>
    <t>T_J-025</t>
  </si>
  <si>
    <t>T_J-026</t>
  </si>
  <si>
    <t>T_J-027</t>
  </si>
  <si>
    <t>T_J-028</t>
  </si>
  <si>
    <t>T_J-029</t>
  </si>
  <si>
    <t>T_J-030</t>
  </si>
  <si>
    <t>T_J-031</t>
  </si>
  <si>
    <t>T_J-032</t>
  </si>
  <si>
    <t>T_J-033</t>
  </si>
  <si>
    <t>T_J-034</t>
  </si>
  <si>
    <t>T_J-035</t>
  </si>
  <si>
    <t>T_J-036</t>
  </si>
  <si>
    <t>T_J-037</t>
  </si>
  <si>
    <t>T_J-038</t>
  </si>
  <si>
    <t>T_J-039</t>
  </si>
  <si>
    <t>T_J-040</t>
  </si>
  <si>
    <t>T_J-041</t>
  </si>
  <si>
    <t>T_J-042</t>
  </si>
  <si>
    <t>T_J-043</t>
  </si>
  <si>
    <t>T_J-044</t>
  </si>
  <si>
    <t>T_J-045</t>
  </si>
  <si>
    <t>T_J-046</t>
  </si>
  <si>
    <t>T_J-047</t>
  </si>
  <si>
    <t>T_J-048</t>
  </si>
  <si>
    <t>T_J-049</t>
  </si>
  <si>
    <t>T_J-050</t>
  </si>
  <si>
    <t>T_J-051</t>
  </si>
  <si>
    <t>T_J-052</t>
  </si>
  <si>
    <t>T_J-053</t>
  </si>
  <si>
    <t>T_J-054</t>
  </si>
  <si>
    <t>T_J-055</t>
  </si>
  <si>
    <t>T_J-056</t>
  </si>
  <si>
    <t>T_J-057</t>
  </si>
  <si>
    <t>T_J-058</t>
  </si>
  <si>
    <t>T_J-059</t>
  </si>
  <si>
    <t>T_J-060</t>
  </si>
  <si>
    <t>T_J-061</t>
  </si>
  <si>
    <t>T_J-062</t>
  </si>
  <si>
    <t>T_J-063</t>
  </si>
  <si>
    <t>T_J-064</t>
  </si>
  <si>
    <t>T_J-065</t>
  </si>
  <si>
    <t>T_J-066</t>
  </si>
  <si>
    <t>T_J-067</t>
  </si>
  <si>
    <t>T_J-068</t>
  </si>
  <si>
    <t>T_J-069</t>
  </si>
  <si>
    <t>T_J-070</t>
  </si>
  <si>
    <t>T_J-071</t>
  </si>
  <si>
    <t>T_J-072</t>
  </si>
  <si>
    <t>T_J-073</t>
  </si>
  <si>
    <t>T_J-074</t>
  </si>
  <si>
    <t>T_J-075</t>
  </si>
  <si>
    <t>T_J-076</t>
  </si>
  <si>
    <t>T_J-077</t>
  </si>
  <si>
    <t>T_J-078</t>
  </si>
  <si>
    <t>T_J-079</t>
  </si>
  <si>
    <t>T_J-080</t>
  </si>
  <si>
    <t>T_J-081</t>
  </si>
  <si>
    <t>T_J-082</t>
  </si>
  <si>
    <t>T_J-083</t>
  </si>
  <si>
    <t>T_J-084</t>
  </si>
  <si>
    <t>T_J-085</t>
  </si>
  <si>
    <t>T_J-086</t>
  </si>
  <si>
    <t>T_J-087</t>
  </si>
  <si>
    <t>T_J-088</t>
  </si>
  <si>
    <t>T_J-089</t>
  </si>
  <si>
    <t>T_J-090</t>
  </si>
  <si>
    <t>T_J-091</t>
  </si>
  <si>
    <t>T_J-092</t>
  </si>
  <si>
    <t>T_J-093</t>
  </si>
  <si>
    <t>T_J-094</t>
  </si>
  <si>
    <t>T_J-095</t>
  </si>
  <si>
    <t>T_J-096</t>
  </si>
  <si>
    <t>T_J-097</t>
  </si>
  <si>
    <t>T_J-098</t>
  </si>
  <si>
    <t>T_J-099</t>
  </si>
  <si>
    <t>T_J-100</t>
  </si>
  <si>
    <t>T_J-101</t>
  </si>
  <si>
    <t>T_J-102</t>
  </si>
  <si>
    <t>T_J-103</t>
  </si>
  <si>
    <t>T_J-104</t>
  </si>
  <si>
    <t>T_J-105</t>
  </si>
  <si>
    <t>T_J-106</t>
  </si>
  <si>
    <t>T_J-107</t>
  </si>
  <si>
    <t>T_J-108</t>
  </si>
  <si>
    <t>T_J-109</t>
  </si>
  <si>
    <t>T_J-110</t>
  </si>
  <si>
    <t>T_J-111</t>
  </si>
  <si>
    <t>T_J-112</t>
  </si>
  <si>
    <t>T_J-113</t>
  </si>
  <si>
    <t>T_J-114</t>
  </si>
  <si>
    <t>T_J-115</t>
  </si>
  <si>
    <t>T_J-116</t>
  </si>
  <si>
    <t>T_J-117</t>
  </si>
  <si>
    <t>T_J-118</t>
  </si>
  <si>
    <t>T_J-119</t>
  </si>
  <si>
    <t>T_J-120</t>
  </si>
  <si>
    <t>T_J-121</t>
  </si>
  <si>
    <t>T_J-122</t>
  </si>
  <si>
    <t>T_J-123</t>
  </si>
  <si>
    <t>T_J-124</t>
  </si>
  <si>
    <t>T_J-125</t>
  </si>
  <si>
    <t>T_J-126</t>
  </si>
  <si>
    <t>T_J-127</t>
  </si>
  <si>
    <t>T_J-128</t>
  </si>
  <si>
    <t>T_J-129</t>
  </si>
  <si>
    <t>T_J-130</t>
  </si>
  <si>
    <t>T_J-131</t>
  </si>
  <si>
    <t>T_J-132</t>
  </si>
  <si>
    <t>T_J-133</t>
  </si>
  <si>
    <t>T_J-134</t>
  </si>
  <si>
    <t>T_J-135</t>
  </si>
  <si>
    <t>T_J-136</t>
  </si>
  <si>
    <t>T_J-137</t>
  </si>
  <si>
    <t>T_J-138</t>
  </si>
  <si>
    <t>T_J-139</t>
  </si>
  <si>
    <t xml:space="preserve">Can't cover false case for condition "vRadFreiLamVL &lt;= vRad1NoInp" at line #3. Because "vRad1NoInp =  P_vMinIni" at line #1 and vMinIni = 250 (non calibration). </t>
  </si>
  <si>
    <t>Can't cover case check "P_dTRef == 0" at line #8. Because of imported parameter dTRef = 0.02 (noncalibration)
Can't cover  assignment to LoCaxTo out max, min value at line #8. Because of "LoCaxTo = LoCaxTo.max(-0.4);
LoCaxTo = LoCaxTo.min(0.4);" at line #6, #7 =&gt; range value of LoCaxTo is from -0.4 to 0.4 
Can't cover  assignment to axToF out max, min value at line #10. Because of  imported parameter Fi13 = 0.03 (noncalibration). =&gt; value of axToF at line #10 "axToF += (LoCaxTo - axToF) * P_Fi13;" =&gt; axToF = axToF + (LoCaxTo - axToF)*0.03 = 0.03*LoCaxTo + 0.97*axToF. =&gt; axToF(max) = 0.03*0.4 + 0.97*27 = 26.202;  axToF(min) = -0.03*0.4 + 0.97*(-27) = -26.202;</t>
  </si>
  <si>
    <t>Can't cover case ax &lt; P_axMax, ax &gt; P_axMin at line #20. Because "axGes = axOff + axModell;" at line #2. =&gt; max value of axGes = 27, min value of axGes = -27. imported param axMax = 27, axMin = -27 (noncalibration).
Can't cover  assignment to axF2 out range max, min value at line #21. Because of imported parameter Fi14 = 0.07 (noncalibration) =&gt; "axF2 += (( ax - axF2) * P_Fi14 );" at line #21&lt;=&gt; axF2 = axF2*0.93 + ax*0.07 =&gt; axF2(max) = 0.93*27+0.07*27 = 27; axF2(min) = 0.93*-27+0.07*-27 = -27</t>
  </si>
  <si>
    <t>Can't cover false case check "LOC_Count1 &lt;= 253" at line #11. Because "for (LOC_Count1 = 0; LOC_Count1 &lt;= 3; LOC_Count1++)" at line #11, =&gt; variable LOC_Count1 is from 0 to 3.
Can't cover false case check "LOC_Count2 &lt;= 253" at line #30. Because "for (LOC_Count2 = 0; LOC_Count2 &lt;= 3; LOC_Count2++)" at line #30, =&gt; variable LOC_Count2 is from 0 to 3.</t>
  </si>
  <si>
    <t>Modify estimation effort from 1..615 hour to 4 hour. Confirm by Mr. Hoang</t>
  </si>
  <si>
    <t>[Function calc]
Line 6: axTo = ax*P_dT; can not reached max/min because P_dT is non calib and fixed with value "0.02"
[Function Init]
- Line 7,17, 27, 37 in function Iint: Examplle for LOC_Number_Plaus_FA ++: can not reach max value because it is  initialized with value "0" at line 2, 3
- Line 53, 57, 64, 68, 73: vFzRef = (LOC_vRL+LOC_vRR)/LOC_Number_Plaus_RA can not cover case "LOC_Number_Plaus_RA" is assigned to value "0" because LOC_Number_Plaus_RA and LOC_Number_Plaus_FA is limitted by condition at line 45, 51, 62</t>
  </si>
  <si>
    <t>+ Param1D can not cover C0, C1
+ Line 7: alMin_RA = scale_alRA*alRA_model.getAt(mueS_RA) can not reach out range max or our range min because:
- scale_alRA is non-calib with default value "1"
- Limit assignemt of alRA_model: [-1; 1]</t>
  </si>
  <si>
    <t>Can not compile project, and missing limit assignment. Indian support to fix within 5 hour on 25th Mar, 2020</t>
  </si>
  <si>
    <t>Can't cover assignment to LOC_AnzvRadpKleiner out range max value at lines #4, #5, #6, #7. Because of "LOC_AnzvRadpKleiner = 0;" at line #2</t>
  </si>
  <si>
    <t>Param 1D can't cover full C0/C1
Can't cover case check LOC_SumFRadmod equal to zero at line #33. Because of when condtion "if (LOC_SumFRadmod &gt; SumFRad_Min) " at line #33 TRUE, =&gt; condition "if(LOC_SumFRadmod &gt; SumFRad_Min)" at line #29 TRUE, and imported param SumFRad_Min = 0.01 (noncalibration)
Can't cover  assignment to LOC_FStuetz out range max value at line #40. Because imported parametes alphaFStuetz = 0.7(noncalibration) and EmalphaFStuetz = 0.3(noncalibration), max value of LOC_FRadmodStzKMax = 1; max value of LOC_SumFRadmodStzK = 1. ("LOC_SumFRadmodStzK = LOC_SumFRadmodStzK.min(1);" at line 38).</t>
  </si>
  <si>
    <t>TC 2 Failed. Reason waiting for dev confirm</t>
  </si>
  <si>
    <t>T503</t>
  </si>
  <si>
    <t>Line 27: vFzRefHilfKorr = ( vFzRefHilfEin + LOC_dvRadmin ).max(vx_BeforeStuetz): "vFzRefHilfEin + LOC_dvRadmin" can not reach out range max because:
+ Limit assignment LOC_dvRadmin by code at line 16, and line 23
+ P_dvvRadminNeg is fixed -0.078125 by noncalib imported; P_dvvRadminPos is fixed 0.0390625 by noncalib imported; P_TvRadminPos is fixed 0.0391845703125 by noncalib imported</t>
  </si>
  <si>
    <t>Line 18: axFR += LOC_dax LOC_dax = (LOC_axIn - axFR) * P_TaxFR; can not reach out range max and out range min becaues:
+ LOC_dax = (LOC_axIn - axFR) * P_TaxFR; axFr += LOC_dax; the combination is a filter
+ Limit assignment P_TaxFR: [0; 0.1]
+ Limit assignment axFR and LOC_axln: [-30; 30]</t>
  </si>
  <si>
    <t>Line 34, 41: can not cover C0, C1 because if(enable_REFvy) is always fixed "True" by non-calibrate imported parameter</t>
  </si>
  <si>
    <t>Missing limit assignment. Bug OPL</t>
  </si>
  <si>
    <t>1. Line 19: "axOff -= DaxOff;" can not cover out of range max or out of range min because:
+ DaxOff is assigned by statement at line 18 "DaxOff = axOff*LOC_TaxOff;"
+ LOC_TaxOff is assigned by local paramater with fixed value "greater than 0 and less than 1"
2. Line 24, 25: "LOC_axFRsl = (LOC_dvRadvx_beforesupport / (vx_beforesupport + P_vxOffsetDef));" can not out of range max because:
+ LOC_dvRadvx_beforesupport = (vx_beforesupport - vRad_min)
+ P_vxOffsetDef is fixed 2; P_vxOffsetAbhT is fixed 2.5
+ (vx_beforesupport + P_vxOffsetDef) is always positive
+ Limit assignment LOC_axFRsl is [-20, 1]; LOC_axFRslAbhT is [-20, 1]
3. Line 35: axOff -= LOC_delaxOffaxFR can not cover out of range min because:
+ LOC_delaxOffaxFR is assigned by (LOC_delaxOffaxFR.max(P_delaxOffaxFRmax)).min(P_delaxOffaxFRmin)" at line 34 =&gt; Limit assignment of LOC_delaxOffaxFR is always less than "-1"
+ Limit assignment axOff is [-7; 7]
4. Line 62, 65: "LOC_tUnterbrSW += P_tUnterbrVerl" can not reach out range of maximum value because:
+ LOC_tUnterbrSW is always initialize by P_tUnterbrNormal with fixed value of noncalib imported "greater than 0 and less than 1"
+ Limit assignment: P_tUnterbrVerl is fixed of noncalib imported "greater than 0 and less than 1"</t>
  </si>
  <si>
    <t>OnGoing</t>
  </si>
  <si>
    <t>SSI_Signal2State_CallbackFunction_ESP_VirtualNode_MultiWSS</t>
  </si>
  <si>
    <t>rba_ComScl_RxSignalCopy</t>
  </si>
  <si>
    <t>SecOC_PduRIF</t>
  </si>
  <si>
    <t>SecOC_Prv</t>
  </si>
  <si>
    <t>SecOC_Prv_CryptIF</t>
  </si>
  <si>
    <t>APBInterfaceFunctions_TOYOTA</t>
  </si>
  <si>
    <t>RBAPLCUST_22_RDBI</t>
  </si>
  <si>
    <t>RBAPLCUST_TSR_DID_Conf_TOYOTA</t>
  </si>
  <si>
    <t>SnapshotRecordFunctions_TOYOTA</t>
  </si>
  <si>
    <t>TimeSeriesFreezeFrameDataFunctions_TOYOTA</t>
  </si>
  <si>
    <t>NET_CommunicationInvalid_TOYOTA</t>
  </si>
  <si>
    <t>NET_SCL_XmtVSC1G12_TOY</t>
  </si>
  <si>
    <t>NET_SCL_XmtVSC1G13_TOY</t>
  </si>
  <si>
    <t>NET_SCL_XmtVSC1G14_TOY</t>
  </si>
  <si>
    <t>NET_SST_TOYOTA</t>
  </si>
  <si>
    <t>TOY_PF19_CMP_BL16_Integration_36</t>
  </si>
  <si>
    <t>MT_001</t>
  </si>
  <si>
    <t>MT_014</t>
  </si>
  <si>
    <t>MT_015</t>
  </si>
  <si>
    <t>MT_019</t>
  </si>
  <si>
    <t>MT_023</t>
  </si>
  <si>
    <t>MT_025</t>
  </si>
  <si>
    <t>UT_001_SSI_Signal2State_CallbackFunction_ESP_VirtualNode_MultiWSS_BB80270</t>
  </si>
  <si>
    <t>UT_008_rba_ComScl_RxSignalCopy_BB80270</t>
  </si>
  <si>
    <t>UT_014_SecOC_PduRIF_BB80270</t>
  </si>
  <si>
    <t>UT_015_SecOC_Prv_BB80270</t>
  </si>
  <si>
    <t>UT_016_SecOC_Prv_CryptIF_BB80270</t>
  </si>
  <si>
    <t>UT_019_APBInterfaceFunctions_TOYOTA_BB80270</t>
  </si>
  <si>
    <t>UT_020_RBAPLCUST_22_RDBI_BB80270</t>
  </si>
  <si>
    <t>UT_022_RBAPLCUST_TSR_DID_Conf_TOYOTA_BB80270</t>
  </si>
  <si>
    <t>UT_023_SnapshotRecordFunctions_TOYOTA_BB80270</t>
  </si>
  <si>
    <t>UT_024_TimeSeriesFreezeFrameDataFunctions_TOYOTA_BB80270</t>
  </si>
  <si>
    <t>UT_025_NET_CommunicationInvalid_TOYOTA_BB80270</t>
  </si>
  <si>
    <t>UT_028_NET_SCL_XmtVSC1G12_TOY_BB80270</t>
  </si>
  <si>
    <t>UT_029_NET_SCL_XmtVSC1G13_TOY_BB80270</t>
  </si>
  <si>
    <t>UT_030_NET_SCL_XmtVSC1G14_TOY_BB80270</t>
  </si>
  <si>
    <t>UT_032_NET_SST_TOYOTA_BB80270</t>
  </si>
  <si>
    <t>Contact point: Halamani Prabhu (RBEI/ESJ-ATO)</t>
  </si>
  <si>
    <t>T_J-140</t>
  </si>
  <si>
    <t>T_J-141</t>
  </si>
  <si>
    <t>T_J-142</t>
  </si>
  <si>
    <t>T_J-143</t>
  </si>
  <si>
    <t>T_J-144</t>
  </si>
  <si>
    <t>T_J-145</t>
  </si>
  <si>
    <t>T_J-146</t>
  </si>
  <si>
    <t>T_J-147</t>
  </si>
  <si>
    <t>T_J-148</t>
  </si>
  <si>
    <t>T_J-149</t>
  </si>
  <si>
    <t>T_J-150</t>
  </si>
  <si>
    <t>T_J-151</t>
  </si>
  <si>
    <t>T_J-152</t>
  </si>
  <si>
    <t>T_J-153</t>
  </si>
  <si>
    <t>T_J-154</t>
  </si>
  <si>
    <t>[UUID _wiHTsFLmEeSecO7L1SVhqQ]</t>
  </si>
  <si>
    <t>[UUID _ZHzZce4yEem-Erv9WGnBag]</t>
  </si>
  <si>
    <t>[UUID _XVVWQO4yEem-Erv9WGnBag]</t>
  </si>
  <si>
    <t>[UUID _XXcPEO4yEem-Erv9WGnBag]</t>
  </si>
  <si>
    <t>[UUID _XRQHgO4yEem-Erv9WGnBag]</t>
  </si>
  <si>
    <t>[UUID _-b6iAJ8jEeW9yO55Mv01Xg]</t>
  </si>
  <si>
    <t>[UUID _jxIMcKJ7EeWgbrVUGix0mg]</t>
  </si>
  <si>
    <t>[UUID _ubyiUEgREea9593eqHxA1A]</t>
  </si>
  <si>
    <t>[UUID _wJKpANlWEeWsZpm6HklIrw]</t>
  </si>
  <si>
    <t>[UUID _wJL3INlWEeWsZpm6HklIrw]</t>
  </si>
  <si>
    <t>[UUID _l1RR4G01EeifyfhLxmbFOQ]</t>
  </si>
  <si>
    <t>[UUID _lzB2MG01EeifyfhLxmbFOQ]</t>
  </si>
  <si>
    <t>[UUID _lzzSQG01EeifyfhLxmbFOQ]</t>
  </si>
  <si>
    <t>[UUID _lzzSQW01EeifyfhLxmbFOQ]</t>
  </si>
  <si>
    <t>[UUID _jJzYoViHEeq0nNhaD5ucQQ]</t>
  </si>
  <si>
    <t>- TransVF20ms: Modify estimation effort from 1.615 hour to 4 hour. Confirm by Mr. Hoang</t>
  </si>
  <si>
    <t>- Trans_vyMin: Can not compile project, and missing limit assignment. Indian support to fix within 5 hour on 25th Mar, 2020</t>
  </si>
  <si>
    <t>- ATT can not start analyze because Visual Studio got stuck. =&gt; Mr. Tai and Mr. Cuong support to re config the setting within 1 days (4 hours for backup on 23th, and 4 hours for configuration on 24th)</t>
  </si>
  <si>
    <t>11h00</t>
  </si>
  <si>
    <t>Line 3: "FS_axSensorForREF             == axS_On" can not cover true condition because FS_axSensorForREF is fixed "axS_Off" by noncalib imported
Line 52: "vxS    += l_delvx;" can not cover out of range max or out of range min because:
+ It is a filter
+ l_delvx     = ( vStuetz - vxS )*l_KovxS with l_KovxS is assigned by P_KovxSFu.getAt(FStuetz); and limit assignment from [0;1]
Line 56: axSOff = ( axSOff.min(P_axOffMax)).max(P_axOffMin) can not cover false condition "min" and false condition "max" because:
+ P_axOffMax is fixed value "7", P_axOffMin is fixed value "-7" by non calib imported parameter
+ Limit assignment: axSOff from [-7; 7]</t>
  </si>
  <si>
    <t>[No1] Line 33: vx += LOC_delvx; can not cover reacht out of max or out of min because:
- It is a filter and range P_TvFzRefHilf is [0;1]
- LOC_delvx =  ( vStuetz - vx ); LOC_delvx = LOC_delvx * LOC_Kovx;
- Range LOC_Kovx: [0;1]; vStuetz: [0; 100]; vx: [0; 100]
[No2] Line 48: vx +=  LOC_delvx * Fstuetz can not cover reach out of max or out of min because:
- It is a filter and range P_TvFzRefHilf is [0;1]
- LOC_delvx = (LOC_vStuetzHilf - vx); LOC_delvx = LOC_delvx * P_TvFzRefHilf; LOC_vStuetzHilf = vStuetz;
- Range Fstuetz is [0;1]; vStuetz: [0; 100]; vx: [0; 100]
[No3] Param1D can not cover C0, C1</t>
  </si>
  <si>
    <t>+ At line #51 canot cover min-max value because dMzDySosHMueK1 &amp; dMzDySosHMue clearing.</t>
  </si>
  <si>
    <t xml:space="preserve">+ At line #52:
tDySosHMueEnd have range [0;254] so cannot cover MCDC for case tDySosHMueEnd&lt;0
+ At line #70 #76:
dMzDySosHMueEnd canot cover value output min-max because P_SSWetMbVAaFr, MbVAaFrIpart,  P_Mb2Mz have range value small. 
+ Param1D canot cover c0,c1
</t>
  </si>
  <si>
    <t>Cannot cover Param1D</t>
  </si>
  <si>
    <t xml:space="preserve">At line #88 cant cover "BkdRoadSuspCount &gt; 0" = FALSE because BkdRoadSuspCount [0;255]
</t>
  </si>
  <si>
    <t>At line #8 cant cover C0/C1 because scope1 &amp; scope2 max = 1 =&gt; out_max = in_max=100
At line #13 sane line #8</t>
  </si>
  <si>
    <t xml:space="preserve">CoMyTar cant cover min-max value because it's dependent CoMyTar_Curve [0;30], CoMyTar_Straight [0;30], CoMyTar_Weight [0;1].  CoMyTar_Weight (max) = 1  =&gt; CoMyTar (max) = CoMyTar_Straight (max) = 30. So cant cover for this calc &lt;/* calc: sequence call #50 */&gt;.
Same slTarMy &lt;/* calc: sequence call #60 */&gt;.
</t>
  </si>
  <si>
    <t>&lt;/* calc: sequence call #25 */&gt; 
CoslOffroad cant cover out min value because -&gt;bound min value is 1.0
&lt;/* calc: sequence call #40 */&gt;
Same calc #25</t>
  </si>
  <si>
    <t>CoPropRedTCS cant cover out range min value because CoPropRedTCS_corr [0;1]</t>
  </si>
  <si>
    <t>PSA_BL15_CSW_Dev</t>
  </si>
  <si>
    <t>VehicleDynamicModes_Dy</t>
  </si>
  <si>
    <t>FUN_BEO_EnergyCast</t>
  </si>
  <si>
    <t>FUN_BEO_EnergyAcc</t>
  </si>
  <si>
    <t>6.8</t>
  </si>
  <si>
    <t>1.2</t>
  </si>
  <si>
    <t>MT_002</t>
  </si>
  <si>
    <t>MT_003</t>
  </si>
  <si>
    <t>UT_004</t>
  </si>
  <si>
    <t>UT_005</t>
  </si>
  <si>
    <t xml:space="preserve">Contact point: Jawahar Ravichandran (RBEI/ESE31); CC: Pereira Moura Emanuelle (CC-AS/ESF2) ; Bincy Francis (RBEI/ESE31) ; Priyadarshini Sharma (RBEI/ESE31) </t>
  </si>
  <si>
    <r>
      <t xml:space="preserve">Line 81, 170, 235, 303, 371, 436, 507, 575, 643, 711, 779, 847, 915, 983, 1051, 1119, 1187, 1255, 1323, 1391, 1474, 1554, 1619, 1690, 1755, 1844, 1909, 1980, 2054, 2128, 2214, 2288, 2356, 2427, 2510, 2575, 2652, 2720, 2785, 2865, 2945, 3055:
do{
</t>
    </r>
    <r>
      <rPr>
        <sz val="10"/>
        <color indexed="17"/>
        <rFont val="Arial"/>
        <family val="2"/>
      </rPr>
      <t xml:space="preserve">  transferData_Producer = rba_ComScl_TransferData_Producer_au8[rba_ComScl_RxPduFlagsId_ENG1G90_CANNODE_0];</t>
    </r>
    <r>
      <rPr>
        <sz val="10"/>
        <color indexed="8"/>
        <rFont val="Arial"/>
        <family val="2"/>
      </rPr>
      <t xml:space="preserve">
} while (</t>
    </r>
    <r>
      <rPr>
        <sz val="10"/>
        <color indexed="10"/>
        <rFont val="Arial"/>
        <family val="2"/>
      </rPr>
      <t>(transferData_Producer
    != rba_ComScl_TransferData_Producer_au8[rba_ComScl_RxPduFlagsId_ENG1G90_CANNODE_0]</t>
    </r>
    <r>
      <rPr>
        <sz val="10"/>
        <color indexed="8"/>
        <rFont val="Arial"/>
        <family val="2"/>
      </rPr>
      <t>)
    &amp;&amp; (rxCounter &lt; 2u));
This statement can not cover true case because:
+ transferData_Producer is always equal to rba_ComScl_TransferData_Producer_au8</t>
    </r>
  </si>
  <si>
    <t xml:space="preserve">Line 31: if(l_ActYear_UW &gt;= 1)
This statement can not cover false case because:
+ l_ActYear_UW is assigned by "l_ActYear_UW + (UW)l_GPSTM_Y_UB;" at line 296
+ l_ActYear_UW is unsigned, l_GPSTM_Y_UB is unsigned
+ l_ActYear_UW = C_BaseYear_UW at line 256; #define C_BaseYear_UW            ((UW)2000) </t>
  </si>
  <si>
    <t>13h00</t>
  </si>
  <si>
    <t>11h30</t>
  </si>
  <si>
    <t>Holidays</t>
  </si>
  <si>
    <t>- Off from 2th Mar to 13th Mar</t>
  </si>
  <si>
    <t>Reason for Fail Testcase</t>
  </si>
  <si>
    <t>Reason For code coverage</t>
  </si>
  <si>
    <t>14h00</t>
  </si>
  <si>
    <t>Waiting for the new package</t>
  </si>
  <si>
    <t>DBR_DynamicPressure_SL_Inhibition</t>
  </si>
  <si>
    <t>CLD_TRC_LonAxTarLimitation</t>
  </si>
  <si>
    <t>CLD_TRC_LonCheckComfortBands</t>
  </si>
  <si>
    <t>CLD_TRC_LonStateControl</t>
  </si>
  <si>
    <t>TRPC_Longitudinal_axStandstillSafetyLimiter</t>
  </si>
  <si>
    <t>PLTMT_03040604</t>
  </si>
  <si>
    <t>1.6.1.3</t>
  </si>
  <si>
    <t>Contact point: Dhakar Swarnima (RBEI/ESP-AS52); CC: Kalaiselvam Natarajan (RBEI/ESP-AS52), Harikrishnan Viswambharan (RBEI/ESP-AS52) Sadanand Vishwanath Kallur (RBEI/ESP-AS51 RBEI/ESP-AS52) ,Tran Hoang Tuan (RBVH/EPS4 RBVH/EPS44) ,Quoc Cuong (RBVH/EPS44)</t>
  </si>
  <si>
    <t>T_J-155</t>
  </si>
  <si>
    <t>T_J-156</t>
  </si>
  <si>
    <t>T_J-157</t>
  </si>
  <si>
    <t>T_J-158</t>
  </si>
  <si>
    <t>CLD_BCL_aUpperLimitationayMax</t>
  </si>
  <si>
    <t>CLD_BCL_aUpperLimitationLoad</t>
  </si>
  <si>
    <t>CLD_BCL_aUpperLimitationProp</t>
  </si>
  <si>
    <t>CLD_BCL_aUpperLimitationTrailer</t>
  </si>
  <si>
    <t>CLD_BCL_aUpperLimitationVelocity</t>
  </si>
  <si>
    <t>CLD_BCL_BackDropFactor</t>
  </si>
  <si>
    <t>CLD_BCL_CommonSignals</t>
  </si>
  <si>
    <t>CLD_BCL_DevideayByAyMax</t>
  </si>
  <si>
    <t>PLTMT_07040804</t>
  </si>
  <si>
    <t xml:space="preserve">Contact point: Dhakar Swarnima (RBEI/ESP-AS52); CC: Kalaiselvam Natarajan (RBEI/ESP-AS52), Harikrishnan Viswambharan (RBEI/ESP-AS52) Sadanand Vishwanath Kallur (RBEI/ESP-AS51 RBEI/ESP-AS52) ,Tran Hoang Tuan (RBVH/EPS4 RBVH/EPS44) ,Quoc Cuong (RBVH/EPS44) </t>
  </si>
  <si>
    <t>T_J-159</t>
  </si>
  <si>
    <t>T_J-160</t>
  </si>
  <si>
    <t>T_J-161</t>
  </si>
  <si>
    <t>T_J-162</t>
  </si>
  <si>
    <t>T_J-163</t>
  </si>
  <si>
    <t>T_J-164</t>
  </si>
  <si>
    <t>T_J-165</t>
  </si>
  <si>
    <t>T_J-166</t>
  </si>
  <si>
    <t>DynamicSelectLow</t>
  </si>
  <si>
    <t>DisableNormComDiag_Y1K</t>
  </si>
  <si>
    <t>NET09_DisableNormComDiag_SMC</t>
  </si>
  <si>
    <t>RBNET_ECUREWAKE_SMC</t>
  </si>
  <si>
    <t>RBAPLCUST_FreezeFrameDataBytesInfo_Suzuki</t>
  </si>
  <si>
    <t>RBAPLCUST_InputOutputControl_GeneralFunctions</t>
  </si>
  <si>
    <t>RBAPLCUST_ReadDBI_DIDF18C_EcuSerialNumberInfo_Suzuki</t>
  </si>
  <si>
    <t>RBAPLCUST_ReadDBI_DIDF195_SupplierSoftwareVersionInfo_Suzuki</t>
  </si>
  <si>
    <t>RBAPLCUST_ReadDTCInfoSubFunction01_Suzuki</t>
  </si>
  <si>
    <t>RBAPLCUST_RoutineControl_ConditionMonitoring_Suzuki</t>
  </si>
  <si>
    <t>RBAPLCUST_RoutineControl_EraseMemory_Suzuki</t>
  </si>
  <si>
    <t>RBAPLCUST_RoutineControl_ESPSpecialDrive_Suzuki</t>
  </si>
  <si>
    <t>RBAPLCUST_RoutineControl_Suzuki</t>
  </si>
  <si>
    <t>RBAPLCUST_SecurityAccess_Suzuki</t>
  </si>
  <si>
    <t>RBAPLCUST_WriteDBI_DID7000_VacuumFillingDataInfo_Suzuki</t>
  </si>
  <si>
    <t>7.0.144.0</t>
  </si>
  <si>
    <t>[UUID _dpRe0CZ-Eei3raWeUDriTw]</t>
  </si>
  <si>
    <t>[UUID _2Mo2ECWxEei3raWeUDriTw]</t>
  </si>
  <si>
    <t>[UUID _HqVswAFQEemQS_kpgrWQ_w]</t>
  </si>
  <si>
    <t>[UUID _-WFOoPbdEemPm_fcc4JvGg]</t>
  </si>
  <si>
    <t>[UUID _NSQJMD2MEeiqkt4FFpfVBw]</t>
  </si>
  <si>
    <t>[UUID _80I0kOXjEemleb36yh-yew]</t>
  </si>
  <si>
    <t>[UUID _80YsMOXjEemleb36yh-yew]</t>
  </si>
  <si>
    <t>[UUID _bJqg8KIqEemcL4b3pmFZbg]</t>
  </si>
  <si>
    <t>[UUID _4m3KANuqEemkO-heTSptCw]</t>
  </si>
  <si>
    <t>[UUID _4m4_MNuqEemkO-heTSptCw]</t>
  </si>
  <si>
    <t>[UUID _4m60YNuqEemkO-heTSptCw]</t>
  </si>
  <si>
    <t>[UUID _4nOWYNuqEemkO-heTSptCw]</t>
  </si>
  <si>
    <t>[UUID _Y3kDYMmmEemlb5vF8dzSHg]</t>
  </si>
  <si>
    <t>[UUID _0hMVINuqEemkO-heTSptCw]</t>
  </si>
  <si>
    <t>MT_011</t>
  </si>
  <si>
    <t>MT_012</t>
  </si>
  <si>
    <t>Contact point: Machani Ravikumar (RBEI/ESJ4) Ravikumar.Machani@in.bosch.com Lalsa Aryasomayajula (RBEI/ESJ1) Aryasomayajula.Lalsa@in.bosch.com</t>
  </si>
  <si>
    <t>T_J-167</t>
  </si>
  <si>
    <t>T_J-168</t>
  </si>
  <si>
    <t>T_J-169</t>
  </si>
  <si>
    <t>T_J-170</t>
  </si>
  <si>
    <t>T_J-171</t>
  </si>
  <si>
    <t>T_J-172</t>
  </si>
  <si>
    <t>T_J-173</t>
  </si>
  <si>
    <t>T_J-174</t>
  </si>
  <si>
    <t>T_J-175</t>
  </si>
  <si>
    <t>T_J-176</t>
  </si>
  <si>
    <t>T_J-177</t>
  </si>
  <si>
    <t>T_J-178</t>
  </si>
  <si>
    <t>T_J-179</t>
  </si>
  <si>
    <t>T_J-180</t>
  </si>
  <si>
    <t>T_J-181</t>
  </si>
  <si>
    <t>CUS_SMC_YNC_ABS_Buildiaas22</t>
  </si>
  <si>
    <t># Line 7:can not cover out range maximum of daxTarLim because C_dT_CLD is non calibrate with value "0.02"
#Line 8:can not cover out range minimum of daxTarLim because C_dT_CLD is non calibrate with value "0.02"</t>
  </si>
  <si>
    <t>- Param1D can not cover full C0, C1</t>
  </si>
  <si>
    <t>PSA_Gen9_3_CarbonB3_Smartcar_FSM</t>
  </si>
  <si>
    <t>ToyotaCMP</t>
  </si>
  <si>
    <t>TRCLongitudinal_ECU_CSW_BB00001(1.8_0.2).axl</t>
  </si>
  <si>
    <t>TRPLongitudinal_ECU_CSW_BB00001(1.20.1.0_0.2).axl</t>
  </si>
  <si>
    <t>PSA_CMP</t>
  </si>
  <si>
    <t>RB_MS_CAV7</t>
  </si>
  <si>
    <t>CSMosarASWMainstream93_SMC_YNC_ABS</t>
  </si>
  <si>
    <t>- Line 97: !Split can not cover MCDC because "Split" at line 94 is oposite with line 97
- Param1D can not cover full C0, C1</t>
  </si>
  <si>
    <t>16h00</t>
  </si>
  <si>
    <t>- Mr. Bang got a trouble with a huge of Param1D, Param2D</t>
  </si>
  <si>
    <t>- Need time to resolve issue about TCM workshare</t>
  </si>
  <si>
    <t>- Need time to adapt with new template, new process of platform team</t>
  </si>
  <si>
    <t>- Waiting for the new package</t>
  </si>
  <si>
    <t>CLD_pSC_DynFollowPP0</t>
  </si>
  <si>
    <t>CLD_TRP_ABDComfortBands</t>
  </si>
  <si>
    <t>CLD_TRP_CSCComfortBands</t>
  </si>
  <si>
    <t>CLD_TRP_CyclicPlanningDIS</t>
  </si>
  <si>
    <t>CLD_TRP_CyclicPlanningSPE</t>
  </si>
  <si>
    <t>CLD_TRP_FactorComfortBands</t>
  </si>
  <si>
    <t>CLD_TRP_FOCComfortBands</t>
  </si>
  <si>
    <t>CLD_TRP_LonCheckExceeding</t>
  </si>
  <si>
    <t> PLTMT_13041404</t>
  </si>
  <si>
    <t>Contact point: Dhakar Swarnima (RBEI/ESP-AS52)</t>
  </si>
  <si>
    <t>T_J-182</t>
  </si>
  <si>
    <t>T_J-183</t>
  </si>
  <si>
    <t>T_J-184</t>
  </si>
  <si>
    <t>T_J-185</t>
  </si>
  <si>
    <t>T_J-186</t>
  </si>
  <si>
    <t>T_J-187</t>
  </si>
  <si>
    <t>T_J-188</t>
  </si>
  <si>
    <t>T_J-189</t>
  </si>
  <si>
    <t>REN_CMFB_1ASW_09_Apr</t>
  </si>
  <si>
    <t xml:space="preserve">Contact point: Suriya Mangala Ganesamurthi (RBEI/ESE31); CC: Bincy Francis (RBEI/ESE31) , Priyadarshini Sharma (RBEI/ESE31) 
</t>
  </si>
  <si>
    <t>PowerOnManagement_RSA</t>
  </si>
  <si>
    <t>2.2.1.0</t>
  </si>
  <si>
    <t>Line 493: Can not cover default case "switch (ReadyToStartRoutine_State_EN)" because it only has two element:
typedef enum
{
    C_Check_ReadyToStartRoutine_Init = 0,
    C_Check_ReadyToStartRoutine_Done
} ForceClear_Check_ReadyToStartRoutine_State_EN;
Line 777: Can not cover default case "switch(g_ForceClearDtcState_En)" because it only has four element:
typedef enum /*TOOL_SCAN*/
{
 C_ForceClearDtc_Starts = 0 ,
 C_ForceClearDtc_Running    ,
 C_ForceClearDtc_Failed     ,
 C_ForceClearDtc_Finished
} ForceClearAllDTC_State_EN ;</t>
  </si>
  <si>
    <t>T_J-190</t>
  </si>
  <si>
    <t>- Line 28: vTargetPow2= ayMax_local/CurvatureMax can not cover division zero because condition if (CurvatureMax &gt; 0.0003)</t>
  </si>
  <si>
    <t>Data_20200321_20200420</t>
  </si>
  <si>
    <t>Data_20200305_20200320</t>
  </si>
  <si>
    <t>Defects</t>
  </si>
  <si>
    <t>OPL</t>
  </si>
  <si>
    <t>Summary</t>
  </si>
  <si>
    <t>PSW ELOCs</t>
  </si>
  <si>
    <t>ASW ELOCs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</si>
</sst>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16"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0"/>
      <color rgb="FF9C6500"/>
      <name val="Arial"/>
      <family val="2"/>
    </font>
    <font>
      <sz val="10"/>
      <color rgb="FF006100"/>
      <name val="Arial"/>
      <family val="2"/>
    </font>
    <font>
      <sz val="11"/>
      <name val="Calibri"/>
      <family val="2"/>
      <scheme val="minor"/>
    </font>
    <font>
      <sz val="11"/>
      <color theme="1"/>
      <name val="Calibri"/>
      <family val="2"/>
      <scheme val="minor"/>
    </font>
    <font>
      <sz val="10"/>
      <name val="Arial"/>
      <family val="2"/>
    </font>
    <font>
      <sz val="11"/>
      <color theme="1"/>
      <name val="Calibri"/>
      <family val="2"/>
      <scheme val="minor"/>
    </font>
    <font>
      <b/>
      <sz val="10"/>
      <color theme="1"/>
      <name val="Arial"/>
      <family val="2"/>
    </font>
    <font>
      <sz val="10"/>
      <color rgb="FF9C0006"/>
      <name val="Arial"/>
      <family val="2"/>
    </font>
    <font>
      <sz val="10"/>
      <color indexed="8"/>
      <name val="Arial"/>
      <family val="2"/>
    </font>
    <font>
      <sz val="10"/>
      <color indexed="17"/>
      <name val="Arial"/>
      <family val="2"/>
    </font>
    <font>
      <sz val="10"/>
      <color indexed="10"/>
      <name val="Arial"/>
      <family val="2"/>
    </font>
    <font>
      <b/>
      <sz val="11"/>
      <color theme="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0"/>
        <bgColor indexed="64"/>
      </patternFill>
    </fill>
    <fill>
      <patternFill patternType="solid">
        <fgColor theme="7" tint="0.59999389629810485"/>
        <bgColor indexed="64"/>
      </patternFill>
    </fill>
    <fill>
      <patternFill patternType="solid">
        <fgColor rgb="FFFFC7CE"/>
      </patternFill>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0" borderId="0"/>
    <xf numFmtId="0" fontId="11" fillId="10" borderId="0" applyNumberFormat="0" applyBorder="0" applyAlignment="0" applyProtection="0"/>
  </cellStyleXfs>
  <cellXfs count="122">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0" fontId="0" fillId="0" borderId="1" xfId="0" applyFill="1" applyBorder="1" applyAlignment="1">
      <alignment horizontal="left" vertical="center"/>
    </xf>
    <xf numFmtId="14" fontId="0" fillId="0" borderId="0" xfId="0" applyNumberFormat="1"/>
    <xf numFmtId="0" fontId="0" fillId="0" borderId="0" xfId="0" applyNumberFormat="1"/>
    <xf numFmtId="0" fontId="0" fillId="0" borderId="1" xfId="0" applyFill="1" applyBorder="1" applyAlignment="1">
      <alignment horizontal="right" vertical="center"/>
    </xf>
    <xf numFmtId="0" fontId="0" fillId="0" borderId="1" xfId="0" applyFill="1" applyBorder="1" applyAlignment="1">
      <alignment horizontal="center" vertical="center"/>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2" fillId="2" borderId="1" xfId="0" applyFont="1" applyFill="1" applyBorder="1"/>
    <xf numFmtId="0" fontId="0" fillId="0" borderId="1" xfId="0" quotePrefix="1" applyBorder="1"/>
    <xf numFmtId="0" fontId="5" fillId="0" borderId="0" xfId="0" applyNumberFormat="1" applyFont="1" applyFill="1" applyBorder="1" applyAlignment="1" applyProtection="1"/>
    <xf numFmtId="0" fontId="4" fillId="0" borderId="0" xfId="0" applyFont="1" applyFill="1"/>
    <xf numFmtId="0" fontId="6" fillId="0" borderId="1" xfId="0" applyFont="1" applyFill="1" applyBorder="1" applyAlignment="1">
      <alignment horizontal="left" vertical="top"/>
    </xf>
    <xf numFmtId="0" fontId="6" fillId="0" borderId="1" xfId="0" applyFont="1" applyBorder="1" applyAlignment="1">
      <alignment horizontal="left" vertical="top"/>
    </xf>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14" fontId="0" fillId="0" borderId="1" xfId="0" applyNumberFormat="1" applyFont="1" applyBorder="1" applyAlignment="1">
      <alignment horizontal="left" vertical="top"/>
    </xf>
    <xf numFmtId="0" fontId="6" fillId="0" borderId="1" xfId="0" applyNumberFormat="1" applyFont="1" applyFill="1" applyBorder="1" applyAlignment="1" applyProtection="1">
      <alignment horizontal="left" vertical="top"/>
    </xf>
    <xf numFmtId="0" fontId="6" fillId="0" borderId="0" xfId="0" applyNumberFormat="1" applyFont="1" applyFill="1" applyBorder="1" applyAlignment="1" applyProtection="1">
      <alignment horizontal="left" vertical="top"/>
    </xf>
    <xf numFmtId="0" fontId="0" fillId="0" borderId="1" xfId="0" applyFont="1" applyBorder="1" applyAlignment="1">
      <alignment horizontal="left" vertical="top" wrapText="1"/>
    </xf>
    <xf numFmtId="0" fontId="1" fillId="0" borderId="0" xfId="0" applyFont="1" applyAlignment="1">
      <alignment vertical="center"/>
    </xf>
    <xf numFmtId="0" fontId="1" fillId="0" borderId="0" xfId="0" quotePrefix="1" applyFont="1" applyAlignment="1">
      <alignment vertical="center"/>
    </xf>
    <xf numFmtId="0" fontId="0" fillId="3" borderId="1" xfId="0" applyFill="1" applyBorder="1"/>
    <xf numFmtId="0" fontId="0" fillId="4" borderId="1" xfId="0" applyFill="1" applyBorder="1"/>
    <xf numFmtId="0" fontId="0" fillId="0" borderId="0" xfId="0" applyAlignment="1">
      <alignment vertical="top"/>
    </xf>
    <xf numFmtId="0" fontId="8" fillId="0" borderId="1" xfId="1" applyFont="1" applyBorder="1" applyAlignment="1"/>
    <xf numFmtId="0" fontId="10" fillId="2" borderId="1" xfId="0" applyFont="1" applyFill="1" applyBorder="1" applyAlignment="1">
      <alignment horizontal="center"/>
    </xf>
    <xf numFmtId="0" fontId="10" fillId="5" borderId="2"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0" fontId="0" fillId="0" borderId="1" xfId="0" quotePrefix="1" applyFill="1" applyBorder="1" applyAlignment="1">
      <alignment horizontal="center" vertical="center"/>
    </xf>
    <xf numFmtId="0" fontId="0" fillId="6" borderId="1" xfId="0" applyFont="1" applyFill="1" applyBorder="1" applyAlignment="1">
      <alignment horizontal="left" vertical="top"/>
    </xf>
    <xf numFmtId="0" fontId="0" fillId="7" borderId="1" xfId="0" applyFont="1" applyFill="1" applyBorder="1" applyAlignment="1">
      <alignment horizontal="left" vertical="top"/>
    </xf>
    <xf numFmtId="0" fontId="8" fillId="0" borderId="1" xfId="1" applyFont="1" applyBorder="1" applyAlignment="1">
      <alignment wrapText="1"/>
    </xf>
    <xf numFmtId="0" fontId="0" fillId="8" borderId="0" xfId="0" applyFill="1"/>
    <xf numFmtId="0" fontId="0" fillId="8" borderId="1" xfId="0" applyFont="1" applyFill="1" applyBorder="1" applyAlignment="1">
      <alignment horizontal="left" vertical="top"/>
    </xf>
    <xf numFmtId="0" fontId="0" fillId="8" borderId="1" xfId="0" quotePrefix="1" applyFont="1" applyFill="1" applyBorder="1" applyAlignment="1">
      <alignment horizontal="left" vertical="top"/>
    </xf>
    <xf numFmtId="164" fontId="0" fillId="8" borderId="1" xfId="0" applyNumberFormat="1" applyFont="1" applyFill="1" applyBorder="1" applyAlignment="1">
      <alignment horizontal="left" vertical="top"/>
    </xf>
    <xf numFmtId="0" fontId="0" fillId="8" borderId="1" xfId="0" applyFill="1" applyBorder="1" applyAlignment="1">
      <alignment horizontal="left" vertical="top"/>
    </xf>
    <xf numFmtId="10" fontId="0" fillId="0" borderId="1" xfId="0" applyNumberFormat="1" applyFont="1" applyBorder="1" applyAlignment="1">
      <alignment horizontal="left" vertical="top"/>
    </xf>
    <xf numFmtId="10" fontId="0" fillId="8" borderId="1" xfId="0" applyNumberFormat="1" applyFont="1" applyFill="1" applyBorder="1" applyAlignment="1">
      <alignment horizontal="left" vertical="top"/>
    </xf>
    <xf numFmtId="10" fontId="6" fillId="0" borderId="1" xfId="0" applyNumberFormat="1" applyFont="1" applyFill="1" applyBorder="1" applyAlignment="1" applyProtection="1">
      <alignment horizontal="left" vertical="top"/>
    </xf>
    <xf numFmtId="10" fontId="6" fillId="0" borderId="1" xfId="0" quotePrefix="1" applyNumberFormat="1" applyFont="1" applyFill="1" applyBorder="1" applyAlignment="1" applyProtection="1">
      <alignment horizontal="left" vertical="top"/>
    </xf>
    <xf numFmtId="10" fontId="7" fillId="0" borderId="1" xfId="0" applyNumberFormat="1" applyFont="1" applyFill="1" applyBorder="1" applyAlignment="1" applyProtection="1">
      <alignment horizontal="left" vertical="top"/>
    </xf>
    <xf numFmtId="10" fontId="9" fillId="0" borderId="1" xfId="0" applyNumberFormat="1" applyFont="1" applyFill="1" applyBorder="1" applyAlignment="1" applyProtection="1">
      <alignment horizontal="left" vertical="top"/>
    </xf>
    <xf numFmtId="10" fontId="0" fillId="0" borderId="1" xfId="0" quotePrefix="1" applyNumberFormat="1" applyFont="1" applyBorder="1" applyAlignment="1">
      <alignment horizontal="left" vertical="top"/>
    </xf>
    <xf numFmtId="0" fontId="0" fillId="9" borderId="1" xfId="0" applyFont="1" applyFill="1" applyBorder="1" applyAlignment="1">
      <alignment horizontal="left" vertical="top"/>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8" borderId="5" xfId="0" quotePrefix="1" applyFill="1" applyBorder="1" applyAlignment="1">
      <alignment vertical="center"/>
    </xf>
    <xf numFmtId="0" fontId="0" fillId="8" borderId="6" xfId="0" applyFill="1" applyBorder="1" applyAlignment="1">
      <alignment vertical="center"/>
    </xf>
    <xf numFmtId="0" fontId="0" fillId="8"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11" fillId="10" borderId="1" xfId="2" applyBorder="1" applyAlignment="1">
      <alignment horizontal="center" vertical="center"/>
    </xf>
    <xf numFmtId="10" fontId="0" fillId="0" borderId="1" xfId="0" applyNumberFormat="1" applyBorder="1" applyAlignment="1">
      <alignment horizontal="left" vertical="top"/>
    </xf>
    <xf numFmtId="164" fontId="0" fillId="11" borderId="1" xfId="0" applyNumberFormat="1" applyFont="1" applyFill="1" applyBorder="1" applyAlignment="1">
      <alignment horizontal="left" vertical="top"/>
    </xf>
    <xf numFmtId="0" fontId="0" fillId="5"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NumberFormat="1" applyFont="1" applyFill="1" applyBorder="1" applyAlignment="1">
      <alignment horizontal="left" vertical="top"/>
    </xf>
    <xf numFmtId="0" fontId="12" fillId="0" borderId="1" xfId="0"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6" fillId="2" borderId="1" xfId="0" applyNumberFormat="1" applyFont="1" applyFill="1" applyBorder="1" applyAlignment="1" applyProtection="1">
      <alignment horizontal="left" vertical="top"/>
    </xf>
    <xf numFmtId="0" fontId="6" fillId="13"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ont="1" applyFill="1" applyBorder="1" applyAlignment="1">
      <alignment horizontal="left" vertical="top"/>
    </xf>
    <xf numFmtId="0" fontId="6" fillId="11" borderId="1" xfId="0" applyNumberFormat="1" applyFont="1" applyFill="1" applyBorder="1" applyAlignment="1" applyProtection="1">
      <alignment horizontal="left" vertical="top"/>
    </xf>
    <xf numFmtId="0" fontId="0" fillId="0" borderId="1" xfId="0" applyBorder="1" applyAlignment="1">
      <alignment horizontal="left" vertical="top"/>
    </xf>
    <xf numFmtId="0" fontId="15" fillId="0" borderId="0" xfId="0" applyFont="1"/>
    <xf numFmtId="0" fontId="15" fillId="2" borderId="1" xfId="0" applyFont="1" applyFill="1" applyBorder="1" applyAlignment="1">
      <alignment horizontal="center" vertical="center"/>
    </xf>
    <xf numFmtId="0" fontId="15" fillId="2" borderId="1" xfId="0" applyFont="1" applyFill="1" applyBorder="1" applyAlignment="1">
      <alignment horizontal="center" vertical="center" wrapText="1"/>
    </xf>
    <xf numFmtId="0" fontId="0" fillId="0" borderId="1" xfId="0" applyBorder="1" applyAlignment="1">
      <alignment horizontal="right" vertical="center"/>
    </xf>
    <xf numFmtId="0" fontId="12" fillId="0" borderId="1" xfId="0" applyFont="1" applyFill="1" applyBorder="1" applyAlignment="1" applyProtection="1"/>
    <xf numFmtId="0" fontId="0" fillId="0" borderId="0" xfId="0" quotePrefix="1" applyAlignment="1"/>
    <xf numFmtId="0" fontId="6" fillId="12" borderId="1" xfId="0" applyNumberFormat="1" applyFont="1" applyFill="1" applyBorder="1" applyAlignment="1" applyProtection="1">
      <alignment horizontal="left" vertical="top"/>
    </xf>
    <xf numFmtId="0" fontId="6" fillId="14" borderId="1" xfId="0" applyNumberFormat="1" applyFont="1" applyFill="1" applyBorder="1" applyAlignment="1" applyProtection="1">
      <alignment horizontal="left" vertical="top"/>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1" xfId="0" quotePrefix="1" applyFill="1" applyBorder="1" applyAlignment="1">
      <alignment horizontal="lef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164" fontId="0" fillId="0" borderId="1" xfId="0" applyNumberFormat="1" applyFont="1" applyFill="1" applyBorder="1" applyAlignment="1">
      <alignment horizontal="left" vertical="top"/>
    </xf>
  </cellXfs>
  <cellStyles count="3">
    <cellStyle name="Bad" xfId="2" builtinId="27"/>
    <cellStyle name="Normal" xfId="0" builtinId="0"/>
    <cellStyle name="Normal 3" xfId="1"/>
  </cellStyles>
  <dxfs count="29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bin"/><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 Id="rId9" Type="http://schemas.openxmlformats.org/officeDocument/2006/relationships/printerSettings" Target="../printerSettings/printerSettings1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5" Type="http://schemas.openxmlformats.org/officeDocument/2006/relationships/printerSettings" Target="../printerSettings/printerSettings24.bin"/><Relationship Id="rId4"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K266"/>
  <sheetViews>
    <sheetView zoomScale="85" zoomScaleNormal="85" workbookViewId="0">
      <selection activeCell="G11" sqref="G11"/>
    </sheetView>
  </sheetViews>
  <sheetFormatPr defaultRowHeight="15" x14ac:dyDescent="0.25"/>
  <cols>
    <col min="3" max="3" width="17" customWidth="1"/>
    <col min="5" max="5" width="37.7109375" customWidth="1"/>
    <col min="6" max="6" width="36.28515625" customWidth="1"/>
    <col min="7" max="7" width="15" customWidth="1"/>
    <col min="8" max="8" width="65.7109375" bestFit="1" customWidth="1"/>
    <col min="11" max="11" width="49.7109375" bestFit="1" customWidth="1"/>
    <col min="12" max="12" width="33.42578125" customWidth="1"/>
    <col min="13" max="13" width="38.140625" customWidth="1"/>
    <col min="24" max="24" width="19.28515625" bestFit="1" customWidth="1"/>
    <col min="25" max="25" width="17.42578125" bestFit="1" customWidth="1"/>
    <col min="26" max="26" width="16" bestFit="1" customWidth="1"/>
    <col min="27" max="28" width="15" bestFit="1" customWidth="1"/>
    <col min="30" max="30" width="7.7109375" bestFit="1" customWidth="1"/>
    <col min="31" max="31" width="4.42578125" bestFit="1" customWidth="1"/>
    <col min="32" max="32" width="12.5703125" customWidth="1"/>
    <col min="33" max="33" width="14.140625" customWidth="1"/>
    <col min="34" max="34" width="14" customWidth="1"/>
    <col min="35" max="36" width="43.42578125" customWidth="1"/>
  </cols>
  <sheetData>
    <row r="1" spans="1:27" x14ac:dyDescent="0.25">
      <c r="A1" s="1" t="s">
        <v>887</v>
      </c>
    </row>
    <row r="2" spans="1:27" x14ac:dyDescent="0.25">
      <c r="B2" s="1" t="s">
        <v>61</v>
      </c>
      <c r="J2" s="1" t="s">
        <v>61</v>
      </c>
    </row>
    <row r="3" spans="1:27" x14ac:dyDescent="0.25">
      <c r="B3" s="2" t="s">
        <v>0</v>
      </c>
      <c r="C3" s="2" t="s">
        <v>8</v>
      </c>
      <c r="D3" s="2" t="s">
        <v>467</v>
      </c>
      <c r="E3" s="2" t="s">
        <v>62</v>
      </c>
      <c r="F3" s="2" t="s">
        <v>494</v>
      </c>
      <c r="G3" s="2" t="s">
        <v>23</v>
      </c>
      <c r="H3" s="4" t="s">
        <v>28</v>
      </c>
      <c r="J3" s="2" t="s">
        <v>0</v>
      </c>
      <c r="K3" s="2" t="s">
        <v>8</v>
      </c>
      <c r="L3" s="2" t="s">
        <v>26</v>
      </c>
      <c r="M3" s="2" t="s">
        <v>27</v>
      </c>
      <c r="N3" s="2" t="s">
        <v>24</v>
      </c>
      <c r="O3" s="2" t="s">
        <v>23</v>
      </c>
      <c r="P3" s="4" t="s">
        <v>28</v>
      </c>
    </row>
    <row r="4" spans="1:27" x14ac:dyDescent="0.25">
      <c r="B4" s="3">
        <v>1</v>
      </c>
      <c r="C4" s="36" t="s">
        <v>6</v>
      </c>
      <c r="D4" s="77">
        <f>SUMIFS($T$45:$T$265,$D$45:$D$265,Table!$D$3,$P$45:$P$265,C4)</f>
        <v>1921.5</v>
      </c>
      <c r="E4" s="77">
        <f>SUMIFS($T$45:$T$265,$D$45:$D$265,Table!$D$3,$P$45:$P$265,C4)-SUM(SUMIFS($T$45:$T$265,$D$45:$D$265,Table!$D$3,$P$45:$P$265,C4,$X$45:$X$265,{"Ongoing","N/A",""}))</f>
        <v>1921.5</v>
      </c>
      <c r="F4" s="77">
        <f>1/8*(SUMIFS($W$45:$W$265,$D$45:$D$265,Table!$D$3,$P$45:$P$265,C4)-SUM(SUMIFS($W$45:$W$265,$D$45:$D$265,Table!$D$3,$P$45:$P$265,C4,$X$45:$X$265,{"Ongoing","N/A",""})))</f>
        <v>5.125</v>
      </c>
      <c r="G4" s="77">
        <f>IF(ISERROR(E4/(F4)),"N/A",E4/F4)</f>
        <v>374.92682926829269</v>
      </c>
      <c r="H4" s="78">
        <f>IF(ISERROR(E4/D4),"N/A",E4/D4)</f>
        <v>1</v>
      </c>
      <c r="J4" s="3">
        <v>1</v>
      </c>
      <c r="K4" s="36" t="s">
        <v>6</v>
      </c>
      <c r="L4" s="77">
        <f>SUMIFS($S$45:$S$265,$D$45:$D$265,Table!$D$3,$P$45:$P$265,K4)</f>
        <v>3222</v>
      </c>
      <c r="M4" s="77">
        <f>SUMIFS($T$45:$T$265,$D$45:$D$265,Table!$D$3,$P$45:$P$265,K4)-SUM(SUMIFS($T$45:$T$265,$D$45:$D$265,Table!$D$3,$P$45:$P$265,K4,$X$45:$X$265,{"Ongoing","N/A",""}))</f>
        <v>1921.5</v>
      </c>
      <c r="N4" s="77">
        <f>1/8*(SUMIFS($W$45:$W$265,$D$45:$D$265,Table!$D$3,$P$45:$P$265,K4)-SUM(SUMIFS($W$45:$W$265,$D$45:$D$265,Table!$D$3,$P$45:$P$265,K4,$X$45:$X$265,{"Ongoing","N/A",""})))</f>
        <v>5.125</v>
      </c>
      <c r="O4" s="77">
        <f>IF(ISERROR(M4/(N4)),"N/A",M4/N4)</f>
        <v>374.92682926829269</v>
      </c>
      <c r="P4" s="78">
        <f>IF(ISERROR(M4/L4),"N/A",M4/L4)</f>
        <v>0.59636871508379885</v>
      </c>
    </row>
    <row r="5" spans="1:27" x14ac:dyDescent="0.25">
      <c r="B5" s="3">
        <v>2</v>
      </c>
      <c r="C5" s="36" t="s">
        <v>73</v>
      </c>
      <c r="D5" s="77">
        <f>SUMIFS($T$45:$T$265,$D$45:$D$265,Table!$D$3,$P$45:$P$265,C5)</f>
        <v>1811.25</v>
      </c>
      <c r="E5" s="77">
        <f>SUMIFS($T$45:$T$265,$D$45:$D$265,Table!$D$3,$P$45:$P$265,C5)-SUM(SUMIFS($T$45:$T$265,$D$45:$D$265,Table!$D$3,$P$45:$P$265,C5,$X$45:$X$265,{"Ongoing","N/A",""}))</f>
        <v>1811.25</v>
      </c>
      <c r="F5" s="77">
        <f>1/8*(SUMIFS($W$45:$W$265,$D$45:$D$265,Table!$D$3,$P$45:$P$265,C5)-SUM(SUMIFS($W$45:$W$265,$D$45:$D$265,Table!$D$3,$P$45:$P$265,C5,$X$45:$X$265,{"Ongoing","N/A",""})))</f>
        <v>3</v>
      </c>
      <c r="G5" s="77">
        <f t="shared" ref="G5:G7" si="0">IF(ISERROR(E5/(F5)),"N/A",E5/F5)</f>
        <v>603.75</v>
      </c>
      <c r="H5" s="78">
        <f t="shared" ref="H5:H8" si="1">IF(ISERROR(E5/D5),"N/A",E5/D5)</f>
        <v>1</v>
      </c>
      <c r="J5" s="3">
        <v>2</v>
      </c>
      <c r="K5" s="36" t="s">
        <v>73</v>
      </c>
      <c r="L5" s="77">
        <f>SUMIFS($S$45:$S$265,$D$45:$D$265,Table!$D$3,$P$45:$P$265,K5)</f>
        <v>3218</v>
      </c>
      <c r="M5" s="77">
        <f>SUMIFS($T$45:$T$265,$D$45:$D$265,Table!$D$3,$P$45:$P$265,K5)-SUM(SUMIFS($T$45:$T$265,$D$45:$D$265,Table!$D$3,$P$45:$P$265,K5,$X$45:$X$265,{"Ongoing","N/A",""}))</f>
        <v>1811.25</v>
      </c>
      <c r="N5" s="77">
        <f>1/8*(SUMIFS($W$45:$W$265,$D$45:$D$265,Table!$D$3,$P$45:$P$265,K5)-SUM(SUMIFS($W$45:$W$265,$D$45:$D$265,Table!$D$3,$P$45:$P$265,K5,$X$45:$X$265,{"Ongoing","N/A",""})))</f>
        <v>3</v>
      </c>
      <c r="O5" s="77">
        <f t="shared" ref="O5:O7" si="2">IF(ISERROR(M5/(N5)),"N/A",M5/N5)</f>
        <v>603.75</v>
      </c>
      <c r="P5" s="78">
        <f t="shared" ref="P5:P8" si="3">IF(ISERROR(M5/L5),"N/A",M5/L5)</f>
        <v>0.56284959602237417</v>
      </c>
    </row>
    <row r="6" spans="1:27" x14ac:dyDescent="0.25">
      <c r="B6" s="3">
        <v>3</v>
      </c>
      <c r="C6" s="36" t="s">
        <v>74</v>
      </c>
      <c r="D6" s="77">
        <f>SUMIFS($T$45:$T$265,$D$45:$D$265,Table!$D$3,$P$45:$P$265,C6)</f>
        <v>2277</v>
      </c>
      <c r="E6" s="77">
        <f>SUMIFS($T$45:$T$265,$D$45:$D$265,Table!$D$3,$P$45:$P$265,C6)-SUM(SUMIFS($T$45:$T$265,$D$45:$D$265,Table!$D$3,$P$45:$P$265,C6,$X$45:$X$265,{"Ongoing","N/A",""}))</f>
        <v>2277</v>
      </c>
      <c r="F6" s="77">
        <f>1/8*(SUMIFS($W$45:$W$265,$D$45:$D$265,Table!$D$3,$P$45:$P$265,C6)-SUM(SUMIFS($W$45:$W$265,$D$45:$D$265,Table!$D$3,$P$45:$P$265,C6,$X$45:$X$265,{"Ongoing","N/A",""})))</f>
        <v>5</v>
      </c>
      <c r="G6" s="77">
        <f t="shared" si="0"/>
        <v>455.4</v>
      </c>
      <c r="H6" s="78">
        <f t="shared" si="1"/>
        <v>1</v>
      </c>
      <c r="J6" s="3">
        <v>3</v>
      </c>
      <c r="K6" s="36" t="s">
        <v>74</v>
      </c>
      <c r="L6" s="77">
        <f>SUMIFS($S$45:$S$265,$D$45:$D$265,Table!$D$3,$P$45:$P$265,K6)</f>
        <v>2642</v>
      </c>
      <c r="M6" s="77">
        <f>SUMIFS($T$45:$T$265,$D$45:$D$265,Table!$D$3,$P$45:$P$265,K6)-SUM(SUMIFS($T$45:$T$265,$D$45:$D$265,Table!$D$3,$P$45:$P$265,K6,$X$45:$X$265,{"Ongoing","N/A",""}))</f>
        <v>2277</v>
      </c>
      <c r="N6" s="77">
        <f>1/8*(SUMIFS($W$45:$W$265,$D$45:$D$265,Table!$D$3,$P$45:$P$265,K6)-SUM(SUMIFS($W$45:$W$265,$D$45:$D$265,Table!$D$3,$P$45:$P$265,K6,$X$45:$X$265,{"Ongoing","N/A",""})))</f>
        <v>5</v>
      </c>
      <c r="O6" s="77">
        <f t="shared" si="2"/>
        <v>455.4</v>
      </c>
      <c r="P6" s="78">
        <f t="shared" si="3"/>
        <v>0.86184708554125666</v>
      </c>
    </row>
    <row r="7" spans="1:27" x14ac:dyDescent="0.25">
      <c r="B7" s="3">
        <v>4</v>
      </c>
      <c r="C7" s="36" t="s">
        <v>75</v>
      </c>
      <c r="D7" s="77">
        <f>SUMIFS($T$45:$T$265,$D$45:$D$265,Table!$D$3,$P$45:$P$265,C7)</f>
        <v>1683</v>
      </c>
      <c r="E7" s="77">
        <f>SUMIFS($T$45:$T$265,$D$45:$D$265,Table!$D$3,$P$45:$P$265,C7)-SUM(SUMIFS($T$45:$T$265,$D$45:$D$265,Table!$D$3,$P$45:$P$265,C7,$X$45:$X$265,{"Ongoing","N/A",""}))</f>
        <v>1683</v>
      </c>
      <c r="F7" s="77">
        <f>1/8*(SUMIFS($W$45:$W$265,$D$45:$D$265,Table!$D$3,$P$45:$P$265,C7)-SUM(SUMIFS($W$45:$W$265,$D$45:$D$265,Table!$D$3,$P$45:$P$265,C7,$X$45:$X$265,{"Ongoing","N/A",""})))</f>
        <v>3.25</v>
      </c>
      <c r="G7" s="77">
        <f t="shared" si="0"/>
        <v>517.84615384615381</v>
      </c>
      <c r="H7" s="78">
        <f t="shared" si="1"/>
        <v>1</v>
      </c>
      <c r="J7" s="3">
        <v>4</v>
      </c>
      <c r="K7" s="36" t="s">
        <v>75</v>
      </c>
      <c r="L7" s="77">
        <f>SUMIFS($S$45:$S$265,$D$45:$D$265,Table!$D$3,$P$45:$P$265,K7)</f>
        <v>4213</v>
      </c>
      <c r="M7" s="77">
        <f>SUMIFS($T$45:$T$265,$D$45:$D$265,Table!$D$3,$P$45:$P$265,K7)-SUM(SUMIFS($T$45:$T$265,$D$45:$D$265,Table!$D$3,$P$45:$P$265,K7,$X$45:$X$265,{"Ongoing","N/A",""}))</f>
        <v>1683</v>
      </c>
      <c r="N7" s="77">
        <f>1/8*(SUMIFS($W$45:$W$265,$D$45:$D$265,Table!$D$3,$P$45:$P$265,K7)-SUM(SUMIFS($W$45:$W$265,$D$45:$D$265,Table!$D$3,$P$45:$P$265,K7,$X$45:$X$265,{"Ongoing","N/A",""})))</f>
        <v>3.25</v>
      </c>
      <c r="O7" s="77">
        <f t="shared" si="2"/>
        <v>517.84615384615381</v>
      </c>
      <c r="P7" s="78">
        <f t="shared" si="3"/>
        <v>0.39947780678851175</v>
      </c>
    </row>
    <row r="8" spans="1:27" x14ac:dyDescent="0.25">
      <c r="B8" s="2" t="s">
        <v>287</v>
      </c>
      <c r="C8" s="35"/>
      <c r="D8" s="79">
        <f>SUMIFS($T$45:$T$265,$D$45:$D$265,Table!$D$3)</f>
        <v>7692.75</v>
      </c>
      <c r="E8" s="79">
        <f>SUMIFS($T$45:$T$265,$D$45:$D$265,Table!$D$3)-SUM(SUMIFS($T$45:$T$265,$D$45:$D$265,Table!$D$3,$X$45:$X$265,{"Ongoing","N/A",""}))</f>
        <v>7692.75</v>
      </c>
      <c r="F8" s="79">
        <f>1/8*(SUMIFS($W$45:$W$265,$D$45:$D$265,Table!$D$3)-SUM(SUMIFS($W$45:$W$265,$D$45:$D$265,Table!$D$3,$X$45:$X$265,{"Ongoing","N/A",""})))</f>
        <v>16.375</v>
      </c>
      <c r="G8" s="77">
        <f>IF(ISERROR(E8/(F8)),"N/A",E8/F8)</f>
        <v>469.78625954198475</v>
      </c>
      <c r="H8" s="78">
        <f t="shared" si="1"/>
        <v>1</v>
      </c>
      <c r="J8" s="2" t="s">
        <v>287</v>
      </c>
      <c r="K8" s="35"/>
      <c r="L8" s="79">
        <f>SUMIFS($S$45:$S$265,$D$45:$D$265,Table!$D$3)</f>
        <v>13295</v>
      </c>
      <c r="M8" s="79">
        <f>SUMIFS($S$45:$S$265,$D$45:$D$265,Table!$D$3)-SUM(SUMIFS($S$45:$S$265,$D$45:$D$265,Table!$D$3,$X$45:$X$265,{"Ongoing","N/A",""}))</f>
        <v>13295</v>
      </c>
      <c r="N8" s="79">
        <f>1/8*(SUMIFS($W$45:$W$265,$D$45:$D$265,Table!$D$3)-SUM(SUMIFS($W$45:$W$265,$D$45:$D$265,Table!$D$3,$X$45:$X$265,{"Ongoing","N/A",""})))</f>
        <v>16.375</v>
      </c>
      <c r="O8" s="77">
        <f>IF(ISERROR(M8/(N8)),"N/A",M8/N8)</f>
        <v>811.90839694656484</v>
      </c>
      <c r="P8" s="78">
        <f t="shared" si="3"/>
        <v>1</v>
      </c>
    </row>
    <row r="11" spans="1:27" x14ac:dyDescent="0.25">
      <c r="B11" s="1" t="s">
        <v>60</v>
      </c>
      <c r="J11" s="1" t="s">
        <v>60</v>
      </c>
    </row>
    <row r="12" spans="1:27" x14ac:dyDescent="0.25">
      <c r="B12" s="2" t="s">
        <v>0</v>
      </c>
      <c r="C12" s="2" t="s">
        <v>8</v>
      </c>
      <c r="D12" s="2" t="s">
        <v>467</v>
      </c>
      <c r="E12" s="2" t="s">
        <v>62</v>
      </c>
      <c r="F12" s="2" t="s">
        <v>494</v>
      </c>
      <c r="G12" s="2" t="s">
        <v>23</v>
      </c>
      <c r="H12" s="4" t="s">
        <v>28</v>
      </c>
      <c r="J12" s="2" t="s">
        <v>0</v>
      </c>
      <c r="K12" s="2" t="s">
        <v>8</v>
      </c>
      <c r="L12" s="2" t="s">
        <v>26</v>
      </c>
      <c r="M12" s="2" t="s">
        <v>27</v>
      </c>
      <c r="N12" s="2" t="s">
        <v>24</v>
      </c>
      <c r="O12" s="2" t="s">
        <v>23</v>
      </c>
      <c r="P12" s="4" t="s">
        <v>28</v>
      </c>
    </row>
    <row r="13" spans="1:27" x14ac:dyDescent="0.25">
      <c r="B13" s="3">
        <v>1</v>
      </c>
      <c r="C13" s="36" t="s">
        <v>6</v>
      </c>
      <c r="D13" s="77">
        <f>SUMIFS($T$45:$T$265,$D$45:$D$265,Table!$C$3,$P$45:$P$265,C13)</f>
        <v>2008.425999999999</v>
      </c>
      <c r="E13" s="77">
        <f>SUMIFS($U$45:$U$265,$D$45:$D$265,Table!$C$3,$P$45:$P$265,C13)-SUM(SUMIFS($U$45:$U$265,$D$45:$D$265,Table!$C$3,$P$45:$P$265,C13,$X$45:$X$265,{"Ongoing","N/A",""}))</f>
        <v>2008.425999999999</v>
      </c>
      <c r="F13" s="77">
        <f>1/8*(SUMIFS($W$45:$W$265,$D$45:$D$265,Table!$C$3,$P$45:$P$265,C13)-SUM(SUMIFS($W$45:$W$265,$D$45:$D$265,Table!$C$3,$P$45:$P$265,C13,$X$45:$X$265,{"Ongoing","N/A",""})))</f>
        <v>17</v>
      </c>
      <c r="G13" s="77">
        <f>IF(ISERROR(E13/(F13)),"N/A",E13/F13)</f>
        <v>118.14270588235289</v>
      </c>
      <c r="H13" s="78">
        <f>IF(ISERROR(E13/D13),"N/A",E13/D13)</f>
        <v>1</v>
      </c>
      <c r="J13" s="3">
        <v>1</v>
      </c>
      <c r="K13" s="36" t="s">
        <v>6</v>
      </c>
      <c r="L13" s="77">
        <f>SUMIFS($S$45:$S$265,$D$45:$D$265,Table!$C$3,$P$45:$P$265,K13)</f>
        <v>1308</v>
      </c>
      <c r="M13" s="77">
        <f>SUMIFS($S$45:$S$265,$D$45:$D$265,Table!$C$3,$P$45:$P$265,K13)-SUM(SUMIFS($S$45:$S$265,$D$45:$D$265,Table!$C$3,$P$45:$P$265,K13,$X$45:$X$265,{"Ongoing","N/A",""}))</f>
        <v>1308</v>
      </c>
      <c r="N13" s="77">
        <f>1/8*(SUMIFS($W$45:$W$265,$D$45:$D$265,Table!$C$3,$P$45:$P$265,K13)-SUM(SUMIFS($W$45:$W$265,$D$45:$D$265,Table!$C$3,$P$45:$P$265,K13,$X$45:$X$265,{"Ongoing","N/A",""})))</f>
        <v>17</v>
      </c>
      <c r="O13" s="77">
        <f>IF(ISERROR(M13/(N13)),"N/A",M13/N13)</f>
        <v>76.941176470588232</v>
      </c>
      <c r="P13" s="78">
        <f>IF(ISERROR(M13/L13),"N/A",M13/L13)</f>
        <v>1</v>
      </c>
    </row>
    <row r="14" spans="1:27" x14ac:dyDescent="0.25">
      <c r="B14" s="3">
        <v>2</v>
      </c>
      <c r="C14" s="36" t="s">
        <v>73</v>
      </c>
      <c r="D14" s="77">
        <f>SUMIFS($T$45:$T$265,$D$45:$D$265,Table!$C$3,$P$45:$P$265,C14)</f>
        <v>2207.7339999999995</v>
      </c>
      <c r="E14" s="77">
        <f>SUMIFS($U$45:$U$265,$D$45:$D$265,Table!$C$3,$P$45:$P$265,C14)-SUM(SUMIFS($U$45:$U$265,$D$45:$D$265,Table!$C$3,$P$45:$P$265,C14,$X$45:$X$265,{"Ongoing","N/A",""}))</f>
        <v>2207.7339999999995</v>
      </c>
      <c r="F14" s="77">
        <f>1/8*(SUMIFS($W$45:$W$265,$D$45:$D$265,Table!$C$3,$P$45:$P$265,C14)-SUM(SUMIFS($W$45:$W$265,$D$45:$D$265,Table!$C$3,$P$45:$P$265,C14,$X$45:$X$265,{"Ongoing","N/A",""})))</f>
        <v>15.750000000000002</v>
      </c>
      <c r="G14" s="77">
        <f t="shared" ref="G14:G17" si="4">IF(ISERROR(E14/(F14)),"N/A",E14/F14)</f>
        <v>140.17358730158725</v>
      </c>
      <c r="H14" s="78">
        <f t="shared" ref="H14:H17" si="5">IF(ISERROR(E14/D14),"N/A",E14/D14)</f>
        <v>1</v>
      </c>
      <c r="J14" s="3">
        <v>2</v>
      </c>
      <c r="K14" s="36" t="s">
        <v>73</v>
      </c>
      <c r="L14" s="77">
        <f>SUMIFS($S$45:$S$265,$D$45:$D$265,Table!$C$3,$P$45:$P$265,K14)</f>
        <v>1449</v>
      </c>
      <c r="M14" s="77">
        <f>SUMIFS($S$45:$S$265,$D$45:$D$265,Table!$C$3,$P$45:$P$265,K14)-SUM(SUMIFS($S$45:$S$265,$D$45:$D$265,Table!$C$3,$P$45:$P$265,K14,$X$45:$X$265,{"Ongoing","N/A",""}))</f>
        <v>1449</v>
      </c>
      <c r="N14" s="77">
        <f>1/8*(SUMIFS($W$45:$W$265,$D$45:$D$265,Table!$C$3,$P$45:$P$265,K14)-SUM(SUMIFS($W$45:$W$265,$D$45:$D$265,Table!$C$3,$P$45:$P$265,K14,$X$45:$X$265,{"Ongoing","N/A",""})))</f>
        <v>15.750000000000002</v>
      </c>
      <c r="O14" s="77">
        <f t="shared" ref="O14:O17" si="6">IF(ISERROR(M14/(N14)),"N/A",M14/N14)</f>
        <v>91.999999999999986</v>
      </c>
      <c r="P14" s="78">
        <f t="shared" ref="P14:P17" si="7">IF(ISERROR(M14/L14),"N/A",M14/L14)</f>
        <v>1</v>
      </c>
    </row>
    <row r="15" spans="1:27" x14ac:dyDescent="0.25">
      <c r="B15" s="3">
        <v>3</v>
      </c>
      <c r="C15" s="36" t="s">
        <v>74</v>
      </c>
      <c r="D15" s="77">
        <f>SUMIFS($T$45:$T$265,$D$45:$D$265,Table!$C$3,$P$45:$P$265,C15)</f>
        <v>1269.6160000000002</v>
      </c>
      <c r="E15" s="77">
        <f>SUMIFS($U$45:$U$265,$D$45:$D$265,Table!$C$3,$P$45:$P$265,C15)-SUM(SUMIFS($U$45:$U$265,$D$45:$D$265,Table!$C$3,$P$45:$P$265,C15,$X$45:$X$265,{"Ongoing","N/A",""}))</f>
        <v>1269.6160000000002</v>
      </c>
      <c r="F15" s="77">
        <f>1/8*(SUMIFS($W$45:$W$265,$D$45:$D$265,Table!$C$3,$P$45:$P$265,C15)-SUM(SUMIFS($W$45:$W$265,$D$45:$D$265,Table!$C$3,$P$45:$P$265,C15,$X$45:$X$265,{"Ongoing","N/A",""})))</f>
        <v>12.375</v>
      </c>
      <c r="G15" s="77">
        <f t="shared" si="4"/>
        <v>102.59523232323234</v>
      </c>
      <c r="H15" s="78">
        <f t="shared" si="5"/>
        <v>1</v>
      </c>
      <c r="J15" s="3">
        <v>3</v>
      </c>
      <c r="K15" s="36" t="s">
        <v>74</v>
      </c>
      <c r="L15" s="77">
        <f>SUMIFS($S$45:$S$265,$D$45:$D$265,Table!$C$3,$P$45:$P$265,K15)</f>
        <v>267</v>
      </c>
      <c r="M15" s="77">
        <f>SUMIFS($S$45:$S$265,$D$45:$D$265,Table!$C$3,$P$45:$P$265,K15)-SUM(SUMIFS($S$45:$S$265,$D$45:$D$265,Table!$C$3,$P$45:$P$265,K15,$X$45:$X$265,{"Ongoing","N/A",""}))</f>
        <v>267</v>
      </c>
      <c r="N15" s="77">
        <f>1/8*(SUMIFS($W$45:$W$265,$D$45:$D$265,Table!$C$3,$P$45:$P$265,K15)-SUM(SUMIFS($W$45:$W$265,$D$45:$D$265,Table!$C$3,$P$45:$P$265,K15,$X$45:$X$265,{"Ongoing","N/A",""})))</f>
        <v>12.375</v>
      </c>
      <c r="O15" s="77">
        <f t="shared" si="6"/>
        <v>21.575757575757574</v>
      </c>
      <c r="P15" s="78">
        <f t="shared" si="7"/>
        <v>1</v>
      </c>
      <c r="AA15" s="7"/>
    </row>
    <row r="16" spans="1:27" x14ac:dyDescent="0.25">
      <c r="B16" s="3">
        <v>4</v>
      </c>
      <c r="C16" s="36" t="s">
        <v>75</v>
      </c>
      <c r="D16" s="77">
        <f>SUMIFS($T$45:$T$265,$D$45:$D$265,Table!$C$3,$P$45:$P$265,C16)</f>
        <v>2046.5319999999995</v>
      </c>
      <c r="E16" s="77">
        <f>SUMIFS($U$45:$U$265,$D$45:$D$265,Table!$C$3,$P$45:$P$265,C16)-SUM(SUMIFS($U$45:$U$265,$D$45:$D$265,Table!$C$3,$P$45:$P$265,C16,$X$45:$X$265,{"Ongoing","N/A",""}))</f>
        <v>2046.5319999999995</v>
      </c>
      <c r="F16" s="77">
        <f>1/8*(SUMIFS($W$45:$W$265,$D$45:$D$265,Table!$C$3,$P$45:$P$265,C16)-SUM(SUMIFS($W$45:$W$265,$D$45:$D$265,Table!$C$3,$P$45:$P$265,C16,$X$45:$X$265,{"Ongoing","N/A",""})))</f>
        <v>15.625</v>
      </c>
      <c r="G16" s="77">
        <f t="shared" si="4"/>
        <v>130.97804799999997</v>
      </c>
      <c r="H16" s="78">
        <f t="shared" si="5"/>
        <v>1</v>
      </c>
      <c r="J16" s="3">
        <v>4</v>
      </c>
      <c r="K16" s="36" t="s">
        <v>75</v>
      </c>
      <c r="L16" s="77">
        <f>SUMIFS($S$45:$S$265,$D$45:$D$265,Table!$C$3,$P$45:$P$265,K16)</f>
        <v>1645</v>
      </c>
      <c r="M16" s="77">
        <f>SUMIFS($S$45:$S$265,$D$45:$D$265,Table!$C$3,$P$45:$P$265,K16)-SUM(SUMIFS($S$45:$S$265,$D$45:$D$265,Table!$C$3,$P$45:$P$265,K16,$X$45:$X$265,{"Ongoing","N/A",""}))</f>
        <v>1645</v>
      </c>
      <c r="N16" s="77">
        <f>1/8*(SUMIFS($W$45:$W$265,$D$45:$D$265,Table!$C$3,$P$45:$P$265,K16)-SUM(SUMIFS($W$45:$W$265,$D$45:$D$265,Table!$C$3,$P$45:$P$265,K16,$X$45:$X$265,{"Ongoing","N/A",""})))</f>
        <v>15.625</v>
      </c>
      <c r="O16" s="77">
        <f t="shared" si="6"/>
        <v>105.28</v>
      </c>
      <c r="P16" s="78">
        <f t="shared" si="7"/>
        <v>1</v>
      </c>
      <c r="AA16" s="7"/>
    </row>
    <row r="17" spans="2:27" x14ac:dyDescent="0.25">
      <c r="B17" s="2" t="s">
        <v>287</v>
      </c>
      <c r="C17" s="35"/>
      <c r="D17" s="79">
        <f>ROUND(SUMIFS($T$45:$T$265,$D$45:$D$265,Table!$C$3),3)</f>
        <v>7532.308</v>
      </c>
      <c r="E17" s="79">
        <f>ROUND(SUMIFS($T$45:$T$265,$D$45:$D$265,Table!$C$3)-SUM(SUMIFS($T$45:$T$265,$D$45:$D$265,Table!$C$3,$X$45:$X$265,{"Ongoing","N/A",""})),3)</f>
        <v>7532.308</v>
      </c>
      <c r="F17" s="79">
        <f>1/8*(SUMIFS($W$45:$W$265,$D$45:$D$265,Table!$C$3)-SUM(SUMIFS($W$45:$W$265,$D$45:$D$265,Table!$C$3,$X$45:$X$265,{"Ongoing","N/A",""})))</f>
        <v>60.749999999999993</v>
      </c>
      <c r="G17" s="77">
        <f t="shared" si="4"/>
        <v>123.98860905349795</v>
      </c>
      <c r="H17" s="78">
        <f t="shared" si="5"/>
        <v>1</v>
      </c>
      <c r="J17" s="2" t="s">
        <v>287</v>
      </c>
      <c r="K17" s="35"/>
      <c r="L17" s="79">
        <f>SUMIFS($S$45:$S$265,$D$45:$D$265,Table!$C$3)</f>
        <v>4669</v>
      </c>
      <c r="M17" s="79">
        <f>SUMIFS($S$45:$S$265,$D$45:$D$265,Table!$C$3)-SUM(SUMIFS($S$45:$S$265,$D$45:$D$265,Table!$C$3,$X$45:$X$265,{"Ongoing","N/A",""}))</f>
        <v>4669</v>
      </c>
      <c r="N17" s="79">
        <f>1/8*(SUMIFS($W$45:$W$265,$D$45:$D$265,Table!$C$3)-SUM(SUMIFS($W$45:$W$265,$D$45:$D$265,Table!$C$3,$X$45:$X$265,{"Ongoing","N/A",""})))</f>
        <v>60.749999999999993</v>
      </c>
      <c r="O17" s="77">
        <f t="shared" si="6"/>
        <v>76.855967078189309</v>
      </c>
      <c r="P17" s="78">
        <f t="shared" si="7"/>
        <v>1</v>
      </c>
      <c r="AA17" s="7"/>
    </row>
    <row r="19" spans="2:27" ht="19.5" customHeight="1" x14ac:dyDescent="0.25"/>
    <row r="20" spans="2:27" x14ac:dyDescent="0.25">
      <c r="B20" s="1" t="s">
        <v>288</v>
      </c>
      <c r="J20" s="1" t="s">
        <v>288</v>
      </c>
    </row>
    <row r="21" spans="2:27" x14ac:dyDescent="0.25">
      <c r="B21" s="2" t="s">
        <v>0</v>
      </c>
      <c r="C21" s="2" t="s">
        <v>8</v>
      </c>
      <c r="D21" s="2" t="s">
        <v>467</v>
      </c>
      <c r="E21" s="2" t="s">
        <v>62</v>
      </c>
      <c r="F21" s="2" t="s">
        <v>229</v>
      </c>
      <c r="G21" s="2" t="s">
        <v>23</v>
      </c>
      <c r="H21" s="4" t="s">
        <v>28</v>
      </c>
      <c r="J21" s="2" t="s">
        <v>0</v>
      </c>
      <c r="K21" s="2" t="s">
        <v>8</v>
      </c>
      <c r="L21" s="2" t="s">
        <v>26</v>
      </c>
      <c r="M21" s="2" t="s">
        <v>27</v>
      </c>
      <c r="N21" s="2" t="s">
        <v>24</v>
      </c>
      <c r="O21" s="2" t="s">
        <v>23</v>
      </c>
      <c r="P21" s="4" t="s">
        <v>28</v>
      </c>
    </row>
    <row r="22" spans="2:27" x14ac:dyDescent="0.25">
      <c r="B22" s="3">
        <v>1</v>
      </c>
      <c r="C22" s="36" t="s">
        <v>6</v>
      </c>
      <c r="D22" s="77">
        <f>SUM(D13*Table!$D$4/Table!$C$4,D4)</f>
        <v>8873.7438461538441</v>
      </c>
      <c r="E22" s="77">
        <f>SUM(E13*Table!$D$4/Table!$C$4,E4)</f>
        <v>8873.7438461538441</v>
      </c>
      <c r="F22" s="77">
        <f ca="1">$C$42</f>
        <v>26</v>
      </c>
      <c r="G22" s="77">
        <f t="shared" ref="G22" ca="1" si="8">IF(ISERROR(E22/(F22)),"N/A",E22/F22)</f>
        <v>341.29784023668628</v>
      </c>
      <c r="H22" s="78">
        <f t="shared" ref="H22:H26" si="9">IF(ISERROR(E22/D22),"N/A",E22/D22)</f>
        <v>1</v>
      </c>
      <c r="J22" s="3">
        <v>1</v>
      </c>
      <c r="K22" s="36" t="s">
        <v>6</v>
      </c>
      <c r="L22" s="77">
        <f>SUM(L13*Table!$D$4/Table!$C$4,L4)</f>
        <v>7749.6923076923076</v>
      </c>
      <c r="M22" s="77">
        <f>SUM(M13*Table!$D$4/Table!$C$4,M4)</f>
        <v>6449.1923076923076</v>
      </c>
      <c r="N22" s="77">
        <f ca="1">IF(OR(Template_Weekly_Report!E34="-",Template_Weekly_Report!E34=""),Template_Weekly_Report!$B$4,Template_Weekly_Report!$B$4-Template_Weekly_Report!E34)+Table!D13</f>
        <v>26</v>
      </c>
      <c r="O22" s="77">
        <f t="shared" ref="O22" ca="1" si="10">IF(ISERROR(M22/(N22)),"N/A",M22/N22)</f>
        <v>248.04585798816566</v>
      </c>
      <c r="P22" s="78">
        <f t="shared" ref="P22:P26" si="11">IF(ISERROR(M22/L22),"N/A",M22/L22)</f>
        <v>0.83218688583169553</v>
      </c>
    </row>
    <row r="23" spans="2:27" x14ac:dyDescent="0.25">
      <c r="B23" s="3">
        <v>2</v>
      </c>
      <c r="C23" s="36" t="s">
        <v>73</v>
      </c>
      <c r="D23" s="77">
        <f>SUM(D14*Table!$D$4/Table!$C$4,D5)</f>
        <v>9453.4061538461538</v>
      </c>
      <c r="E23" s="77">
        <f>SUM(E14*Table!$D$4/Table!$C$4,E5)</f>
        <v>9453.4061538461538</v>
      </c>
      <c r="F23" s="77">
        <f ca="1">$C$42</f>
        <v>26</v>
      </c>
      <c r="G23" s="77">
        <f ca="1">IF(ISERROR(E23/(F23)),"N/A",E23/F23)</f>
        <v>363.59254437869822</v>
      </c>
      <c r="H23" s="78">
        <f t="shared" si="9"/>
        <v>1</v>
      </c>
      <c r="J23" s="3">
        <v>2</v>
      </c>
      <c r="K23" s="36" t="s">
        <v>73</v>
      </c>
      <c r="L23" s="77">
        <f>SUM(L14*Table!$D$4/Table!$C$4,L5)</f>
        <v>8233.7692307692305</v>
      </c>
      <c r="M23" s="77">
        <f>SUM(M14*Table!$D$4/Table!$C$4,M5)</f>
        <v>6827.0192307692305</v>
      </c>
      <c r="N23" s="77">
        <f ca="1">IF(OR(Template_Weekly_Report!E35="-",Template_Weekly_Report!E35=""),Template_Weekly_Report!$B$4,Template_Weekly_Report!$B$4-Template_Weekly_Report!E35)+Table!D14</f>
        <v>26</v>
      </c>
      <c r="O23" s="77">
        <f ca="1">IF(ISERROR(M23/(N23)),"N/A",M23/N23)</f>
        <v>262.57766272189349</v>
      </c>
      <c r="P23" s="78">
        <f t="shared" si="11"/>
        <v>0.82914872149403485</v>
      </c>
    </row>
    <row r="24" spans="2:27" x14ac:dyDescent="0.25">
      <c r="B24" s="3">
        <v>3</v>
      </c>
      <c r="C24" s="36" t="s">
        <v>74</v>
      </c>
      <c r="D24" s="77">
        <f>SUM(D15*Table!$D$4/Table!$C$4,D6)</f>
        <v>6671.8246153846158</v>
      </c>
      <c r="E24" s="77">
        <f>SUM(E15*Table!$D$4/Table!$C$4,E6)</f>
        <v>6671.8246153846158</v>
      </c>
      <c r="F24" s="77">
        <f ca="1">$C$42</f>
        <v>26</v>
      </c>
      <c r="G24" s="77">
        <f t="shared" ref="G24" ca="1" si="12">IF(ISERROR(E24/(F24)),"N/A",E24/F24)</f>
        <v>256.60863905325448</v>
      </c>
      <c r="H24" s="78">
        <f t="shared" si="9"/>
        <v>1</v>
      </c>
      <c r="J24" s="3">
        <v>3</v>
      </c>
      <c r="K24" s="36" t="s">
        <v>74</v>
      </c>
      <c r="L24" s="77">
        <f>SUM(L15*Table!$D$4/Table!$C$4,L6)</f>
        <v>3566.2307692307695</v>
      </c>
      <c r="M24" s="77">
        <f>SUM(M15*Table!$D$4/Table!$C$4,M6)</f>
        <v>3201.2307692307695</v>
      </c>
      <c r="N24" s="77">
        <f ca="1">IF(OR(Template_Weekly_Report!E36="-",Template_Weekly_Report!E36=""),Template_Weekly_Report!$B$4,Template_Weekly_Report!$B$4-Template_Weekly_Report!E36)+Table!D15</f>
        <v>16</v>
      </c>
      <c r="O24" s="77">
        <f t="shared" ref="O24" ca="1" si="13">IF(ISERROR(M24/(N24)),"N/A",M24/N24)</f>
        <v>200.07692307692309</v>
      </c>
      <c r="P24" s="78">
        <f t="shared" si="11"/>
        <v>0.89765104290243958</v>
      </c>
    </row>
    <row r="25" spans="2:27" x14ac:dyDescent="0.25">
      <c r="B25" s="3">
        <v>4</v>
      </c>
      <c r="C25" s="36" t="s">
        <v>75</v>
      </c>
      <c r="D25" s="77">
        <f>SUM(D16*Table!$D$4/Table!$C$4,D7)</f>
        <v>8767.1492307692279</v>
      </c>
      <c r="E25" s="77">
        <f>SUM(E16*Table!$D$4/Table!$C$4,E7)</f>
        <v>8767.1492307692279</v>
      </c>
      <c r="F25" s="77">
        <f ca="1">$C$42</f>
        <v>26</v>
      </c>
      <c r="G25" s="77">
        <f ca="1">IF(ISERROR(E25/(F25)),"N/A",E25/F25)</f>
        <v>337.19804733727801</v>
      </c>
      <c r="H25" s="78">
        <f t="shared" si="9"/>
        <v>1</v>
      </c>
      <c r="J25" s="3">
        <v>4</v>
      </c>
      <c r="K25" s="36" t="s">
        <v>75</v>
      </c>
      <c r="L25" s="77">
        <f>SUM(L16*Table!$D$4/Table!$C$4,L7)</f>
        <v>9907.2307692307695</v>
      </c>
      <c r="M25" s="77">
        <f>SUM(M16*Table!$D$4/Table!$C$4,M7)</f>
        <v>7377.2307692307695</v>
      </c>
      <c r="N25" s="77">
        <f ca="1">IF(OR(Template_Weekly_Report!E37="-",Template_Weekly_Report!E37=""),Template_Weekly_Report!$B$4,Template_Weekly_Report!$B$4-Template_Weekly_Report!E37)+Table!D16</f>
        <v>26</v>
      </c>
      <c r="O25" s="77">
        <f ca="1">IF(ISERROR(M25/(N25)),"N/A",M25/N25)</f>
        <v>283.73964497041419</v>
      </c>
      <c r="P25" s="78">
        <f t="shared" si="11"/>
        <v>0.74463096106961502</v>
      </c>
    </row>
    <row r="26" spans="2:27" x14ac:dyDescent="0.25">
      <c r="B26" s="2" t="s">
        <v>287</v>
      </c>
      <c r="C26" s="35"/>
      <c r="D26" s="77">
        <f>SUM(D22:D25)</f>
        <v>33766.123846153845</v>
      </c>
      <c r="E26" s="77">
        <f>SUM(E22:E25)</f>
        <v>33766.123846153845</v>
      </c>
      <c r="F26" s="77">
        <f ca="1">$C$42*5</f>
        <v>130</v>
      </c>
      <c r="G26" s="77">
        <f ca="1">IF(ISERROR(E26/(F26)),"N/A",E26/F26)</f>
        <v>259.73941420118342</v>
      </c>
      <c r="H26" s="78">
        <f t="shared" si="9"/>
        <v>1</v>
      </c>
      <c r="J26" s="2" t="s">
        <v>287</v>
      </c>
      <c r="K26" s="35"/>
      <c r="L26" s="77">
        <f>SUM(L22:L25)</f>
        <v>29456.923076923078</v>
      </c>
      <c r="M26" s="77">
        <f>SUM(M22:M25)</f>
        <v>23854.673076923078</v>
      </c>
      <c r="N26" s="77">
        <f ca="1">Template_Weekly_Report!B4*COUNTA(C22:C25)</f>
        <v>104</v>
      </c>
      <c r="O26" s="77">
        <f ca="1">IF(ISERROR(M26/(N26)),"N/A",M26/N26)</f>
        <v>229.37185650887574</v>
      </c>
      <c r="P26" s="78">
        <f t="shared" si="11"/>
        <v>0.80981550634564159</v>
      </c>
    </row>
    <row r="29" spans="2:27" x14ac:dyDescent="0.25">
      <c r="B29" s="1" t="s">
        <v>48</v>
      </c>
    </row>
    <row r="30" spans="2:27" x14ac:dyDescent="0.25">
      <c r="C30" s="1" t="s">
        <v>50</v>
      </c>
    </row>
    <row r="31" spans="2:27" x14ac:dyDescent="0.25">
      <c r="D31" t="s">
        <v>49</v>
      </c>
    </row>
    <row r="32" spans="2:27" x14ac:dyDescent="0.25">
      <c r="D32" t="s">
        <v>217</v>
      </c>
    </row>
    <row r="33" spans="1:37" x14ac:dyDescent="0.25">
      <c r="C33" s="1" t="s">
        <v>51</v>
      </c>
    </row>
    <row r="34" spans="1:37" x14ac:dyDescent="0.25">
      <c r="D34" t="s">
        <v>52</v>
      </c>
    </row>
    <row r="35" spans="1:37" x14ac:dyDescent="0.25">
      <c r="D35" t="s">
        <v>53</v>
      </c>
    </row>
    <row r="39" spans="1:37" x14ac:dyDescent="0.25">
      <c r="B39" s="1" t="s">
        <v>47</v>
      </c>
      <c r="C39" s="68">
        <v>43896</v>
      </c>
      <c r="E39" s="68">
        <f ca="1">TODAY()</f>
        <v>43931</v>
      </c>
    </row>
    <row r="40" spans="1:37" x14ac:dyDescent="0.25">
      <c r="B40" s="1" t="s">
        <v>34</v>
      </c>
      <c r="C40" s="8">
        <f ca="1">SUM(INT((WEEKDAY(C39-{2,3,4,5,6}) +E39-C39)/7))</f>
        <v>26</v>
      </c>
    </row>
    <row r="41" spans="1:37" x14ac:dyDescent="0.25">
      <c r="B41" s="1" t="s">
        <v>758</v>
      </c>
      <c r="C41" s="8">
        <v>1</v>
      </c>
    </row>
    <row r="42" spans="1:37" x14ac:dyDescent="0.25">
      <c r="B42" s="1" t="s">
        <v>289</v>
      </c>
      <c r="C42">
        <f ca="1">IF(TODAY()&lt;E39,SUM(INT((WEEKDAY(C39-{2,3,4,5,6})+TODAY()-C39)/7)),SUM(INT((WEEKDAY(C39-{2,3,4,5,6})+E39-C39)/7)))</f>
        <v>26</v>
      </c>
    </row>
    <row r="44" spans="1:37" x14ac:dyDescent="0.25">
      <c r="B44" s="2" t="s">
        <v>0</v>
      </c>
      <c r="C44" s="2" t="s">
        <v>72</v>
      </c>
      <c r="D44" s="2" t="s">
        <v>1</v>
      </c>
      <c r="E44" s="2" t="s">
        <v>65</v>
      </c>
      <c r="F44" s="2" t="s">
        <v>66</v>
      </c>
      <c r="G44" s="2" t="s">
        <v>291</v>
      </c>
      <c r="H44" s="2" t="s">
        <v>67</v>
      </c>
      <c r="I44" s="2" t="s">
        <v>290</v>
      </c>
      <c r="J44" s="2" t="s">
        <v>81</v>
      </c>
      <c r="K44" s="2" t="s">
        <v>80</v>
      </c>
      <c r="L44" s="2" t="s">
        <v>71</v>
      </c>
      <c r="M44" s="2" t="s">
        <v>89</v>
      </c>
      <c r="N44" s="18" t="s">
        <v>64</v>
      </c>
      <c r="O44" s="4" t="s">
        <v>7</v>
      </c>
      <c r="P44" s="4" t="s">
        <v>8</v>
      </c>
      <c r="Q44" s="4" t="s">
        <v>87</v>
      </c>
      <c r="R44" s="4" t="s">
        <v>101</v>
      </c>
      <c r="S44" s="4" t="s">
        <v>84</v>
      </c>
      <c r="T44" s="4" t="s">
        <v>85</v>
      </c>
      <c r="U44" s="4" t="s">
        <v>62</v>
      </c>
      <c r="V44" s="4" t="s">
        <v>88</v>
      </c>
      <c r="W44" s="4" t="s">
        <v>63</v>
      </c>
      <c r="X44" s="4" t="s">
        <v>18</v>
      </c>
      <c r="Y44" s="4" t="s">
        <v>68</v>
      </c>
      <c r="Z44" s="4" t="s">
        <v>69</v>
      </c>
      <c r="AA44" s="2" t="s">
        <v>12</v>
      </c>
      <c r="AB44" s="2" t="s">
        <v>13</v>
      </c>
      <c r="AC44" s="2" t="s">
        <v>86</v>
      </c>
      <c r="AD44" s="2" t="s">
        <v>885</v>
      </c>
      <c r="AE44" s="2" t="s">
        <v>886</v>
      </c>
      <c r="AF44" s="2" t="s">
        <v>14</v>
      </c>
      <c r="AG44" s="2" t="s">
        <v>15</v>
      </c>
      <c r="AH44" s="4" t="s">
        <v>16</v>
      </c>
      <c r="AI44" s="4" t="s">
        <v>761</v>
      </c>
      <c r="AJ44" s="4" t="s">
        <v>760</v>
      </c>
      <c r="AK44" s="4" t="s">
        <v>90</v>
      </c>
    </row>
    <row r="45" spans="1:37" x14ac:dyDescent="0.25">
      <c r="B45" s="47">
        <v>1</v>
      </c>
      <c r="C45" s="25">
        <v>20200305</v>
      </c>
      <c r="D45" s="24" t="s">
        <v>2</v>
      </c>
      <c r="E45" s="24" t="s">
        <v>162</v>
      </c>
      <c r="F45" s="26" t="s">
        <v>70</v>
      </c>
      <c r="G45" s="24" t="s">
        <v>124</v>
      </c>
      <c r="H45" s="24" t="s">
        <v>164</v>
      </c>
      <c r="I45" s="24" t="s">
        <v>70</v>
      </c>
      <c r="J45" s="26" t="s">
        <v>70</v>
      </c>
      <c r="K45" s="24" t="s">
        <v>163</v>
      </c>
      <c r="L45" s="26" t="s">
        <v>103</v>
      </c>
      <c r="M45" s="26" t="s">
        <v>477</v>
      </c>
      <c r="N45" s="27" t="s">
        <v>504</v>
      </c>
      <c r="O45" s="25" t="s">
        <v>202</v>
      </c>
      <c r="P45" s="24" t="s">
        <v>6</v>
      </c>
      <c r="Q45" s="24"/>
      <c r="R45" s="24"/>
      <c r="S45" s="24">
        <v>38</v>
      </c>
      <c r="T45" s="24">
        <f>ROUND(IF(D45=Table!$C$3,V45*Table!$C$4/8,V45*Table!$D$4/8),3)</f>
        <v>37.293999999999997</v>
      </c>
      <c r="U45" s="24">
        <f>T45</f>
        <v>37.293999999999997</v>
      </c>
      <c r="V45" s="24">
        <v>2.2949999999999999</v>
      </c>
      <c r="W45" s="24">
        <v>2</v>
      </c>
      <c r="X45" s="24" t="s">
        <v>83</v>
      </c>
      <c r="Y45" s="28">
        <v>43896</v>
      </c>
      <c r="Z45" s="28">
        <v>43901</v>
      </c>
      <c r="AA45" s="28">
        <v>43896</v>
      </c>
      <c r="AB45" s="28">
        <v>43896</v>
      </c>
      <c r="AC45" s="30" t="s">
        <v>204</v>
      </c>
      <c r="AD45" s="30"/>
      <c r="AE45" s="30"/>
      <c r="AF45" s="57">
        <v>1</v>
      </c>
      <c r="AG45" s="57">
        <v>1</v>
      </c>
      <c r="AH45" s="57">
        <v>1</v>
      </c>
      <c r="AI45" s="24"/>
      <c r="AJ45" s="24"/>
      <c r="AK45" s="24"/>
    </row>
    <row r="46" spans="1:37" x14ac:dyDescent="0.25">
      <c r="A46" s="20"/>
      <c r="B46" s="47">
        <v>2</v>
      </c>
      <c r="C46" s="22">
        <v>20200305</v>
      </c>
      <c r="D46" s="30" t="s">
        <v>2</v>
      </c>
      <c r="E46" s="30" t="s">
        <v>162</v>
      </c>
      <c r="F46" s="26" t="s">
        <v>70</v>
      </c>
      <c r="G46" s="24" t="s">
        <v>125</v>
      </c>
      <c r="H46" s="24" t="s">
        <v>165</v>
      </c>
      <c r="I46" s="24" t="s">
        <v>70</v>
      </c>
      <c r="J46" s="24" t="s">
        <v>70</v>
      </c>
      <c r="K46" s="24" t="s">
        <v>163</v>
      </c>
      <c r="L46" s="26" t="s">
        <v>104</v>
      </c>
      <c r="M46" s="26" t="s">
        <v>477</v>
      </c>
      <c r="N46" s="27" t="s">
        <v>505</v>
      </c>
      <c r="O46" s="25" t="s">
        <v>202</v>
      </c>
      <c r="P46" s="30" t="s">
        <v>6</v>
      </c>
      <c r="Q46" s="30"/>
      <c r="R46" s="24"/>
      <c r="S46" s="24">
        <v>26</v>
      </c>
      <c r="T46" s="24">
        <f>ROUND(IF(D46=Table!$C$3,V46*Table!$C$4/8,V46*Table!$D$4/8),3)</f>
        <v>20.719000000000001</v>
      </c>
      <c r="U46" s="24">
        <f t="shared" ref="U46:U109" si="14">T46</f>
        <v>20.719000000000001</v>
      </c>
      <c r="V46" s="24">
        <v>1.2749999999999999</v>
      </c>
      <c r="W46" s="24">
        <v>1</v>
      </c>
      <c r="X46" s="24" t="s">
        <v>83</v>
      </c>
      <c r="Y46" s="28">
        <v>43896</v>
      </c>
      <c r="Z46" s="28">
        <v>43901</v>
      </c>
      <c r="AA46" s="28">
        <v>43896</v>
      </c>
      <c r="AB46" s="28">
        <v>43899</v>
      </c>
      <c r="AC46" s="30" t="s">
        <v>204</v>
      </c>
      <c r="AD46" s="30"/>
      <c r="AE46" s="30"/>
      <c r="AF46" s="57">
        <v>1</v>
      </c>
      <c r="AG46" s="57">
        <v>1</v>
      </c>
      <c r="AH46" s="57" t="s">
        <v>219</v>
      </c>
      <c r="AI46" s="24"/>
      <c r="AJ46" s="24"/>
      <c r="AK46" s="24"/>
    </row>
    <row r="47" spans="1:37" x14ac:dyDescent="0.25">
      <c r="B47" s="47">
        <v>3</v>
      </c>
      <c r="C47" s="25">
        <v>20200305</v>
      </c>
      <c r="D47" s="24" t="s">
        <v>2</v>
      </c>
      <c r="E47" s="24" t="s">
        <v>162</v>
      </c>
      <c r="F47" s="26" t="s">
        <v>70</v>
      </c>
      <c r="G47" s="24" t="s">
        <v>126</v>
      </c>
      <c r="H47" s="24" t="s">
        <v>166</v>
      </c>
      <c r="I47" s="24" t="s">
        <v>70</v>
      </c>
      <c r="J47" s="24" t="s">
        <v>70</v>
      </c>
      <c r="K47" s="24" t="s">
        <v>163</v>
      </c>
      <c r="L47" s="26" t="s">
        <v>105</v>
      </c>
      <c r="M47" s="26" t="s">
        <v>477</v>
      </c>
      <c r="N47" s="27" t="s">
        <v>506</v>
      </c>
      <c r="O47" s="25" t="s">
        <v>202</v>
      </c>
      <c r="P47" s="24" t="s">
        <v>6</v>
      </c>
      <c r="Q47" s="24"/>
      <c r="R47" s="24"/>
      <c r="S47" s="24">
        <v>35</v>
      </c>
      <c r="T47" s="24">
        <f>ROUND(IF(D47=Table!$C$3,V47*Table!$C$4/8,V47*Table!$D$4/8),3)</f>
        <v>26.244</v>
      </c>
      <c r="U47" s="24">
        <f t="shared" si="14"/>
        <v>26.244</v>
      </c>
      <c r="V47" s="24">
        <v>1.615</v>
      </c>
      <c r="W47" s="24">
        <v>1</v>
      </c>
      <c r="X47" s="24" t="s">
        <v>83</v>
      </c>
      <c r="Y47" s="28">
        <v>43896</v>
      </c>
      <c r="Z47" s="28">
        <v>43901</v>
      </c>
      <c r="AA47" s="28">
        <v>43896</v>
      </c>
      <c r="AB47" s="28">
        <v>43899</v>
      </c>
      <c r="AC47" s="30" t="s">
        <v>204</v>
      </c>
      <c r="AD47" s="30"/>
      <c r="AE47" s="30"/>
      <c r="AF47" s="57">
        <v>1</v>
      </c>
      <c r="AG47" s="57">
        <v>1</v>
      </c>
      <c r="AH47" s="57">
        <v>1</v>
      </c>
      <c r="AI47" s="24"/>
      <c r="AJ47" s="24"/>
      <c r="AK47" s="24"/>
    </row>
    <row r="48" spans="1:37" x14ac:dyDescent="0.25">
      <c r="B48" s="47">
        <v>4</v>
      </c>
      <c r="C48" s="25">
        <v>20200305</v>
      </c>
      <c r="D48" s="24" t="s">
        <v>2</v>
      </c>
      <c r="E48" s="24" t="s">
        <v>162</v>
      </c>
      <c r="F48" s="26" t="s">
        <v>70</v>
      </c>
      <c r="G48" s="24" t="s">
        <v>127</v>
      </c>
      <c r="H48" s="24" t="s">
        <v>167</v>
      </c>
      <c r="I48" s="24" t="s">
        <v>70</v>
      </c>
      <c r="J48" s="24" t="s">
        <v>70</v>
      </c>
      <c r="K48" s="24" t="s">
        <v>163</v>
      </c>
      <c r="L48" s="26" t="s">
        <v>106</v>
      </c>
      <c r="M48" s="26" t="s">
        <v>477</v>
      </c>
      <c r="N48" s="27" t="s">
        <v>507</v>
      </c>
      <c r="O48" s="25" t="s">
        <v>202</v>
      </c>
      <c r="P48" s="24" t="s">
        <v>6</v>
      </c>
      <c r="Q48" s="24"/>
      <c r="R48" s="24"/>
      <c r="S48" s="24">
        <v>55</v>
      </c>
      <c r="T48" s="24">
        <f>ROUND(IF(D48=Table!$C$3,V48*Table!$C$4/8,V48*Table!$D$4/8),3)</f>
        <v>37.293999999999997</v>
      </c>
      <c r="U48" s="24">
        <f t="shared" si="14"/>
        <v>37.293999999999997</v>
      </c>
      <c r="V48" s="24">
        <v>2.2949999999999999</v>
      </c>
      <c r="W48" s="24">
        <v>3</v>
      </c>
      <c r="X48" s="24" t="s">
        <v>83</v>
      </c>
      <c r="Y48" s="28">
        <v>43896</v>
      </c>
      <c r="Z48" s="28">
        <v>43901</v>
      </c>
      <c r="AA48" s="28">
        <v>43896</v>
      </c>
      <c r="AB48" s="28">
        <v>43901</v>
      </c>
      <c r="AC48" s="30" t="s">
        <v>204</v>
      </c>
      <c r="AD48" s="30"/>
      <c r="AE48" s="30"/>
      <c r="AF48" s="57">
        <v>1</v>
      </c>
      <c r="AG48" s="57">
        <v>1</v>
      </c>
      <c r="AH48" s="57">
        <v>1</v>
      </c>
      <c r="AI48" s="24"/>
      <c r="AJ48" s="24"/>
      <c r="AK48" s="32"/>
    </row>
    <row r="49" spans="1:37" x14ac:dyDescent="0.25">
      <c r="B49" s="47">
        <v>5</v>
      </c>
      <c r="C49" s="25">
        <v>20200305</v>
      </c>
      <c r="D49" s="24" t="s">
        <v>2</v>
      </c>
      <c r="E49" s="24" t="s">
        <v>162</v>
      </c>
      <c r="F49" s="26" t="s">
        <v>70</v>
      </c>
      <c r="G49" s="24" t="s">
        <v>128</v>
      </c>
      <c r="H49" s="24" t="s">
        <v>168</v>
      </c>
      <c r="I49" s="24" t="s">
        <v>70</v>
      </c>
      <c r="J49" s="24" t="s">
        <v>70</v>
      </c>
      <c r="K49" s="24" t="s">
        <v>163</v>
      </c>
      <c r="L49" s="26" t="s">
        <v>107</v>
      </c>
      <c r="M49" s="26" t="s">
        <v>477</v>
      </c>
      <c r="N49" s="27" t="s">
        <v>508</v>
      </c>
      <c r="O49" s="25" t="s">
        <v>202</v>
      </c>
      <c r="P49" s="24" t="s">
        <v>6</v>
      </c>
      <c r="Q49" s="24"/>
      <c r="R49" s="24"/>
      <c r="S49" s="24">
        <v>150</v>
      </c>
      <c r="T49" s="24">
        <f>ROUND(IF(D49=Table!$C$3,V49*Table!$C$4/8,V49*Table!$D$4/8),3)</f>
        <v>125.694</v>
      </c>
      <c r="U49" s="24">
        <f t="shared" si="14"/>
        <v>125.694</v>
      </c>
      <c r="V49" s="24">
        <v>7.7349999999999994</v>
      </c>
      <c r="W49" s="24">
        <v>8</v>
      </c>
      <c r="X49" s="24" t="s">
        <v>83</v>
      </c>
      <c r="Y49" s="28">
        <v>43896</v>
      </c>
      <c r="Z49" s="28">
        <v>43901</v>
      </c>
      <c r="AA49" s="28">
        <v>43896</v>
      </c>
      <c r="AB49" s="28">
        <v>43900</v>
      </c>
      <c r="AC49" s="30" t="s">
        <v>204</v>
      </c>
      <c r="AD49" s="30"/>
      <c r="AE49" s="30"/>
      <c r="AF49" s="57">
        <v>0.96599999999999997</v>
      </c>
      <c r="AG49" s="57">
        <v>0.96699999999999997</v>
      </c>
      <c r="AH49" s="58">
        <v>1</v>
      </c>
      <c r="AI49" s="24" t="s">
        <v>218</v>
      </c>
      <c r="AJ49" s="24"/>
      <c r="AK49" s="24"/>
    </row>
    <row r="50" spans="1:37" x14ac:dyDescent="0.25">
      <c r="B50" s="47">
        <v>6</v>
      </c>
      <c r="C50" s="25">
        <v>20200305</v>
      </c>
      <c r="D50" s="24" t="s">
        <v>2</v>
      </c>
      <c r="E50" s="24" t="s">
        <v>162</v>
      </c>
      <c r="F50" s="26" t="s">
        <v>70</v>
      </c>
      <c r="G50" s="24" t="s">
        <v>129</v>
      </c>
      <c r="H50" s="24" t="s">
        <v>169</v>
      </c>
      <c r="I50" s="24" t="s">
        <v>70</v>
      </c>
      <c r="J50" s="24" t="s">
        <v>70</v>
      </c>
      <c r="K50" s="24" t="s">
        <v>163</v>
      </c>
      <c r="L50" s="26" t="s">
        <v>108</v>
      </c>
      <c r="M50" s="26" t="s">
        <v>477</v>
      </c>
      <c r="N50" s="27" t="s">
        <v>509</v>
      </c>
      <c r="O50" s="25" t="s">
        <v>202</v>
      </c>
      <c r="P50" s="24" t="s">
        <v>6</v>
      </c>
      <c r="Q50" s="24"/>
      <c r="R50" s="24"/>
      <c r="S50" s="24">
        <v>195</v>
      </c>
      <c r="T50" s="24">
        <f>ROUND(IF(D50=Table!$C$3,V50*Table!$C$4/8,V50*Table!$D$4/8),3)</f>
        <v>169.89400000000001</v>
      </c>
      <c r="U50" s="24">
        <f t="shared" si="14"/>
        <v>169.89400000000001</v>
      </c>
      <c r="V50" s="24">
        <v>10.455</v>
      </c>
      <c r="W50" s="24">
        <v>11</v>
      </c>
      <c r="X50" s="24" t="s">
        <v>83</v>
      </c>
      <c r="Y50" s="28">
        <v>43896</v>
      </c>
      <c r="Z50" s="28">
        <v>43901</v>
      </c>
      <c r="AA50" s="28">
        <v>43902</v>
      </c>
      <c r="AB50" s="28">
        <v>43903</v>
      </c>
      <c r="AC50" s="30" t="s">
        <v>205</v>
      </c>
      <c r="AD50" s="30"/>
      <c r="AE50" s="30"/>
      <c r="AF50" s="57">
        <v>0.95099999999999996</v>
      </c>
      <c r="AG50" s="57">
        <v>0.94900000000000007</v>
      </c>
      <c r="AH50" s="57">
        <v>0.90400000000000003</v>
      </c>
      <c r="AI50" s="24" t="s">
        <v>478</v>
      </c>
      <c r="AJ50" s="24"/>
      <c r="AK50" s="24"/>
    </row>
    <row r="51" spans="1:37" x14ac:dyDescent="0.25">
      <c r="A51" s="20"/>
      <c r="B51" s="47">
        <v>7</v>
      </c>
      <c r="C51" s="25">
        <v>20200305</v>
      </c>
      <c r="D51" s="31" t="s">
        <v>2</v>
      </c>
      <c r="E51" s="31" t="s">
        <v>162</v>
      </c>
      <c r="F51" s="26" t="s">
        <v>70</v>
      </c>
      <c r="G51" s="24" t="s">
        <v>130</v>
      </c>
      <c r="H51" s="24" t="s">
        <v>170</v>
      </c>
      <c r="I51" s="24" t="s">
        <v>70</v>
      </c>
      <c r="J51" s="24" t="s">
        <v>70</v>
      </c>
      <c r="K51" s="24" t="s">
        <v>163</v>
      </c>
      <c r="L51" s="26" t="s">
        <v>109</v>
      </c>
      <c r="M51" s="26" t="s">
        <v>477</v>
      </c>
      <c r="N51" s="27" t="s">
        <v>510</v>
      </c>
      <c r="O51" s="25" t="s">
        <v>202</v>
      </c>
      <c r="P51" s="22" t="s">
        <v>6</v>
      </c>
      <c r="Q51" s="22"/>
      <c r="R51" s="24"/>
      <c r="S51" s="24">
        <v>99</v>
      </c>
      <c r="T51" s="24">
        <f>ROUND(IF(D51=Table!$C$3,V51*Table!$C$4/8,V51*Table!$D$4/8),3)</f>
        <v>59.393999999999998</v>
      </c>
      <c r="U51" s="24">
        <f t="shared" si="14"/>
        <v>59.393999999999998</v>
      </c>
      <c r="V51" s="24">
        <v>3.6549999999999998</v>
      </c>
      <c r="W51" s="24">
        <v>2</v>
      </c>
      <c r="X51" s="24" t="s">
        <v>83</v>
      </c>
      <c r="Y51" s="28">
        <v>43896</v>
      </c>
      <c r="Z51" s="28">
        <v>43901</v>
      </c>
      <c r="AA51" s="28">
        <v>43903</v>
      </c>
      <c r="AB51" s="28">
        <v>43903</v>
      </c>
      <c r="AC51" s="30" t="s">
        <v>204</v>
      </c>
      <c r="AD51" s="30"/>
      <c r="AE51" s="30"/>
      <c r="AF51" s="57">
        <v>1</v>
      </c>
      <c r="AG51" s="57">
        <v>1</v>
      </c>
      <c r="AH51" s="57">
        <v>1</v>
      </c>
      <c r="AI51" s="24"/>
      <c r="AJ51" s="24"/>
      <c r="AK51" s="24"/>
    </row>
    <row r="52" spans="1:37" x14ac:dyDescent="0.25">
      <c r="B52" s="47">
        <v>8</v>
      </c>
      <c r="C52" s="25">
        <v>20200305</v>
      </c>
      <c r="D52" s="23" t="s">
        <v>2</v>
      </c>
      <c r="E52" s="23" t="s">
        <v>162</v>
      </c>
      <c r="F52" s="26" t="s">
        <v>70</v>
      </c>
      <c r="G52" s="24" t="s">
        <v>131</v>
      </c>
      <c r="H52" s="24" t="s">
        <v>171</v>
      </c>
      <c r="I52" s="24" t="s">
        <v>70</v>
      </c>
      <c r="J52" s="24" t="s">
        <v>70</v>
      </c>
      <c r="K52" s="24" t="s">
        <v>163</v>
      </c>
      <c r="L52" s="26" t="s">
        <v>110</v>
      </c>
      <c r="M52" s="26" t="s">
        <v>477</v>
      </c>
      <c r="N52" s="27" t="s">
        <v>511</v>
      </c>
      <c r="O52" s="25" t="s">
        <v>202</v>
      </c>
      <c r="P52" s="23" t="s">
        <v>6</v>
      </c>
      <c r="Q52" s="23"/>
      <c r="R52" s="24"/>
      <c r="S52" s="24">
        <v>49</v>
      </c>
      <c r="T52" s="24">
        <f>ROUND(IF(D52=Table!$C$3,V52*Table!$C$4/8,V52*Table!$D$4/8),3)</f>
        <v>42.819000000000003</v>
      </c>
      <c r="U52" s="24">
        <f t="shared" si="14"/>
        <v>42.819000000000003</v>
      </c>
      <c r="V52" s="24">
        <v>2.6349999999999998</v>
      </c>
      <c r="W52" s="24">
        <v>3</v>
      </c>
      <c r="X52" s="24" t="s">
        <v>83</v>
      </c>
      <c r="Y52" s="28">
        <v>43896</v>
      </c>
      <c r="Z52" s="28">
        <v>43901</v>
      </c>
      <c r="AA52" s="28">
        <v>43901</v>
      </c>
      <c r="AB52" s="28">
        <v>43901</v>
      </c>
      <c r="AC52" s="30" t="s">
        <v>204</v>
      </c>
      <c r="AD52" s="30"/>
      <c r="AE52" s="30"/>
      <c r="AF52" s="57">
        <v>1</v>
      </c>
      <c r="AG52" s="57">
        <v>1</v>
      </c>
      <c r="AH52" s="57">
        <v>1</v>
      </c>
      <c r="AI52" s="24"/>
      <c r="AJ52" s="24"/>
      <c r="AK52" s="24"/>
    </row>
    <row r="53" spans="1:37" x14ac:dyDescent="0.25">
      <c r="A53" s="21"/>
      <c r="B53" s="47">
        <v>9</v>
      </c>
      <c r="C53" s="25">
        <v>20200305</v>
      </c>
      <c r="D53" s="22" t="s">
        <v>2</v>
      </c>
      <c r="E53" s="22" t="s">
        <v>162</v>
      </c>
      <c r="F53" s="26" t="s">
        <v>70</v>
      </c>
      <c r="G53" s="24" t="s">
        <v>132</v>
      </c>
      <c r="H53" s="24" t="s">
        <v>172</v>
      </c>
      <c r="I53" s="24" t="s">
        <v>70</v>
      </c>
      <c r="J53" s="24" t="s">
        <v>70</v>
      </c>
      <c r="K53" s="24" t="s">
        <v>163</v>
      </c>
      <c r="L53" s="26" t="s">
        <v>111</v>
      </c>
      <c r="M53" s="26" t="s">
        <v>477</v>
      </c>
      <c r="N53" s="27" t="s">
        <v>512</v>
      </c>
      <c r="O53" s="25" t="s">
        <v>202</v>
      </c>
      <c r="P53" s="22" t="s">
        <v>6</v>
      </c>
      <c r="Q53" s="22"/>
      <c r="R53" s="24"/>
      <c r="S53" s="24">
        <v>62</v>
      </c>
      <c r="T53" s="24">
        <f>ROUND(IF(D53=Table!$C$3,V53*Table!$C$4/8,V53*Table!$D$4/8),3)</f>
        <v>26.244</v>
      </c>
      <c r="U53" s="24">
        <f t="shared" si="14"/>
        <v>26.244</v>
      </c>
      <c r="V53" s="24">
        <v>1.615</v>
      </c>
      <c r="W53" s="24">
        <v>2</v>
      </c>
      <c r="X53" s="24" t="s">
        <v>83</v>
      </c>
      <c r="Y53" s="28">
        <v>43896</v>
      </c>
      <c r="Z53" s="28">
        <v>43901</v>
      </c>
      <c r="AA53" s="28">
        <v>43902</v>
      </c>
      <c r="AB53" s="28">
        <v>43902</v>
      </c>
      <c r="AC53" s="30" t="s">
        <v>204</v>
      </c>
      <c r="AD53" s="30"/>
      <c r="AE53" s="30"/>
      <c r="AF53" s="57">
        <v>0.70700000000000007</v>
      </c>
      <c r="AG53" s="57">
        <v>0.77800000000000002</v>
      </c>
      <c r="AH53" s="57">
        <v>1</v>
      </c>
      <c r="AI53" s="24" t="s">
        <v>479</v>
      </c>
      <c r="AJ53" s="24"/>
      <c r="AK53" s="24"/>
    </row>
    <row r="54" spans="1:37" x14ac:dyDescent="0.25">
      <c r="B54" s="47">
        <v>10</v>
      </c>
      <c r="C54" s="25">
        <v>20200305</v>
      </c>
      <c r="D54" s="24" t="s">
        <v>2</v>
      </c>
      <c r="E54" s="24" t="s">
        <v>162</v>
      </c>
      <c r="F54" s="26" t="s">
        <v>70</v>
      </c>
      <c r="G54" s="24" t="s">
        <v>133</v>
      </c>
      <c r="H54" s="24" t="s">
        <v>764</v>
      </c>
      <c r="I54" s="24" t="s">
        <v>70</v>
      </c>
      <c r="J54" s="24" t="s">
        <v>70</v>
      </c>
      <c r="K54" s="24" t="s">
        <v>163</v>
      </c>
      <c r="L54" s="26" t="s">
        <v>112</v>
      </c>
      <c r="M54" s="26" t="s">
        <v>477</v>
      </c>
      <c r="N54" s="27" t="s">
        <v>513</v>
      </c>
      <c r="O54" s="25" t="s">
        <v>202</v>
      </c>
      <c r="P54" s="23" t="s">
        <v>6</v>
      </c>
      <c r="Q54" s="23"/>
      <c r="R54" s="24"/>
      <c r="S54" s="24">
        <v>70</v>
      </c>
      <c r="T54" s="24">
        <f>ROUND(IF(D54=Table!$C$3,V54*Table!$C$4/8,V54*Table!$D$4/8),3)</f>
        <v>48.344000000000001</v>
      </c>
      <c r="U54" s="24">
        <f t="shared" si="14"/>
        <v>48.344000000000001</v>
      </c>
      <c r="V54" s="24">
        <v>2.9750000000000001</v>
      </c>
      <c r="W54" s="24">
        <v>2</v>
      </c>
      <c r="X54" s="24" t="s">
        <v>83</v>
      </c>
      <c r="Y54" s="28">
        <v>43896</v>
      </c>
      <c r="Z54" s="28">
        <v>43901</v>
      </c>
      <c r="AA54" s="28">
        <v>43902</v>
      </c>
      <c r="AB54" s="28">
        <v>43902</v>
      </c>
      <c r="AC54" s="30" t="s">
        <v>205</v>
      </c>
      <c r="AD54" s="30"/>
      <c r="AE54" s="30"/>
      <c r="AF54" s="57">
        <v>1</v>
      </c>
      <c r="AG54" s="57">
        <v>1</v>
      </c>
      <c r="AH54" s="57">
        <v>1</v>
      </c>
      <c r="AI54" s="24"/>
      <c r="AJ54" s="24"/>
      <c r="AK54" s="24"/>
    </row>
    <row r="55" spans="1:37" x14ac:dyDescent="0.25">
      <c r="B55" s="47">
        <v>11</v>
      </c>
      <c r="C55" s="25">
        <v>20200305</v>
      </c>
      <c r="D55" s="24" t="s">
        <v>2</v>
      </c>
      <c r="E55" s="24" t="s">
        <v>162</v>
      </c>
      <c r="F55" s="26" t="s">
        <v>70</v>
      </c>
      <c r="G55" s="24" t="s">
        <v>134</v>
      </c>
      <c r="H55" s="24" t="s">
        <v>173</v>
      </c>
      <c r="I55" s="24" t="s">
        <v>70</v>
      </c>
      <c r="J55" s="24" t="s">
        <v>70</v>
      </c>
      <c r="K55" s="24" t="s">
        <v>163</v>
      </c>
      <c r="L55" s="26" t="s">
        <v>113</v>
      </c>
      <c r="M55" s="26" t="s">
        <v>477</v>
      </c>
      <c r="N55" s="27" t="s">
        <v>514</v>
      </c>
      <c r="O55" s="25" t="s">
        <v>202</v>
      </c>
      <c r="P55" s="23" t="s">
        <v>6</v>
      </c>
      <c r="Q55" s="23"/>
      <c r="R55" s="24"/>
      <c r="S55" s="24">
        <v>20</v>
      </c>
      <c r="T55" s="24">
        <f>ROUND(IF(D55=Table!$C$3,V55*Table!$C$4/8,V55*Table!$D$4/8),3)</f>
        <v>26.244</v>
      </c>
      <c r="U55" s="24">
        <f t="shared" si="14"/>
        <v>26.244</v>
      </c>
      <c r="V55" s="24">
        <v>1.615</v>
      </c>
      <c r="W55" s="24">
        <v>1</v>
      </c>
      <c r="X55" s="24" t="s">
        <v>83</v>
      </c>
      <c r="Y55" s="28">
        <v>43896</v>
      </c>
      <c r="Z55" s="28">
        <v>43901</v>
      </c>
      <c r="AA55" s="28">
        <v>43902</v>
      </c>
      <c r="AB55" s="28">
        <v>43902</v>
      </c>
      <c r="AC55" s="30" t="s">
        <v>204</v>
      </c>
      <c r="AD55" s="30"/>
      <c r="AE55" s="30"/>
      <c r="AF55" s="57">
        <v>1</v>
      </c>
      <c r="AG55" s="57">
        <v>1</v>
      </c>
      <c r="AH55" s="57">
        <v>1</v>
      </c>
      <c r="AI55" s="24"/>
      <c r="AJ55" s="24"/>
      <c r="AK55" s="24"/>
    </row>
    <row r="56" spans="1:37" x14ac:dyDescent="0.25">
      <c r="B56" s="47">
        <v>12</v>
      </c>
      <c r="C56" s="25">
        <v>20200305</v>
      </c>
      <c r="D56" s="24" t="s">
        <v>2</v>
      </c>
      <c r="E56" s="24" t="s">
        <v>162</v>
      </c>
      <c r="F56" s="26" t="s">
        <v>70</v>
      </c>
      <c r="G56" s="24" t="s">
        <v>135</v>
      </c>
      <c r="H56" s="24" t="s">
        <v>174</v>
      </c>
      <c r="I56" s="24" t="s">
        <v>70</v>
      </c>
      <c r="J56" s="24" t="s">
        <v>70</v>
      </c>
      <c r="K56" s="24" t="s">
        <v>163</v>
      </c>
      <c r="L56" s="26" t="s">
        <v>114</v>
      </c>
      <c r="M56" s="26" t="s">
        <v>477</v>
      </c>
      <c r="N56" s="27" t="s">
        <v>515</v>
      </c>
      <c r="O56" s="25" t="s">
        <v>201</v>
      </c>
      <c r="P56" s="23" t="s">
        <v>73</v>
      </c>
      <c r="Q56" s="23"/>
      <c r="R56" s="24"/>
      <c r="S56" s="24">
        <v>317</v>
      </c>
      <c r="T56" s="24">
        <f>ROUND(IF(D56=Table!$C$3,V56*Table!$C$4/8,V56*Table!$D$4/8),3)</f>
        <v>147.79400000000001</v>
      </c>
      <c r="U56" s="24">
        <f t="shared" si="14"/>
        <v>147.79400000000001</v>
      </c>
      <c r="V56" s="24">
        <v>9.0949999999999989</v>
      </c>
      <c r="W56" s="24">
        <v>8</v>
      </c>
      <c r="X56" s="24" t="s">
        <v>83</v>
      </c>
      <c r="Y56" s="28">
        <v>43896</v>
      </c>
      <c r="Z56" s="28">
        <v>43901</v>
      </c>
      <c r="AA56" s="28">
        <v>43902</v>
      </c>
      <c r="AB56" s="28">
        <v>43902</v>
      </c>
      <c r="AC56" s="30" t="s">
        <v>205</v>
      </c>
      <c r="AD56" s="30"/>
      <c r="AE56" s="30"/>
      <c r="AF56" s="57">
        <v>0.93799999999999994</v>
      </c>
      <c r="AG56" s="57">
        <v>0.94</v>
      </c>
      <c r="AH56" s="57">
        <v>1</v>
      </c>
      <c r="AI56" s="24" t="s">
        <v>480</v>
      </c>
      <c r="AJ56" s="38"/>
      <c r="AK56" s="24"/>
    </row>
    <row r="57" spans="1:37" x14ac:dyDescent="0.25">
      <c r="B57" s="47">
        <v>13</v>
      </c>
      <c r="C57" s="25">
        <v>20200305</v>
      </c>
      <c r="D57" s="24" t="s">
        <v>2</v>
      </c>
      <c r="E57" s="24" t="s">
        <v>162</v>
      </c>
      <c r="F57" s="26" t="s">
        <v>70</v>
      </c>
      <c r="G57" s="24" t="s">
        <v>136</v>
      </c>
      <c r="H57" s="24" t="s">
        <v>175</v>
      </c>
      <c r="I57" s="24" t="s">
        <v>70</v>
      </c>
      <c r="J57" s="24" t="s">
        <v>70</v>
      </c>
      <c r="K57" s="24" t="s">
        <v>163</v>
      </c>
      <c r="L57" s="26" t="s">
        <v>115</v>
      </c>
      <c r="M57" s="26" t="s">
        <v>477</v>
      </c>
      <c r="N57" s="27" t="s">
        <v>516</v>
      </c>
      <c r="O57" s="25" t="s">
        <v>201</v>
      </c>
      <c r="P57" s="24" t="s">
        <v>73</v>
      </c>
      <c r="Q57" s="24"/>
      <c r="R57" s="24"/>
      <c r="S57" s="24">
        <v>93</v>
      </c>
      <c r="T57" s="24">
        <f>ROUND(IF(D57=Table!$C$3,V57*Table!$C$4/8,V57*Table!$D$4/8),3)</f>
        <v>48.344000000000001</v>
      </c>
      <c r="U57" s="24">
        <f t="shared" si="14"/>
        <v>48.344000000000001</v>
      </c>
      <c r="V57" s="24">
        <v>2.9750000000000001</v>
      </c>
      <c r="W57" s="24">
        <v>4</v>
      </c>
      <c r="X57" s="24" t="s">
        <v>83</v>
      </c>
      <c r="Y57" s="28">
        <v>43896</v>
      </c>
      <c r="Z57" s="28">
        <v>43901</v>
      </c>
      <c r="AA57" s="28">
        <v>43901</v>
      </c>
      <c r="AB57" s="28">
        <v>43901</v>
      </c>
      <c r="AC57" s="30" t="s">
        <v>205</v>
      </c>
      <c r="AD57" s="30"/>
      <c r="AE57" s="30"/>
      <c r="AF57" s="57">
        <v>0.91700000000000004</v>
      </c>
      <c r="AG57" s="57">
        <v>0.91700000000000004</v>
      </c>
      <c r="AH57" s="57" t="s">
        <v>219</v>
      </c>
      <c r="AI57" s="24" t="s">
        <v>227</v>
      </c>
      <c r="AJ57" s="24"/>
      <c r="AK57" s="24"/>
    </row>
    <row r="58" spans="1:37" x14ac:dyDescent="0.25">
      <c r="B58" s="47">
        <v>14</v>
      </c>
      <c r="C58" s="25">
        <v>20200305</v>
      </c>
      <c r="D58" s="24" t="s">
        <v>2</v>
      </c>
      <c r="E58" s="24" t="s">
        <v>162</v>
      </c>
      <c r="F58" s="26" t="s">
        <v>70</v>
      </c>
      <c r="G58" s="24" t="s">
        <v>137</v>
      </c>
      <c r="H58" s="24" t="s">
        <v>176</v>
      </c>
      <c r="I58" s="24" t="s">
        <v>70</v>
      </c>
      <c r="J58" s="24" t="s">
        <v>70</v>
      </c>
      <c r="K58" s="24" t="s">
        <v>163</v>
      </c>
      <c r="L58" s="26" t="s">
        <v>116</v>
      </c>
      <c r="M58" s="26" t="s">
        <v>477</v>
      </c>
      <c r="N58" s="27" t="s">
        <v>517</v>
      </c>
      <c r="O58" s="25" t="s">
        <v>201</v>
      </c>
      <c r="P58" s="24" t="s">
        <v>73</v>
      </c>
      <c r="Q58" s="24"/>
      <c r="R58" s="24"/>
      <c r="S58" s="24">
        <v>52</v>
      </c>
      <c r="T58" s="24">
        <f>ROUND(IF(D58=Table!$C$3,V58*Table!$C$4/8,V58*Table!$D$4/8),3)</f>
        <v>31.768999999999998</v>
      </c>
      <c r="U58" s="24">
        <f t="shared" si="14"/>
        <v>31.768999999999998</v>
      </c>
      <c r="V58" s="24">
        <v>1.9549999999999998</v>
      </c>
      <c r="W58" s="24">
        <v>4</v>
      </c>
      <c r="X58" s="24" t="s">
        <v>83</v>
      </c>
      <c r="Y58" s="28">
        <v>43896</v>
      </c>
      <c r="Z58" s="28">
        <v>43901</v>
      </c>
      <c r="AA58" s="28">
        <v>43896</v>
      </c>
      <c r="AB58" s="28">
        <v>43896</v>
      </c>
      <c r="AC58" s="30" t="s">
        <v>205</v>
      </c>
      <c r="AD58" s="30"/>
      <c r="AE58" s="30"/>
      <c r="AF58" s="57">
        <v>1</v>
      </c>
      <c r="AG58" s="57">
        <v>1</v>
      </c>
      <c r="AH58" s="57">
        <v>0.5</v>
      </c>
      <c r="AI58" s="24" t="s">
        <v>481</v>
      </c>
      <c r="AJ58" s="26"/>
      <c r="AK58" s="24" t="s">
        <v>216</v>
      </c>
    </row>
    <row r="59" spans="1:37" x14ac:dyDescent="0.25">
      <c r="B59" s="47">
        <v>15</v>
      </c>
      <c r="C59" s="25">
        <v>20200305</v>
      </c>
      <c r="D59" s="24" t="s">
        <v>2</v>
      </c>
      <c r="E59" s="24" t="s">
        <v>162</v>
      </c>
      <c r="F59" s="26" t="s">
        <v>70</v>
      </c>
      <c r="G59" s="24" t="s">
        <v>138</v>
      </c>
      <c r="H59" s="24" t="s">
        <v>177</v>
      </c>
      <c r="I59" s="24" t="s">
        <v>70</v>
      </c>
      <c r="J59" s="24" t="s">
        <v>70</v>
      </c>
      <c r="K59" s="24" t="s">
        <v>163</v>
      </c>
      <c r="L59" s="26" t="s">
        <v>117</v>
      </c>
      <c r="M59" s="26" t="s">
        <v>477</v>
      </c>
      <c r="N59" s="27" t="s">
        <v>518</v>
      </c>
      <c r="O59" s="25" t="s">
        <v>201</v>
      </c>
      <c r="P59" s="24" t="s">
        <v>73</v>
      </c>
      <c r="Q59" s="24"/>
      <c r="R59" s="24"/>
      <c r="S59" s="24">
        <v>45</v>
      </c>
      <c r="T59" s="24">
        <f>ROUND(IF(D59=Table!$C$3,V59*Table!$C$4/8,V59*Table!$D$4/8),3)</f>
        <v>26.244</v>
      </c>
      <c r="U59" s="24">
        <f t="shared" si="14"/>
        <v>26.244</v>
      </c>
      <c r="V59" s="24">
        <v>1.615</v>
      </c>
      <c r="W59" s="24">
        <v>3</v>
      </c>
      <c r="X59" s="24" t="s">
        <v>83</v>
      </c>
      <c r="Y59" s="28">
        <v>43896</v>
      </c>
      <c r="Z59" s="28">
        <v>43901</v>
      </c>
      <c r="AA59" s="28">
        <v>43899</v>
      </c>
      <c r="AB59" s="28">
        <v>43899</v>
      </c>
      <c r="AC59" s="30" t="s">
        <v>204</v>
      </c>
      <c r="AD59" s="30"/>
      <c r="AE59" s="30"/>
      <c r="AF59" s="57">
        <v>1</v>
      </c>
      <c r="AG59" s="57">
        <v>1</v>
      </c>
      <c r="AH59" s="57" t="s">
        <v>219</v>
      </c>
      <c r="AI59" s="24"/>
      <c r="AJ59" s="24"/>
      <c r="AK59" s="24" t="s">
        <v>216</v>
      </c>
    </row>
    <row r="60" spans="1:37" x14ac:dyDescent="0.25">
      <c r="B60" s="47">
        <v>16</v>
      </c>
      <c r="C60" s="25">
        <v>20200305</v>
      </c>
      <c r="D60" s="24" t="s">
        <v>2</v>
      </c>
      <c r="E60" s="24" t="s">
        <v>162</v>
      </c>
      <c r="F60" s="26" t="s">
        <v>70</v>
      </c>
      <c r="G60" s="24" t="s">
        <v>139</v>
      </c>
      <c r="H60" s="24" t="s">
        <v>178</v>
      </c>
      <c r="I60" s="24" t="s">
        <v>70</v>
      </c>
      <c r="J60" s="24" t="s">
        <v>70</v>
      </c>
      <c r="K60" s="24" t="s">
        <v>163</v>
      </c>
      <c r="L60" s="26" t="s">
        <v>118</v>
      </c>
      <c r="M60" s="26" t="s">
        <v>477</v>
      </c>
      <c r="N60" s="27" t="s">
        <v>519</v>
      </c>
      <c r="O60" s="25" t="s">
        <v>201</v>
      </c>
      <c r="P60" s="24" t="s">
        <v>73</v>
      </c>
      <c r="Q60" s="24"/>
      <c r="R60" s="24"/>
      <c r="S60" s="24">
        <v>38</v>
      </c>
      <c r="T60" s="24">
        <f>ROUND(IF(D60=Table!$C$3,V60*Table!$C$4/8,V60*Table!$D$4/8),3)</f>
        <v>26.244</v>
      </c>
      <c r="U60" s="24">
        <f t="shared" si="14"/>
        <v>26.244</v>
      </c>
      <c r="V60" s="24">
        <v>1.615</v>
      </c>
      <c r="W60" s="24">
        <v>3</v>
      </c>
      <c r="X60" s="24" t="s">
        <v>83</v>
      </c>
      <c r="Y60" s="28">
        <v>43896</v>
      </c>
      <c r="Z60" s="28">
        <v>43901</v>
      </c>
      <c r="AA60" s="28">
        <v>43896</v>
      </c>
      <c r="AB60" s="28">
        <v>43896</v>
      </c>
      <c r="AC60" s="30" t="s">
        <v>204</v>
      </c>
      <c r="AD60" s="30"/>
      <c r="AE60" s="30"/>
      <c r="AF60" s="55">
        <v>1</v>
      </c>
      <c r="AG60" s="55">
        <v>1</v>
      </c>
      <c r="AH60" s="55">
        <v>1</v>
      </c>
      <c r="AI60" s="24"/>
      <c r="AJ60" s="24"/>
      <c r="AK60" s="24"/>
    </row>
    <row r="61" spans="1:37" x14ac:dyDescent="0.25">
      <c r="B61" s="47">
        <v>17</v>
      </c>
      <c r="C61" s="25">
        <v>20200305</v>
      </c>
      <c r="D61" s="24" t="s">
        <v>2</v>
      </c>
      <c r="E61" s="24" t="s">
        <v>162</v>
      </c>
      <c r="F61" s="26" t="s">
        <v>70</v>
      </c>
      <c r="G61" s="24" t="s">
        <v>140</v>
      </c>
      <c r="H61" s="24" t="s">
        <v>179</v>
      </c>
      <c r="I61" s="24" t="s">
        <v>70</v>
      </c>
      <c r="J61" s="24" t="s">
        <v>70</v>
      </c>
      <c r="K61" s="24" t="s">
        <v>163</v>
      </c>
      <c r="L61" s="26" t="s">
        <v>119</v>
      </c>
      <c r="M61" s="26" t="s">
        <v>477</v>
      </c>
      <c r="N61" s="27" t="s">
        <v>520</v>
      </c>
      <c r="O61" s="25" t="s">
        <v>201</v>
      </c>
      <c r="P61" s="24" t="s">
        <v>73</v>
      </c>
      <c r="Q61" s="24"/>
      <c r="R61" s="24"/>
      <c r="S61" s="24">
        <v>80</v>
      </c>
      <c r="T61" s="24">
        <f>ROUND(IF(D61=Table!$C$3,V61*Table!$C$4/8,V61*Table!$D$4/8),3)</f>
        <v>125.694</v>
      </c>
      <c r="U61" s="24">
        <f t="shared" si="14"/>
        <v>125.694</v>
      </c>
      <c r="V61" s="24">
        <v>7.7349999999999994</v>
      </c>
      <c r="W61" s="24">
        <v>8</v>
      </c>
      <c r="X61" s="24" t="s">
        <v>83</v>
      </c>
      <c r="Y61" s="28">
        <v>43896</v>
      </c>
      <c r="Z61" s="28">
        <v>43901</v>
      </c>
      <c r="AA61" s="28">
        <v>43896</v>
      </c>
      <c r="AB61" s="28">
        <v>43901</v>
      </c>
      <c r="AC61" s="30" t="s">
        <v>204</v>
      </c>
      <c r="AD61" s="30"/>
      <c r="AE61" s="30"/>
      <c r="AF61" s="55">
        <v>1</v>
      </c>
      <c r="AG61" s="55">
        <v>1</v>
      </c>
      <c r="AH61" s="55">
        <v>1</v>
      </c>
      <c r="AI61" s="24"/>
      <c r="AJ61" s="24"/>
      <c r="AK61" s="24"/>
    </row>
    <row r="62" spans="1:37" x14ac:dyDescent="0.25">
      <c r="B62" s="47">
        <v>18</v>
      </c>
      <c r="C62" s="25">
        <v>20200305</v>
      </c>
      <c r="D62" s="24" t="s">
        <v>2</v>
      </c>
      <c r="E62" s="26" t="s">
        <v>162</v>
      </c>
      <c r="F62" s="26" t="s">
        <v>70</v>
      </c>
      <c r="G62" s="24" t="s">
        <v>141</v>
      </c>
      <c r="H62" s="24" t="s">
        <v>180</v>
      </c>
      <c r="I62" s="24" t="s">
        <v>70</v>
      </c>
      <c r="J62" s="24" t="s">
        <v>70</v>
      </c>
      <c r="K62" s="24" t="s">
        <v>163</v>
      </c>
      <c r="L62" s="26" t="s">
        <v>120</v>
      </c>
      <c r="M62" s="26" t="s">
        <v>477</v>
      </c>
      <c r="N62" s="27" t="s">
        <v>521</v>
      </c>
      <c r="O62" s="25" t="s">
        <v>201</v>
      </c>
      <c r="P62" s="24" t="s">
        <v>73</v>
      </c>
      <c r="Q62" s="24"/>
      <c r="R62" s="24"/>
      <c r="S62" s="24">
        <v>60</v>
      </c>
      <c r="T62" s="24">
        <f>ROUND(IF(D62=Table!$C$3,V62*Table!$C$4/8,V62*Table!$D$4/8),3)</f>
        <v>31.768999999999998</v>
      </c>
      <c r="U62" s="24">
        <f t="shared" si="14"/>
        <v>31.768999999999998</v>
      </c>
      <c r="V62" s="24">
        <v>1.9549999999999998</v>
      </c>
      <c r="W62" s="24">
        <v>2</v>
      </c>
      <c r="X62" s="24" t="s">
        <v>83</v>
      </c>
      <c r="Y62" s="28">
        <v>43896</v>
      </c>
      <c r="Z62" s="28">
        <v>43901</v>
      </c>
      <c r="AA62" s="28">
        <v>43899</v>
      </c>
      <c r="AB62" s="28">
        <v>43899</v>
      </c>
      <c r="AC62" s="30" t="s">
        <v>204</v>
      </c>
      <c r="AD62" s="30"/>
      <c r="AE62" s="30"/>
      <c r="AF62" s="55">
        <v>0.96</v>
      </c>
      <c r="AG62" s="55">
        <v>0.96</v>
      </c>
      <c r="AH62" s="55" t="s">
        <v>219</v>
      </c>
      <c r="AI62" s="24" t="s">
        <v>482</v>
      </c>
      <c r="AJ62" s="24"/>
      <c r="AK62" s="24"/>
    </row>
    <row r="63" spans="1:37" x14ac:dyDescent="0.25">
      <c r="B63" s="47">
        <v>19</v>
      </c>
      <c r="C63" s="25">
        <v>20200305</v>
      </c>
      <c r="D63" s="24" t="s">
        <v>2</v>
      </c>
      <c r="E63" s="24" t="s">
        <v>162</v>
      </c>
      <c r="F63" s="26" t="s">
        <v>70</v>
      </c>
      <c r="G63" s="24" t="s">
        <v>142</v>
      </c>
      <c r="H63" s="24" t="s">
        <v>181</v>
      </c>
      <c r="I63" s="24" t="s">
        <v>70</v>
      </c>
      <c r="J63" s="24" t="s">
        <v>70</v>
      </c>
      <c r="K63" s="24" t="s">
        <v>163</v>
      </c>
      <c r="L63" s="26" t="s">
        <v>121</v>
      </c>
      <c r="M63" s="26" t="s">
        <v>477</v>
      </c>
      <c r="N63" s="27" t="s">
        <v>522</v>
      </c>
      <c r="O63" s="25" t="s">
        <v>201</v>
      </c>
      <c r="P63" s="24" t="s">
        <v>73</v>
      </c>
      <c r="Q63" s="24"/>
      <c r="R63" s="24"/>
      <c r="S63" s="24">
        <v>103</v>
      </c>
      <c r="T63" s="24">
        <f>ROUND(IF(D63=Table!$C$3,V63*Table!$C$4/8,V63*Table!$D$4/8),3)</f>
        <v>48.344000000000001</v>
      </c>
      <c r="U63" s="24">
        <f t="shared" si="14"/>
        <v>48.344000000000001</v>
      </c>
      <c r="V63" s="24">
        <v>2.9750000000000001</v>
      </c>
      <c r="W63" s="24">
        <v>8</v>
      </c>
      <c r="X63" s="24" t="s">
        <v>83</v>
      </c>
      <c r="Y63" s="28">
        <v>43896</v>
      </c>
      <c r="Z63" s="28">
        <v>43901</v>
      </c>
      <c r="AA63" s="28">
        <v>43903</v>
      </c>
      <c r="AB63" s="28">
        <v>43903</v>
      </c>
      <c r="AC63" s="30" t="s">
        <v>205</v>
      </c>
      <c r="AD63" s="30"/>
      <c r="AE63" s="30"/>
      <c r="AF63" s="55">
        <v>0.79200000000000004</v>
      </c>
      <c r="AG63" s="55">
        <v>0.81099999999999994</v>
      </c>
      <c r="AH63" s="55">
        <v>1</v>
      </c>
      <c r="AI63" s="24" t="s">
        <v>483</v>
      </c>
      <c r="AJ63" s="38"/>
      <c r="AK63" s="24"/>
    </row>
    <row r="64" spans="1:37" x14ac:dyDescent="0.25">
      <c r="B64" s="47">
        <v>20</v>
      </c>
      <c r="C64" s="25">
        <v>20200305</v>
      </c>
      <c r="D64" s="24" t="s">
        <v>2</v>
      </c>
      <c r="E64" s="24" t="s">
        <v>162</v>
      </c>
      <c r="F64" s="26" t="s">
        <v>70</v>
      </c>
      <c r="G64" s="24" t="s">
        <v>143</v>
      </c>
      <c r="H64" s="24" t="s">
        <v>182</v>
      </c>
      <c r="I64" s="24" t="s">
        <v>70</v>
      </c>
      <c r="J64" s="24" t="s">
        <v>70</v>
      </c>
      <c r="K64" s="24" t="s">
        <v>163</v>
      </c>
      <c r="L64" s="26">
        <v>1</v>
      </c>
      <c r="M64" s="26" t="s">
        <v>477</v>
      </c>
      <c r="N64" s="27" t="s">
        <v>523</v>
      </c>
      <c r="O64" s="25" t="s">
        <v>201</v>
      </c>
      <c r="P64" s="24" t="s">
        <v>73</v>
      </c>
      <c r="Q64" s="24"/>
      <c r="R64" s="24"/>
      <c r="S64" s="24">
        <v>45</v>
      </c>
      <c r="T64" s="24">
        <f>ROUND(IF(D64=Table!$C$3,V64*Table!$C$4/8,V64*Table!$D$4/8),3)</f>
        <v>26.244</v>
      </c>
      <c r="U64" s="24">
        <f t="shared" si="14"/>
        <v>26.244</v>
      </c>
      <c r="V64" s="24">
        <v>1.615</v>
      </c>
      <c r="W64" s="24">
        <v>2</v>
      </c>
      <c r="X64" s="24" t="s">
        <v>83</v>
      </c>
      <c r="Y64" s="28">
        <v>43896</v>
      </c>
      <c r="Z64" s="28">
        <v>43901</v>
      </c>
      <c r="AA64" s="28">
        <v>43899</v>
      </c>
      <c r="AB64" s="28">
        <v>43899</v>
      </c>
      <c r="AC64" s="30" t="s">
        <v>205</v>
      </c>
      <c r="AD64" s="30"/>
      <c r="AE64" s="30"/>
      <c r="AF64" s="55">
        <v>1</v>
      </c>
      <c r="AG64" s="55">
        <v>1</v>
      </c>
      <c r="AH64" s="55">
        <v>1</v>
      </c>
      <c r="AI64" s="24"/>
      <c r="AJ64" s="24"/>
      <c r="AK64" s="24" t="s">
        <v>221</v>
      </c>
    </row>
    <row r="65" spans="2:37" x14ac:dyDescent="0.25">
      <c r="B65" s="47">
        <v>21</v>
      </c>
      <c r="C65" s="25">
        <v>20200305</v>
      </c>
      <c r="D65" s="24" t="s">
        <v>2</v>
      </c>
      <c r="E65" s="24" t="s">
        <v>162</v>
      </c>
      <c r="F65" s="26" t="s">
        <v>70</v>
      </c>
      <c r="G65" s="24" t="s">
        <v>144</v>
      </c>
      <c r="H65" s="24" t="s">
        <v>183</v>
      </c>
      <c r="I65" s="24" t="s">
        <v>70</v>
      </c>
      <c r="J65" s="24" t="s">
        <v>70</v>
      </c>
      <c r="K65" s="24" t="s">
        <v>163</v>
      </c>
      <c r="L65" s="26">
        <v>1.2</v>
      </c>
      <c r="M65" s="26" t="s">
        <v>477</v>
      </c>
      <c r="N65" s="27" t="s">
        <v>524</v>
      </c>
      <c r="O65" s="25" t="s">
        <v>201</v>
      </c>
      <c r="P65" s="24" t="s">
        <v>73</v>
      </c>
      <c r="Q65" s="24"/>
      <c r="R65" s="24"/>
      <c r="S65" s="24">
        <v>54</v>
      </c>
      <c r="T65" s="24">
        <f>ROUND(IF(D65=Table!$C$3,V65*Table!$C$4/8,V65*Table!$D$4/8),3)</f>
        <v>59.393999999999998</v>
      </c>
      <c r="U65" s="24">
        <f t="shared" si="14"/>
        <v>59.393999999999998</v>
      </c>
      <c r="V65" s="24">
        <v>3.6549999999999998</v>
      </c>
      <c r="W65" s="24">
        <v>2</v>
      </c>
      <c r="X65" s="24" t="s">
        <v>83</v>
      </c>
      <c r="Y65" s="28">
        <v>43896</v>
      </c>
      <c r="Z65" s="28">
        <v>43901</v>
      </c>
      <c r="AA65" s="28">
        <v>43901</v>
      </c>
      <c r="AB65" s="28">
        <v>43901</v>
      </c>
      <c r="AC65" s="30" t="s">
        <v>205</v>
      </c>
      <c r="AD65" s="30"/>
      <c r="AE65" s="30"/>
      <c r="AF65" s="55">
        <v>1</v>
      </c>
      <c r="AG65" s="55">
        <v>1</v>
      </c>
      <c r="AH65" s="55">
        <v>0.92299999999999993</v>
      </c>
      <c r="AI65" s="24" t="s">
        <v>222</v>
      </c>
      <c r="AJ65" s="24"/>
      <c r="AK65" s="24"/>
    </row>
    <row r="66" spans="2:37" x14ac:dyDescent="0.25">
      <c r="B66" s="47">
        <v>22</v>
      </c>
      <c r="C66" s="25">
        <v>20200305</v>
      </c>
      <c r="D66" s="24" t="s">
        <v>2</v>
      </c>
      <c r="E66" s="24" t="s">
        <v>162</v>
      </c>
      <c r="F66" s="26" t="s">
        <v>70</v>
      </c>
      <c r="G66" s="24" t="s">
        <v>145</v>
      </c>
      <c r="H66" s="24" t="s">
        <v>184</v>
      </c>
      <c r="I66" s="24" t="s">
        <v>70</v>
      </c>
      <c r="J66" s="24" t="s">
        <v>70</v>
      </c>
      <c r="K66" s="24" t="s">
        <v>163</v>
      </c>
      <c r="L66" s="26">
        <v>1.3</v>
      </c>
      <c r="M66" s="26" t="s">
        <v>477</v>
      </c>
      <c r="N66" s="27" t="s">
        <v>525</v>
      </c>
      <c r="O66" s="25" t="s">
        <v>201</v>
      </c>
      <c r="P66" s="24" t="s">
        <v>73</v>
      </c>
      <c r="Q66" s="24"/>
      <c r="R66" s="24"/>
      <c r="S66" s="24">
        <v>50</v>
      </c>
      <c r="T66" s="24">
        <f>ROUND(IF(D66=Table!$C$3,V66*Table!$C$4/8,V66*Table!$D$4/8),3)</f>
        <v>37.293999999999997</v>
      </c>
      <c r="U66" s="24">
        <f t="shared" si="14"/>
        <v>37.293999999999997</v>
      </c>
      <c r="V66" s="24">
        <v>2.2949999999999999</v>
      </c>
      <c r="W66" s="24">
        <v>2</v>
      </c>
      <c r="X66" s="24" t="s">
        <v>83</v>
      </c>
      <c r="Y66" s="28">
        <v>43896</v>
      </c>
      <c r="Z66" s="28">
        <v>43901</v>
      </c>
      <c r="AA66" s="28">
        <v>43900</v>
      </c>
      <c r="AB66" s="28">
        <v>43900</v>
      </c>
      <c r="AC66" s="30" t="s">
        <v>204</v>
      </c>
      <c r="AD66" s="30"/>
      <c r="AE66" s="30"/>
      <c r="AF66" s="55">
        <v>1</v>
      </c>
      <c r="AG66" s="55">
        <v>1</v>
      </c>
      <c r="AH66" s="55">
        <v>1</v>
      </c>
      <c r="AI66" s="24"/>
      <c r="AJ66" s="24"/>
      <c r="AK66" s="24"/>
    </row>
    <row r="67" spans="2:37" x14ac:dyDescent="0.25">
      <c r="B67" s="47">
        <v>23</v>
      </c>
      <c r="C67" s="25">
        <v>20200305</v>
      </c>
      <c r="D67" s="24" t="s">
        <v>2</v>
      </c>
      <c r="E67" s="24" t="s">
        <v>162</v>
      </c>
      <c r="F67" s="26" t="s">
        <v>70</v>
      </c>
      <c r="G67" s="24" t="s">
        <v>146</v>
      </c>
      <c r="H67" s="24" t="s">
        <v>185</v>
      </c>
      <c r="I67" s="24" t="s">
        <v>70</v>
      </c>
      <c r="J67" s="24" t="s">
        <v>70</v>
      </c>
      <c r="K67" s="24" t="s">
        <v>163</v>
      </c>
      <c r="L67" s="26">
        <v>5.1100000000000003</v>
      </c>
      <c r="M67" s="26" t="s">
        <v>477</v>
      </c>
      <c r="N67" s="27" t="s">
        <v>526</v>
      </c>
      <c r="O67" s="25" t="s">
        <v>201</v>
      </c>
      <c r="P67" s="24" t="s">
        <v>73</v>
      </c>
      <c r="Q67" s="24"/>
      <c r="R67" s="24"/>
      <c r="S67" s="24">
        <v>39</v>
      </c>
      <c r="T67" s="24">
        <f>ROUND(IF(D67=Table!$C$3,V67*Table!$C$4/8,V67*Table!$D$4/8),3)</f>
        <v>26.244</v>
      </c>
      <c r="U67" s="24">
        <f t="shared" si="14"/>
        <v>26.244</v>
      </c>
      <c r="V67" s="24">
        <v>1.615</v>
      </c>
      <c r="W67" s="24">
        <v>2</v>
      </c>
      <c r="X67" s="24" t="s">
        <v>83</v>
      </c>
      <c r="Y67" s="28">
        <v>43896</v>
      </c>
      <c r="Z67" s="28">
        <v>43901</v>
      </c>
      <c r="AA67" s="28">
        <v>43900</v>
      </c>
      <c r="AB67" s="28">
        <v>43900</v>
      </c>
      <c r="AC67" s="30" t="s">
        <v>204</v>
      </c>
      <c r="AD67" s="30"/>
      <c r="AE67" s="30"/>
      <c r="AF67" s="55">
        <v>1</v>
      </c>
      <c r="AG67" s="55">
        <v>1</v>
      </c>
      <c r="AH67" s="55" t="s">
        <v>219</v>
      </c>
      <c r="AI67" s="24" t="s">
        <v>220</v>
      </c>
      <c r="AJ67" s="24"/>
      <c r="AK67" s="24"/>
    </row>
    <row r="68" spans="2:37" x14ac:dyDescent="0.25">
      <c r="B68" s="47">
        <v>24</v>
      </c>
      <c r="C68" s="25">
        <v>20200305</v>
      </c>
      <c r="D68" s="24" t="s">
        <v>2</v>
      </c>
      <c r="E68" s="24" t="s">
        <v>162</v>
      </c>
      <c r="F68" s="26" t="s">
        <v>70</v>
      </c>
      <c r="G68" s="24" t="s">
        <v>147</v>
      </c>
      <c r="H68" s="24" t="s">
        <v>186</v>
      </c>
      <c r="I68" s="24" t="s">
        <v>70</v>
      </c>
      <c r="J68" s="24" t="s">
        <v>70</v>
      </c>
      <c r="K68" s="24" t="s">
        <v>163</v>
      </c>
      <c r="L68" s="26">
        <v>5.9</v>
      </c>
      <c r="M68" s="26" t="s">
        <v>477</v>
      </c>
      <c r="N68" s="27" t="s">
        <v>527</v>
      </c>
      <c r="O68" s="25" t="s">
        <v>203</v>
      </c>
      <c r="P68" s="24" t="s">
        <v>75</v>
      </c>
      <c r="Q68" s="24"/>
      <c r="R68" s="24"/>
      <c r="S68" s="24">
        <v>531</v>
      </c>
      <c r="T68" s="24">
        <f>ROUND(IF(D68=Table!$C$3,V68*Table!$C$4/8,V68*Table!$D$4/8),3)</f>
        <v>42.819000000000003</v>
      </c>
      <c r="U68" s="24">
        <f t="shared" si="14"/>
        <v>42.819000000000003</v>
      </c>
      <c r="V68" s="24">
        <v>2.6349999999999998</v>
      </c>
      <c r="W68" s="24">
        <v>3</v>
      </c>
      <c r="X68" s="24" t="s">
        <v>83</v>
      </c>
      <c r="Y68" s="28">
        <v>43896</v>
      </c>
      <c r="Z68" s="28">
        <v>43901</v>
      </c>
      <c r="AA68" s="28">
        <v>43896</v>
      </c>
      <c r="AB68" s="28">
        <v>43901</v>
      </c>
      <c r="AC68" s="30" t="s">
        <v>204</v>
      </c>
      <c r="AD68" s="30"/>
      <c r="AE68" s="30"/>
      <c r="AF68" s="55">
        <v>1</v>
      </c>
      <c r="AG68" s="55">
        <v>1</v>
      </c>
      <c r="AH68" s="55" t="s">
        <v>219</v>
      </c>
      <c r="AI68" s="24"/>
      <c r="AJ68" s="24"/>
      <c r="AK68" s="24" t="s">
        <v>223</v>
      </c>
    </row>
    <row r="69" spans="2:37" x14ac:dyDescent="0.25">
      <c r="B69" s="47">
        <v>25</v>
      </c>
      <c r="C69" s="25">
        <v>20200305</v>
      </c>
      <c r="D69" s="24" t="s">
        <v>2</v>
      </c>
      <c r="E69" s="24" t="s">
        <v>162</v>
      </c>
      <c r="F69" s="26" t="s">
        <v>70</v>
      </c>
      <c r="G69" s="24" t="s">
        <v>148</v>
      </c>
      <c r="H69" s="24" t="s">
        <v>187</v>
      </c>
      <c r="I69" s="24" t="s">
        <v>70</v>
      </c>
      <c r="J69" s="24" t="s">
        <v>70</v>
      </c>
      <c r="K69" s="24" t="s">
        <v>163</v>
      </c>
      <c r="L69" s="26">
        <v>1</v>
      </c>
      <c r="M69" s="26" t="s">
        <v>477</v>
      </c>
      <c r="N69" s="27" t="s">
        <v>528</v>
      </c>
      <c r="O69" s="25" t="s">
        <v>203</v>
      </c>
      <c r="P69" s="24" t="s">
        <v>75</v>
      </c>
      <c r="Q69" s="24"/>
      <c r="R69" s="24"/>
      <c r="S69" s="24">
        <v>36</v>
      </c>
      <c r="T69" s="24">
        <f>ROUND(IF(D69=Table!$C$3,V69*Table!$C$4/8,V69*Table!$D$4/8),3)</f>
        <v>20.719000000000001</v>
      </c>
      <c r="U69" s="24">
        <f t="shared" si="14"/>
        <v>20.719000000000001</v>
      </c>
      <c r="V69" s="24">
        <v>1.2749999999999999</v>
      </c>
      <c r="W69" s="24">
        <v>2</v>
      </c>
      <c r="X69" s="24" t="s">
        <v>83</v>
      </c>
      <c r="Y69" s="28">
        <v>43896</v>
      </c>
      <c r="Z69" s="28">
        <v>43901</v>
      </c>
      <c r="AA69" s="28">
        <v>43896</v>
      </c>
      <c r="AB69" s="28">
        <v>43896</v>
      </c>
      <c r="AC69" s="30" t="s">
        <v>204</v>
      </c>
      <c r="AD69" s="30"/>
      <c r="AE69" s="30"/>
      <c r="AF69" s="55">
        <v>1</v>
      </c>
      <c r="AG69" s="55">
        <v>1</v>
      </c>
      <c r="AH69" s="55">
        <v>1</v>
      </c>
      <c r="AI69" s="24"/>
      <c r="AJ69" s="24"/>
      <c r="AK69" s="24"/>
    </row>
    <row r="70" spans="2:37" x14ac:dyDescent="0.25">
      <c r="B70" s="47">
        <v>26</v>
      </c>
      <c r="C70" s="25">
        <v>20200305</v>
      </c>
      <c r="D70" s="24" t="s">
        <v>2</v>
      </c>
      <c r="E70" s="24" t="s">
        <v>162</v>
      </c>
      <c r="F70" s="26" t="s">
        <v>70</v>
      </c>
      <c r="G70" s="24" t="s">
        <v>149</v>
      </c>
      <c r="H70" s="24" t="s">
        <v>188</v>
      </c>
      <c r="I70" s="24" t="s">
        <v>70</v>
      </c>
      <c r="J70" s="24" t="s">
        <v>70</v>
      </c>
      <c r="K70" s="24" t="s">
        <v>163</v>
      </c>
      <c r="L70" s="26">
        <v>1</v>
      </c>
      <c r="M70" s="26" t="s">
        <v>477</v>
      </c>
      <c r="N70" s="27" t="s">
        <v>529</v>
      </c>
      <c r="O70" s="25" t="s">
        <v>203</v>
      </c>
      <c r="P70" s="24" t="s">
        <v>75</v>
      </c>
      <c r="Q70" s="24"/>
      <c r="R70" s="24"/>
      <c r="S70" s="24">
        <v>10</v>
      </c>
      <c r="T70" s="24">
        <f>ROUND(IF(D70=Table!$C$3,V70*Table!$C$4/8,V70*Table!$D$4/8),3)</f>
        <v>20.719000000000001</v>
      </c>
      <c r="U70" s="24">
        <f t="shared" si="14"/>
        <v>20.719000000000001</v>
      </c>
      <c r="V70" s="24">
        <v>1.2749999999999999</v>
      </c>
      <c r="W70" s="24">
        <v>2</v>
      </c>
      <c r="X70" s="24" t="s">
        <v>83</v>
      </c>
      <c r="Y70" s="28">
        <v>43896</v>
      </c>
      <c r="Z70" s="28">
        <v>43901</v>
      </c>
      <c r="AA70" s="28">
        <v>43896</v>
      </c>
      <c r="AB70" s="28">
        <v>43901</v>
      </c>
      <c r="AC70" s="30" t="s">
        <v>204</v>
      </c>
      <c r="AD70" s="30"/>
      <c r="AE70" s="30"/>
      <c r="AF70" s="55">
        <v>1</v>
      </c>
      <c r="AG70" s="55">
        <v>1</v>
      </c>
      <c r="AH70" s="55" t="s">
        <v>219</v>
      </c>
      <c r="AI70" s="24"/>
      <c r="AJ70" s="24"/>
      <c r="AK70" s="24" t="s">
        <v>223</v>
      </c>
    </row>
    <row r="71" spans="2:37" x14ac:dyDescent="0.25">
      <c r="B71" s="47">
        <v>27</v>
      </c>
      <c r="C71" s="25">
        <v>20200305</v>
      </c>
      <c r="D71" s="24" t="s">
        <v>2</v>
      </c>
      <c r="E71" s="24" t="s">
        <v>162</v>
      </c>
      <c r="F71" s="26" t="s">
        <v>70</v>
      </c>
      <c r="G71" s="24" t="s">
        <v>150</v>
      </c>
      <c r="H71" s="24" t="s">
        <v>189</v>
      </c>
      <c r="I71" s="24" t="s">
        <v>70</v>
      </c>
      <c r="J71" s="24" t="s">
        <v>70</v>
      </c>
      <c r="K71" s="24" t="s">
        <v>163</v>
      </c>
      <c r="L71" s="26">
        <v>4.12</v>
      </c>
      <c r="M71" s="26" t="s">
        <v>477</v>
      </c>
      <c r="N71" s="27" t="s">
        <v>530</v>
      </c>
      <c r="O71" s="25" t="s">
        <v>203</v>
      </c>
      <c r="P71" s="24" t="s">
        <v>75</v>
      </c>
      <c r="Q71" s="24"/>
      <c r="R71" s="24"/>
      <c r="S71" s="24">
        <v>36</v>
      </c>
      <c r="T71" s="24">
        <f>ROUND(IF(D71=Table!$C$3,V71*Table!$C$4/8,V71*Table!$D$4/8),3)</f>
        <v>20.719000000000001</v>
      </c>
      <c r="U71" s="24">
        <f t="shared" si="14"/>
        <v>20.719000000000001</v>
      </c>
      <c r="V71" s="24">
        <v>1.2749999999999999</v>
      </c>
      <c r="W71" s="24">
        <v>2</v>
      </c>
      <c r="X71" s="24" t="s">
        <v>83</v>
      </c>
      <c r="Y71" s="28">
        <v>43896</v>
      </c>
      <c r="Z71" s="28">
        <v>43901</v>
      </c>
      <c r="AA71" s="28">
        <v>43896</v>
      </c>
      <c r="AB71" s="28">
        <v>43901</v>
      </c>
      <c r="AC71" s="30" t="s">
        <v>204</v>
      </c>
      <c r="AD71" s="30"/>
      <c r="AE71" s="30"/>
      <c r="AF71" s="55">
        <v>1</v>
      </c>
      <c r="AG71" s="55">
        <v>1</v>
      </c>
      <c r="AH71" s="55" t="s">
        <v>219</v>
      </c>
      <c r="AI71" s="24"/>
      <c r="AJ71" s="24"/>
      <c r="AK71" s="24" t="s">
        <v>223</v>
      </c>
    </row>
    <row r="72" spans="2:37" x14ac:dyDescent="0.25">
      <c r="B72" s="47">
        <v>28</v>
      </c>
      <c r="C72" s="25">
        <v>20200305</v>
      </c>
      <c r="D72" s="24" t="s">
        <v>2</v>
      </c>
      <c r="E72" s="24" t="s">
        <v>162</v>
      </c>
      <c r="F72" s="26" t="s">
        <v>70</v>
      </c>
      <c r="G72" s="24" t="s">
        <v>151</v>
      </c>
      <c r="H72" s="24" t="s">
        <v>190</v>
      </c>
      <c r="I72" s="24" t="s">
        <v>70</v>
      </c>
      <c r="J72" s="24" t="s">
        <v>70</v>
      </c>
      <c r="K72" s="24" t="s">
        <v>163</v>
      </c>
      <c r="L72" s="26">
        <v>1.4</v>
      </c>
      <c r="M72" s="26" t="s">
        <v>477</v>
      </c>
      <c r="N72" s="27" t="s">
        <v>531</v>
      </c>
      <c r="O72" s="25" t="s">
        <v>203</v>
      </c>
      <c r="P72" s="24" t="s">
        <v>75</v>
      </c>
      <c r="Q72" s="24"/>
      <c r="R72" s="24"/>
      <c r="S72" s="24">
        <v>36</v>
      </c>
      <c r="T72" s="24">
        <f>ROUND(IF(D72=Table!$C$3,V72*Table!$C$4/8,V72*Table!$D$4/8),3)</f>
        <v>20.719000000000001</v>
      </c>
      <c r="U72" s="24">
        <f t="shared" si="14"/>
        <v>20.719000000000001</v>
      </c>
      <c r="V72" s="24">
        <v>1.2749999999999999</v>
      </c>
      <c r="W72" s="24">
        <v>2</v>
      </c>
      <c r="X72" s="24" t="s">
        <v>83</v>
      </c>
      <c r="Y72" s="28">
        <v>43896</v>
      </c>
      <c r="Z72" s="28">
        <v>43901</v>
      </c>
      <c r="AA72" s="28">
        <v>43896</v>
      </c>
      <c r="AB72" s="28">
        <v>43901</v>
      </c>
      <c r="AC72" s="30" t="s">
        <v>204</v>
      </c>
      <c r="AD72" s="30"/>
      <c r="AE72" s="30"/>
      <c r="AF72" s="55">
        <v>1</v>
      </c>
      <c r="AG72" s="55">
        <v>1</v>
      </c>
      <c r="AH72" s="55" t="s">
        <v>219</v>
      </c>
      <c r="AI72" s="24"/>
      <c r="AJ72" s="24"/>
      <c r="AK72" s="24" t="s">
        <v>223</v>
      </c>
    </row>
    <row r="73" spans="2:37" x14ac:dyDescent="0.25">
      <c r="B73" s="47">
        <v>29</v>
      </c>
      <c r="C73" s="25">
        <v>20200305</v>
      </c>
      <c r="D73" s="24" t="s">
        <v>2</v>
      </c>
      <c r="E73" s="24" t="s">
        <v>162</v>
      </c>
      <c r="F73" s="26" t="s">
        <v>70</v>
      </c>
      <c r="G73" s="24" t="s">
        <v>152</v>
      </c>
      <c r="H73" s="24" t="s">
        <v>191</v>
      </c>
      <c r="I73" s="24" t="s">
        <v>70</v>
      </c>
      <c r="J73" s="24" t="s">
        <v>70</v>
      </c>
      <c r="K73" s="24" t="s">
        <v>163</v>
      </c>
      <c r="L73" s="26">
        <v>1.1200000000000001</v>
      </c>
      <c r="M73" s="26" t="s">
        <v>477</v>
      </c>
      <c r="N73" s="27" t="s">
        <v>532</v>
      </c>
      <c r="O73" s="25" t="s">
        <v>203</v>
      </c>
      <c r="P73" s="24" t="s">
        <v>73</v>
      </c>
      <c r="Q73" s="24"/>
      <c r="R73" s="24"/>
      <c r="S73" s="24">
        <v>10</v>
      </c>
      <c r="T73" s="24">
        <f>ROUND(IF(D73=Table!$C$3,V73*Table!$C$4/8,V73*Table!$D$4/8),3)</f>
        <v>20.719000000000001</v>
      </c>
      <c r="U73" s="24">
        <f t="shared" si="14"/>
        <v>20.719000000000001</v>
      </c>
      <c r="V73" s="24">
        <v>1.2749999999999999</v>
      </c>
      <c r="W73" s="24">
        <v>1</v>
      </c>
      <c r="X73" s="24" t="s">
        <v>83</v>
      </c>
      <c r="Y73" s="28">
        <v>43896</v>
      </c>
      <c r="Z73" s="28">
        <v>43901</v>
      </c>
      <c r="AA73" s="28">
        <v>43896</v>
      </c>
      <c r="AB73" s="28">
        <v>43901</v>
      </c>
      <c r="AC73" s="30" t="s">
        <v>204</v>
      </c>
      <c r="AD73" s="30"/>
      <c r="AE73" s="30"/>
      <c r="AF73" s="59">
        <v>1</v>
      </c>
      <c r="AG73" s="59">
        <v>1</v>
      </c>
      <c r="AH73" s="60" t="s">
        <v>219</v>
      </c>
      <c r="AI73" s="24"/>
      <c r="AJ73" s="24"/>
      <c r="AK73" s="24" t="s">
        <v>223</v>
      </c>
    </row>
    <row r="74" spans="2:37" x14ac:dyDescent="0.25">
      <c r="B74" s="47">
        <v>30</v>
      </c>
      <c r="C74" s="25">
        <v>20200305</v>
      </c>
      <c r="D74" s="24" t="s">
        <v>2</v>
      </c>
      <c r="E74" s="24" t="s">
        <v>162</v>
      </c>
      <c r="F74" s="26" t="s">
        <v>70</v>
      </c>
      <c r="G74" s="24" t="s">
        <v>153</v>
      </c>
      <c r="H74" s="24" t="s">
        <v>192</v>
      </c>
      <c r="I74" s="24" t="s">
        <v>70</v>
      </c>
      <c r="J74" s="24" t="s">
        <v>70</v>
      </c>
      <c r="K74" s="24" t="s">
        <v>163</v>
      </c>
      <c r="L74" s="26">
        <v>8.5</v>
      </c>
      <c r="M74" s="26" t="s">
        <v>477</v>
      </c>
      <c r="N74" s="27" t="s">
        <v>533</v>
      </c>
      <c r="O74" s="25" t="s">
        <v>203</v>
      </c>
      <c r="P74" s="24" t="s">
        <v>75</v>
      </c>
      <c r="Q74" s="24"/>
      <c r="R74" s="24"/>
      <c r="S74" s="24">
        <v>61</v>
      </c>
      <c r="T74" s="24">
        <f>ROUND(IF(D74=Table!$C$3,V74*Table!$C$4/8,V74*Table!$D$4/8),3)</f>
        <v>26.244</v>
      </c>
      <c r="U74" s="24">
        <f t="shared" si="14"/>
        <v>26.244</v>
      </c>
      <c r="V74" s="24">
        <v>1.615</v>
      </c>
      <c r="W74" s="24">
        <v>2</v>
      </c>
      <c r="X74" s="24" t="s">
        <v>83</v>
      </c>
      <c r="Y74" s="28">
        <v>43896</v>
      </c>
      <c r="Z74" s="28">
        <v>43901</v>
      </c>
      <c r="AA74" s="28">
        <v>43896</v>
      </c>
      <c r="AB74" s="28">
        <v>43901</v>
      </c>
      <c r="AC74" s="30" t="s">
        <v>204</v>
      </c>
      <c r="AD74" s="30"/>
      <c r="AE74" s="30"/>
      <c r="AF74" s="55">
        <v>1</v>
      </c>
      <c r="AG74" s="55">
        <v>1</v>
      </c>
      <c r="AH74" s="55" t="s">
        <v>219</v>
      </c>
      <c r="AI74" s="24"/>
      <c r="AJ74" s="24"/>
      <c r="AK74" s="24" t="s">
        <v>223</v>
      </c>
    </row>
    <row r="75" spans="2:37" x14ac:dyDescent="0.25">
      <c r="B75" s="47">
        <v>31</v>
      </c>
      <c r="C75" s="25">
        <v>20200305</v>
      </c>
      <c r="D75" s="24" t="s">
        <v>2</v>
      </c>
      <c r="E75" s="24" t="s">
        <v>162</v>
      </c>
      <c r="F75" s="26" t="s">
        <v>70</v>
      </c>
      <c r="G75" s="24" t="s">
        <v>154</v>
      </c>
      <c r="H75" s="24" t="s">
        <v>193</v>
      </c>
      <c r="I75" s="24" t="s">
        <v>70</v>
      </c>
      <c r="J75" s="24" t="s">
        <v>70</v>
      </c>
      <c r="K75" s="24" t="s">
        <v>163</v>
      </c>
      <c r="L75" s="26">
        <v>6.13</v>
      </c>
      <c r="M75" s="26" t="s">
        <v>477</v>
      </c>
      <c r="N75" s="27" t="s">
        <v>534</v>
      </c>
      <c r="O75" s="25" t="s">
        <v>203</v>
      </c>
      <c r="P75" s="24" t="s">
        <v>75</v>
      </c>
      <c r="Q75" s="24"/>
      <c r="R75" s="24"/>
      <c r="S75" s="24">
        <v>89</v>
      </c>
      <c r="T75" s="24">
        <f>ROUND(IF(D75=Table!$C$3,V75*Table!$C$4/8,V75*Table!$D$4/8),3)</f>
        <v>125.694</v>
      </c>
      <c r="U75" s="24">
        <f t="shared" si="14"/>
        <v>125.694</v>
      </c>
      <c r="V75" s="24">
        <v>7.7349999999999994</v>
      </c>
      <c r="W75" s="24">
        <v>8</v>
      </c>
      <c r="X75" s="24" t="s">
        <v>83</v>
      </c>
      <c r="Y75" s="28">
        <v>43896</v>
      </c>
      <c r="Z75" s="28">
        <v>43901</v>
      </c>
      <c r="AA75" s="28">
        <v>43896</v>
      </c>
      <c r="AB75" s="28">
        <v>43901</v>
      </c>
      <c r="AC75" s="30" t="s">
        <v>205</v>
      </c>
      <c r="AD75" s="30"/>
      <c r="AE75" s="30"/>
      <c r="AF75" s="55">
        <v>1</v>
      </c>
      <c r="AG75" s="55">
        <v>1</v>
      </c>
      <c r="AH75" s="55">
        <v>0.94099999999999995</v>
      </c>
      <c r="AI75" s="24" t="s">
        <v>484</v>
      </c>
      <c r="AJ75" s="24"/>
      <c r="AK75" s="24"/>
    </row>
    <row r="76" spans="2:37" x14ac:dyDescent="0.25">
      <c r="B76" s="47">
        <v>32</v>
      </c>
      <c r="C76" s="25">
        <v>20200305</v>
      </c>
      <c r="D76" s="24" t="s">
        <v>2</v>
      </c>
      <c r="E76" s="24" t="s">
        <v>162</v>
      </c>
      <c r="F76" s="26" t="s">
        <v>70</v>
      </c>
      <c r="G76" s="24" t="s">
        <v>155</v>
      </c>
      <c r="H76" s="24" t="s">
        <v>194</v>
      </c>
      <c r="I76" s="24" t="s">
        <v>70</v>
      </c>
      <c r="J76" s="24" t="s">
        <v>70</v>
      </c>
      <c r="K76" s="24" t="s">
        <v>163</v>
      </c>
      <c r="L76" s="26">
        <v>1.1000000000000001</v>
      </c>
      <c r="M76" s="26" t="s">
        <v>477</v>
      </c>
      <c r="N76" s="27" t="s">
        <v>535</v>
      </c>
      <c r="O76" s="25" t="s">
        <v>203</v>
      </c>
      <c r="P76" s="24" t="s">
        <v>75</v>
      </c>
      <c r="Q76" s="24"/>
      <c r="R76" s="24"/>
      <c r="S76" s="24">
        <v>67</v>
      </c>
      <c r="T76" s="24">
        <f>ROUND(IF(D76=Table!$C$3,V76*Table!$C$4/8,V76*Table!$D$4/8),3)</f>
        <v>26.244</v>
      </c>
      <c r="U76" s="24">
        <f t="shared" si="14"/>
        <v>26.244</v>
      </c>
      <c r="V76" s="24">
        <v>1.615</v>
      </c>
      <c r="W76" s="24">
        <v>4</v>
      </c>
      <c r="X76" s="24" t="s">
        <v>83</v>
      </c>
      <c r="Y76" s="28">
        <v>43896</v>
      </c>
      <c r="Z76" s="28">
        <v>43901</v>
      </c>
      <c r="AA76" s="28">
        <v>43896</v>
      </c>
      <c r="AB76" s="28">
        <v>43901</v>
      </c>
      <c r="AC76" s="30" t="s">
        <v>205</v>
      </c>
      <c r="AD76" s="30"/>
      <c r="AE76" s="30"/>
      <c r="AF76" s="55">
        <v>0.95799999999999996</v>
      </c>
      <c r="AG76" s="55">
        <v>0.96400000000000008</v>
      </c>
      <c r="AH76" s="55">
        <v>1</v>
      </c>
      <c r="AI76" s="24" t="s">
        <v>225</v>
      </c>
      <c r="AJ76" s="24"/>
      <c r="AK76" s="24" t="s">
        <v>224</v>
      </c>
    </row>
    <row r="77" spans="2:37" x14ac:dyDescent="0.25">
      <c r="B77" s="47">
        <v>33</v>
      </c>
      <c r="C77" s="25">
        <v>20200305</v>
      </c>
      <c r="D77" s="24" t="s">
        <v>2</v>
      </c>
      <c r="E77" s="24" t="s">
        <v>162</v>
      </c>
      <c r="F77" s="26" t="s">
        <v>70</v>
      </c>
      <c r="G77" s="24" t="s">
        <v>156</v>
      </c>
      <c r="H77" s="24" t="s">
        <v>195</v>
      </c>
      <c r="I77" s="24" t="s">
        <v>70</v>
      </c>
      <c r="J77" s="24" t="s">
        <v>70</v>
      </c>
      <c r="K77" s="24" t="s">
        <v>163</v>
      </c>
      <c r="L77" s="26">
        <v>1.5</v>
      </c>
      <c r="M77" s="26" t="s">
        <v>477</v>
      </c>
      <c r="N77" s="27" t="s">
        <v>536</v>
      </c>
      <c r="O77" s="25" t="s">
        <v>203</v>
      </c>
      <c r="P77" s="24" t="s">
        <v>75</v>
      </c>
      <c r="Q77" s="24"/>
      <c r="R77" s="24"/>
      <c r="S77" s="24">
        <v>51</v>
      </c>
      <c r="T77" s="24">
        <f>ROUND(IF(D77=Table!$C$3,V77*Table!$C$4/8,V77*Table!$D$4/8),3)</f>
        <v>42.819000000000003</v>
      </c>
      <c r="U77" s="24">
        <f t="shared" si="14"/>
        <v>42.819000000000003</v>
      </c>
      <c r="V77" s="24">
        <v>2.6349999999999998</v>
      </c>
      <c r="W77" s="24">
        <v>3</v>
      </c>
      <c r="X77" s="24" t="s">
        <v>83</v>
      </c>
      <c r="Y77" s="28">
        <v>43896</v>
      </c>
      <c r="Z77" s="28">
        <v>43901</v>
      </c>
      <c r="AA77" s="28">
        <v>43896</v>
      </c>
      <c r="AB77" s="28">
        <v>43899</v>
      </c>
      <c r="AC77" s="30" t="s">
        <v>204</v>
      </c>
      <c r="AD77" s="30"/>
      <c r="AE77" s="30"/>
      <c r="AF77" s="55">
        <v>1</v>
      </c>
      <c r="AG77" s="55">
        <v>1</v>
      </c>
      <c r="AH77" s="55">
        <v>1</v>
      </c>
      <c r="AI77" s="24"/>
      <c r="AJ77" s="24"/>
      <c r="AK77" s="24"/>
    </row>
    <row r="78" spans="2:37" x14ac:dyDescent="0.25">
      <c r="B78" s="47">
        <v>34</v>
      </c>
      <c r="C78" s="25">
        <v>20200305</v>
      </c>
      <c r="D78" s="24" t="s">
        <v>2</v>
      </c>
      <c r="E78" s="24" t="s">
        <v>162</v>
      </c>
      <c r="F78" s="26" t="s">
        <v>70</v>
      </c>
      <c r="G78" s="24" t="s">
        <v>157</v>
      </c>
      <c r="H78" s="24" t="s">
        <v>196</v>
      </c>
      <c r="I78" s="24" t="s">
        <v>70</v>
      </c>
      <c r="J78" s="24" t="s">
        <v>70</v>
      </c>
      <c r="K78" s="24" t="s">
        <v>163</v>
      </c>
      <c r="L78" s="26">
        <v>2.2000000000000002</v>
      </c>
      <c r="M78" s="26" t="s">
        <v>477</v>
      </c>
      <c r="N78" s="27" t="s">
        <v>537</v>
      </c>
      <c r="O78" s="25" t="s">
        <v>203</v>
      </c>
      <c r="P78" s="24" t="s">
        <v>75</v>
      </c>
      <c r="Q78" s="24"/>
      <c r="R78" s="24"/>
      <c r="S78" s="24">
        <v>71</v>
      </c>
      <c r="T78" s="24">
        <f>ROUND(IF(D78=Table!$C$3,V78*Table!$C$4/8,V78*Table!$D$4/8),3)</f>
        <v>53.869</v>
      </c>
      <c r="U78" s="24">
        <f t="shared" si="14"/>
        <v>53.869</v>
      </c>
      <c r="V78" s="24">
        <v>3.3150000000000004</v>
      </c>
      <c r="W78" s="24">
        <v>4</v>
      </c>
      <c r="X78" s="24" t="s">
        <v>83</v>
      </c>
      <c r="Y78" s="28">
        <v>43896</v>
      </c>
      <c r="Z78" s="28">
        <v>43901</v>
      </c>
      <c r="AA78" s="28">
        <v>43896</v>
      </c>
      <c r="AB78" s="28">
        <v>43899</v>
      </c>
      <c r="AC78" s="30" t="s">
        <v>205</v>
      </c>
      <c r="AD78" s="30"/>
      <c r="AE78" s="30"/>
      <c r="AF78" s="55">
        <v>1</v>
      </c>
      <c r="AG78" s="55">
        <v>1</v>
      </c>
      <c r="AH78" s="55">
        <v>1</v>
      </c>
      <c r="AI78" s="24"/>
      <c r="AJ78" s="24"/>
      <c r="AK78" s="24"/>
    </row>
    <row r="79" spans="2:37" x14ac:dyDescent="0.25">
      <c r="B79" s="47">
        <v>35</v>
      </c>
      <c r="C79" s="25">
        <v>20200305</v>
      </c>
      <c r="D79" s="24" t="s">
        <v>2</v>
      </c>
      <c r="E79" s="24" t="s">
        <v>162</v>
      </c>
      <c r="F79" s="26" t="s">
        <v>70</v>
      </c>
      <c r="G79" s="24" t="s">
        <v>158</v>
      </c>
      <c r="H79" s="24" t="s">
        <v>197</v>
      </c>
      <c r="I79" s="24" t="s">
        <v>70</v>
      </c>
      <c r="J79" s="24" t="s">
        <v>70</v>
      </c>
      <c r="K79" s="24" t="s">
        <v>163</v>
      </c>
      <c r="L79" s="26">
        <v>1.1000000000000001</v>
      </c>
      <c r="M79" s="26" t="s">
        <v>477</v>
      </c>
      <c r="N79" s="27" t="s">
        <v>538</v>
      </c>
      <c r="O79" s="25" t="s">
        <v>203</v>
      </c>
      <c r="P79" s="24" t="s">
        <v>75</v>
      </c>
      <c r="Q79" s="24"/>
      <c r="R79" s="24"/>
      <c r="S79" s="24">
        <v>58</v>
      </c>
      <c r="T79" s="24">
        <f>ROUND(IF(D79=Table!$C$3,V79*Table!$C$4/8,V79*Table!$D$4/8),3)</f>
        <v>37.293999999999997</v>
      </c>
      <c r="U79" s="24">
        <f t="shared" si="14"/>
        <v>37.293999999999997</v>
      </c>
      <c r="V79" s="24">
        <v>2.2949999999999999</v>
      </c>
      <c r="W79" s="24">
        <v>4</v>
      </c>
      <c r="X79" s="24" t="s">
        <v>83</v>
      </c>
      <c r="Y79" s="28">
        <v>43896</v>
      </c>
      <c r="Z79" s="28">
        <v>43901</v>
      </c>
      <c r="AA79" s="28">
        <v>43896</v>
      </c>
      <c r="AB79" s="28">
        <v>43908</v>
      </c>
      <c r="AC79" s="30" t="s">
        <v>205</v>
      </c>
      <c r="AD79" s="30"/>
      <c r="AE79" s="30"/>
      <c r="AF79" s="55">
        <v>0.83900000000000008</v>
      </c>
      <c r="AG79" s="55">
        <v>0.84400000000000008</v>
      </c>
      <c r="AH79" s="55">
        <v>1</v>
      </c>
      <c r="AI79" s="24" t="s">
        <v>485</v>
      </c>
      <c r="AJ79" s="24"/>
      <c r="AK79" s="24"/>
    </row>
    <row r="80" spans="2:37" x14ac:dyDescent="0.25">
      <c r="B80" s="47">
        <v>36</v>
      </c>
      <c r="C80" s="25">
        <v>20200305</v>
      </c>
      <c r="D80" s="24" t="s">
        <v>2</v>
      </c>
      <c r="E80" s="24" t="s">
        <v>162</v>
      </c>
      <c r="F80" s="26" t="s">
        <v>70</v>
      </c>
      <c r="G80" s="24" t="s">
        <v>159</v>
      </c>
      <c r="H80" s="24" t="s">
        <v>198</v>
      </c>
      <c r="I80" s="24" t="s">
        <v>70</v>
      </c>
      <c r="J80" s="24" t="s">
        <v>70</v>
      </c>
      <c r="K80" s="24" t="s">
        <v>163</v>
      </c>
      <c r="L80" s="26" t="s">
        <v>122</v>
      </c>
      <c r="M80" s="26" t="s">
        <v>477</v>
      </c>
      <c r="N80" s="27" t="s">
        <v>539</v>
      </c>
      <c r="O80" s="25" t="s">
        <v>203</v>
      </c>
      <c r="P80" s="24" t="s">
        <v>75</v>
      </c>
      <c r="Q80" s="24"/>
      <c r="R80" s="24"/>
      <c r="S80" s="24">
        <v>47</v>
      </c>
      <c r="T80" s="24">
        <f>ROUND(IF(D80=Table!$C$3,V80*Table!$C$4/8,V80*Table!$D$4/8),3)</f>
        <v>26.244</v>
      </c>
      <c r="U80" s="24">
        <f t="shared" si="14"/>
        <v>26.244</v>
      </c>
      <c r="V80" s="24">
        <v>1.615</v>
      </c>
      <c r="W80" s="24">
        <v>4</v>
      </c>
      <c r="X80" s="24" t="s">
        <v>83</v>
      </c>
      <c r="Y80" s="28">
        <v>43896</v>
      </c>
      <c r="Z80" s="28">
        <v>43901</v>
      </c>
      <c r="AA80" s="28">
        <v>43896</v>
      </c>
      <c r="AB80" s="28">
        <v>43908</v>
      </c>
      <c r="AC80" s="30" t="s">
        <v>205</v>
      </c>
      <c r="AD80" s="30"/>
      <c r="AE80" s="30"/>
      <c r="AF80" s="55">
        <v>0.88500000000000001</v>
      </c>
      <c r="AG80" s="55">
        <v>0.88900000000000001</v>
      </c>
      <c r="AH80" s="55">
        <v>1</v>
      </c>
      <c r="AI80" s="24" t="s">
        <v>486</v>
      </c>
      <c r="AJ80" s="24"/>
      <c r="AK80" s="24" t="s">
        <v>226</v>
      </c>
    </row>
    <row r="81" spans="2:37" x14ac:dyDescent="0.25">
      <c r="B81" s="47">
        <v>37</v>
      </c>
      <c r="C81" s="25">
        <v>20200305</v>
      </c>
      <c r="D81" s="24" t="s">
        <v>2</v>
      </c>
      <c r="E81" s="24" t="s">
        <v>162</v>
      </c>
      <c r="F81" s="26" t="s">
        <v>70</v>
      </c>
      <c r="G81" s="24" t="s">
        <v>160</v>
      </c>
      <c r="H81" s="24" t="s">
        <v>199</v>
      </c>
      <c r="I81" s="24" t="s">
        <v>70</v>
      </c>
      <c r="J81" s="24" t="s">
        <v>70</v>
      </c>
      <c r="K81" s="24" t="s">
        <v>163</v>
      </c>
      <c r="L81" s="26" t="s">
        <v>123</v>
      </c>
      <c r="M81" s="26" t="s">
        <v>477</v>
      </c>
      <c r="N81" s="27" t="s">
        <v>540</v>
      </c>
      <c r="O81" s="25" t="s">
        <v>203</v>
      </c>
      <c r="P81" s="24" t="s">
        <v>75</v>
      </c>
      <c r="Q81" s="24"/>
      <c r="R81" s="24"/>
      <c r="S81" s="24">
        <v>32</v>
      </c>
      <c r="T81" s="24">
        <f>ROUND(IF(D81=Table!$C$3,V81*Table!$C$4/8,V81*Table!$D$4/8),3)</f>
        <v>31.768999999999998</v>
      </c>
      <c r="U81" s="24">
        <f t="shared" si="14"/>
        <v>31.768999999999998</v>
      </c>
      <c r="V81" s="24">
        <v>1.9549999999999998</v>
      </c>
      <c r="W81" s="24">
        <v>4</v>
      </c>
      <c r="X81" s="24" t="s">
        <v>83</v>
      </c>
      <c r="Y81" s="28">
        <v>43896</v>
      </c>
      <c r="Z81" s="28">
        <v>43901</v>
      </c>
      <c r="AA81" s="28">
        <v>43896</v>
      </c>
      <c r="AB81" s="28">
        <v>43908</v>
      </c>
      <c r="AC81" s="30" t="s">
        <v>205</v>
      </c>
      <c r="AD81" s="30"/>
      <c r="AE81" s="30"/>
      <c r="AF81" s="55">
        <v>0.75</v>
      </c>
      <c r="AG81" s="55">
        <v>0.75</v>
      </c>
      <c r="AH81" s="55">
        <v>0.90900000000000003</v>
      </c>
      <c r="AI81" s="24" t="s">
        <v>487</v>
      </c>
      <c r="AJ81" s="24"/>
      <c r="AK81" s="24"/>
    </row>
    <row r="82" spans="2:37" x14ac:dyDescent="0.25">
      <c r="B82" s="47">
        <v>38</v>
      </c>
      <c r="C82" s="25">
        <v>20200305</v>
      </c>
      <c r="D82" s="24" t="s">
        <v>2</v>
      </c>
      <c r="E82" s="24" t="s">
        <v>162</v>
      </c>
      <c r="F82" s="26" t="s">
        <v>70</v>
      </c>
      <c r="G82" s="24" t="s">
        <v>161</v>
      </c>
      <c r="H82" s="24" t="s">
        <v>200</v>
      </c>
      <c r="I82" s="24" t="s">
        <v>70</v>
      </c>
      <c r="J82" s="24" t="s">
        <v>70</v>
      </c>
      <c r="K82" s="24" t="s">
        <v>163</v>
      </c>
      <c r="L82" s="26">
        <v>1.2</v>
      </c>
      <c r="M82" s="26" t="s">
        <v>477</v>
      </c>
      <c r="N82" s="27" t="s">
        <v>541</v>
      </c>
      <c r="O82" s="25" t="s">
        <v>203</v>
      </c>
      <c r="P82" s="24" t="s">
        <v>75</v>
      </c>
      <c r="Q82" s="24"/>
      <c r="R82" s="24"/>
      <c r="S82" s="24">
        <v>73</v>
      </c>
      <c r="T82" s="24">
        <f>ROUND(IF(D82=Table!$C$3,V82*Table!$C$4/8,V82*Table!$D$4/8),3)</f>
        <v>42.819000000000003</v>
      </c>
      <c r="U82" s="24">
        <f t="shared" si="14"/>
        <v>42.819000000000003</v>
      </c>
      <c r="V82" s="24">
        <v>2.6349999999999998</v>
      </c>
      <c r="W82" s="24">
        <v>3</v>
      </c>
      <c r="X82" s="24" t="s">
        <v>83</v>
      </c>
      <c r="Y82" s="28">
        <v>43896</v>
      </c>
      <c r="Z82" s="28">
        <v>43901</v>
      </c>
      <c r="AA82" s="28">
        <v>43896</v>
      </c>
      <c r="AB82" s="28">
        <v>43896</v>
      </c>
      <c r="AC82" s="30" t="s">
        <v>204</v>
      </c>
      <c r="AD82" s="30"/>
      <c r="AE82" s="30"/>
      <c r="AF82" s="55">
        <v>1</v>
      </c>
      <c r="AG82" s="55">
        <v>1</v>
      </c>
      <c r="AH82" s="55">
        <v>1</v>
      </c>
      <c r="AI82" s="24"/>
      <c r="AJ82" s="24"/>
      <c r="AK82" s="24"/>
    </row>
    <row r="83" spans="2:37" x14ac:dyDescent="0.25">
      <c r="B83" s="48">
        <v>39</v>
      </c>
      <c r="C83" s="25">
        <v>20200306</v>
      </c>
      <c r="D83" s="24" t="s">
        <v>2</v>
      </c>
      <c r="E83" s="24" t="s">
        <v>209</v>
      </c>
      <c r="F83" s="26" t="s">
        <v>70</v>
      </c>
      <c r="G83" s="24" t="s">
        <v>210</v>
      </c>
      <c r="H83" s="24" t="s">
        <v>206</v>
      </c>
      <c r="I83" s="24" t="s">
        <v>70</v>
      </c>
      <c r="J83" s="24" t="s">
        <v>70</v>
      </c>
      <c r="K83" s="24" t="s">
        <v>215</v>
      </c>
      <c r="L83" s="26">
        <v>1</v>
      </c>
      <c r="M83" s="26" t="s">
        <v>214</v>
      </c>
      <c r="N83" s="27" t="s">
        <v>542</v>
      </c>
      <c r="O83" s="25" t="s">
        <v>213</v>
      </c>
      <c r="P83" s="24" t="s">
        <v>6</v>
      </c>
      <c r="Q83" s="24"/>
      <c r="R83" s="24"/>
      <c r="S83" s="24">
        <v>13</v>
      </c>
      <c r="T83" s="24">
        <f>ROUND(IF(D83=Table!$C$3,V83*Table!$C$4/8,V83*Table!$D$4/8),3)</f>
        <v>26</v>
      </c>
      <c r="U83" s="24">
        <f t="shared" si="14"/>
        <v>26</v>
      </c>
      <c r="V83" s="24">
        <v>1.6</v>
      </c>
      <c r="W83" s="24">
        <v>3</v>
      </c>
      <c r="X83" s="24" t="s">
        <v>83</v>
      </c>
      <c r="Y83" s="28">
        <v>43896</v>
      </c>
      <c r="Z83" s="28">
        <v>43899</v>
      </c>
      <c r="AA83" s="28">
        <v>43896</v>
      </c>
      <c r="AB83" s="28">
        <v>43896</v>
      </c>
      <c r="AC83" s="30" t="s">
        <v>205</v>
      </c>
      <c r="AD83" s="30"/>
      <c r="AE83" s="30"/>
      <c r="AF83" s="55">
        <v>0.84599999999999997</v>
      </c>
      <c r="AG83" s="55">
        <v>0.84599999999999997</v>
      </c>
      <c r="AH83" s="61" t="s">
        <v>70</v>
      </c>
      <c r="AI83" s="24"/>
      <c r="AJ83" s="24"/>
      <c r="AK83" s="24"/>
    </row>
    <row r="84" spans="2:37" x14ac:dyDescent="0.25">
      <c r="B84" s="48">
        <v>40</v>
      </c>
      <c r="C84" s="25">
        <v>20200306</v>
      </c>
      <c r="D84" s="24" t="s">
        <v>2</v>
      </c>
      <c r="E84" s="24" t="s">
        <v>209</v>
      </c>
      <c r="F84" s="26" t="s">
        <v>70</v>
      </c>
      <c r="G84" s="24" t="s">
        <v>211</v>
      </c>
      <c r="H84" s="24" t="s">
        <v>207</v>
      </c>
      <c r="I84" s="24" t="s">
        <v>70</v>
      </c>
      <c r="J84" s="24" t="s">
        <v>70</v>
      </c>
      <c r="K84" s="24" t="s">
        <v>215</v>
      </c>
      <c r="L84" s="26">
        <v>1</v>
      </c>
      <c r="M84" s="26" t="s">
        <v>214</v>
      </c>
      <c r="N84" s="27" t="s">
        <v>543</v>
      </c>
      <c r="O84" s="25" t="s">
        <v>213</v>
      </c>
      <c r="P84" s="24" t="s">
        <v>6</v>
      </c>
      <c r="Q84" s="24"/>
      <c r="R84" s="24"/>
      <c r="S84" s="24">
        <v>52</v>
      </c>
      <c r="T84" s="24">
        <f>ROUND(IF(D84=Table!$C$3,V84*Table!$C$4/8,V84*Table!$D$4/8),3)</f>
        <v>78</v>
      </c>
      <c r="U84" s="24">
        <f t="shared" si="14"/>
        <v>78</v>
      </c>
      <c r="V84" s="24">
        <v>4.8</v>
      </c>
      <c r="W84" s="24">
        <v>5</v>
      </c>
      <c r="X84" s="24" t="s">
        <v>83</v>
      </c>
      <c r="Y84" s="28">
        <v>43896</v>
      </c>
      <c r="Z84" s="28">
        <v>43899</v>
      </c>
      <c r="AA84" s="28">
        <v>43896</v>
      </c>
      <c r="AB84" s="28">
        <v>43896</v>
      </c>
      <c r="AC84" s="30" t="s">
        <v>205</v>
      </c>
      <c r="AD84" s="30"/>
      <c r="AE84" s="30"/>
      <c r="AF84" s="55">
        <v>0.88900000000000001</v>
      </c>
      <c r="AG84" s="55">
        <v>0.89400000000000002</v>
      </c>
      <c r="AH84" s="55">
        <v>0.88900000000000001</v>
      </c>
      <c r="AI84" s="24"/>
      <c r="AJ84" s="24"/>
      <c r="AK84" s="24"/>
    </row>
    <row r="85" spans="2:37" x14ac:dyDescent="0.25">
      <c r="B85" s="48">
        <v>41</v>
      </c>
      <c r="C85" s="25">
        <v>20200306</v>
      </c>
      <c r="D85" s="24" t="s">
        <v>2</v>
      </c>
      <c r="E85" s="24" t="s">
        <v>209</v>
      </c>
      <c r="F85" s="26" t="s">
        <v>70</v>
      </c>
      <c r="G85" s="24" t="s">
        <v>212</v>
      </c>
      <c r="H85" s="24" t="s">
        <v>208</v>
      </c>
      <c r="I85" s="24" t="s">
        <v>70</v>
      </c>
      <c r="J85" s="24" t="s">
        <v>70</v>
      </c>
      <c r="K85" s="24" t="s">
        <v>215</v>
      </c>
      <c r="L85" s="26">
        <v>1</v>
      </c>
      <c r="M85" s="26" t="s">
        <v>214</v>
      </c>
      <c r="N85" s="27" t="s">
        <v>544</v>
      </c>
      <c r="O85" s="25" t="s">
        <v>213</v>
      </c>
      <c r="P85" s="24" t="s">
        <v>6</v>
      </c>
      <c r="Q85" s="24"/>
      <c r="R85" s="24"/>
      <c r="S85" s="24">
        <v>28</v>
      </c>
      <c r="T85" s="24">
        <f>ROUND(IF(D85=Table!$C$3,V85*Table!$C$4/8,V85*Table!$D$4/8),3)</f>
        <v>39</v>
      </c>
      <c r="U85" s="24">
        <f t="shared" si="14"/>
        <v>39</v>
      </c>
      <c r="V85" s="24">
        <v>2.4</v>
      </c>
      <c r="W85" s="24">
        <v>4</v>
      </c>
      <c r="X85" s="24" t="s">
        <v>83</v>
      </c>
      <c r="Y85" s="28">
        <v>43896</v>
      </c>
      <c r="Z85" s="28">
        <v>43899</v>
      </c>
      <c r="AA85" s="28">
        <v>43899</v>
      </c>
      <c r="AB85" s="28">
        <v>43899</v>
      </c>
      <c r="AC85" s="28" t="s">
        <v>204</v>
      </c>
      <c r="AD85" s="121"/>
      <c r="AE85" s="121"/>
      <c r="AF85" s="55">
        <v>1</v>
      </c>
      <c r="AG85" s="55">
        <v>1</v>
      </c>
      <c r="AH85" s="55">
        <v>1</v>
      </c>
      <c r="AI85" s="24"/>
      <c r="AJ85" s="24"/>
      <c r="AK85" s="24"/>
    </row>
    <row r="86" spans="2:37" x14ac:dyDescent="0.25">
      <c r="B86" s="27">
        <v>42</v>
      </c>
      <c r="C86" s="25">
        <v>20200316</v>
      </c>
      <c r="D86" s="24" t="s">
        <v>2</v>
      </c>
      <c r="E86" s="24" t="s">
        <v>286</v>
      </c>
      <c r="F86" s="26" t="s">
        <v>311</v>
      </c>
      <c r="G86" s="24" t="s">
        <v>140</v>
      </c>
      <c r="H86" s="24" t="s">
        <v>238</v>
      </c>
      <c r="I86" s="24" t="s">
        <v>333</v>
      </c>
      <c r="J86" s="24" t="s">
        <v>70</v>
      </c>
      <c r="K86" s="24" t="s">
        <v>328</v>
      </c>
      <c r="L86" s="26" t="s">
        <v>266</v>
      </c>
      <c r="M86" s="26" t="s">
        <v>236</v>
      </c>
      <c r="N86" s="27" t="s">
        <v>545</v>
      </c>
      <c r="O86" s="25" t="s">
        <v>323</v>
      </c>
      <c r="P86" s="24" t="s">
        <v>6</v>
      </c>
      <c r="Q86" s="24"/>
      <c r="R86" s="24"/>
      <c r="S86" s="24">
        <v>59</v>
      </c>
      <c r="T86" s="24">
        <f>ROUND(IF(D86=Table!$C$3,V86*Table!$C$4/8,V86*Table!$D$4/8),3)</f>
        <v>65</v>
      </c>
      <c r="U86" s="24">
        <f t="shared" si="14"/>
        <v>65</v>
      </c>
      <c r="V86" s="24">
        <v>4</v>
      </c>
      <c r="W86" s="24">
        <v>10</v>
      </c>
      <c r="X86" s="24" t="s">
        <v>83</v>
      </c>
      <c r="Y86" s="28">
        <v>43906</v>
      </c>
      <c r="Z86" s="28">
        <v>43909</v>
      </c>
      <c r="AA86" s="28">
        <v>43907</v>
      </c>
      <c r="AB86" s="28">
        <v>43907</v>
      </c>
      <c r="AC86" s="28" t="s">
        <v>204</v>
      </c>
      <c r="AD86" s="121"/>
      <c r="AE86" s="121"/>
      <c r="AF86" s="55">
        <v>0.81299999999999994</v>
      </c>
      <c r="AG86" s="55">
        <v>0.81299999999999994</v>
      </c>
      <c r="AH86" s="55" t="s">
        <v>219</v>
      </c>
      <c r="AI86" s="24" t="s">
        <v>330</v>
      </c>
      <c r="AJ86" s="24"/>
      <c r="AK86" s="24"/>
    </row>
    <row r="87" spans="2:37" x14ac:dyDescent="0.25">
      <c r="B87" s="27">
        <v>43</v>
      </c>
      <c r="C87" s="25">
        <v>20200316</v>
      </c>
      <c r="D87" s="24" t="s">
        <v>2</v>
      </c>
      <c r="E87" s="24" t="s">
        <v>286</v>
      </c>
      <c r="F87" s="26" t="s">
        <v>311</v>
      </c>
      <c r="G87" s="24" t="s">
        <v>158</v>
      </c>
      <c r="H87" s="24" t="s">
        <v>250</v>
      </c>
      <c r="I87" s="24" t="s">
        <v>333</v>
      </c>
      <c r="J87" s="24" t="s">
        <v>70</v>
      </c>
      <c r="K87" s="24" t="s">
        <v>328</v>
      </c>
      <c r="L87" s="26" t="s">
        <v>269</v>
      </c>
      <c r="M87" s="26" t="s">
        <v>236</v>
      </c>
      <c r="N87" s="27" t="s">
        <v>546</v>
      </c>
      <c r="O87" s="25" t="s">
        <v>323</v>
      </c>
      <c r="P87" s="24" t="s">
        <v>6</v>
      </c>
      <c r="Q87" s="24"/>
      <c r="R87" s="24"/>
      <c r="S87" s="24">
        <v>55</v>
      </c>
      <c r="T87" s="24">
        <f>ROUND(IF(D87=Table!$C$3,V87*Table!$C$4/8,V87*Table!$D$4/8),3)</f>
        <v>65</v>
      </c>
      <c r="U87" s="24">
        <f t="shared" si="14"/>
        <v>65</v>
      </c>
      <c r="V87" s="24">
        <v>4</v>
      </c>
      <c r="W87" s="24">
        <v>3</v>
      </c>
      <c r="X87" s="24" t="s">
        <v>83</v>
      </c>
      <c r="Y87" s="28">
        <v>43906</v>
      </c>
      <c r="Z87" s="28">
        <v>43909</v>
      </c>
      <c r="AA87" s="28">
        <v>43907</v>
      </c>
      <c r="AB87" s="28">
        <v>43907</v>
      </c>
      <c r="AC87" s="28" t="s">
        <v>204</v>
      </c>
      <c r="AD87" s="121"/>
      <c r="AE87" s="121"/>
      <c r="AF87" s="55">
        <v>0.72699999999999998</v>
      </c>
      <c r="AG87" s="55">
        <v>0.75</v>
      </c>
      <c r="AH87" s="55" t="s">
        <v>219</v>
      </c>
      <c r="AI87" s="24" t="s">
        <v>331</v>
      </c>
      <c r="AJ87" s="24"/>
      <c r="AK87" s="24"/>
    </row>
    <row r="88" spans="2:37" x14ac:dyDescent="0.25">
      <c r="B88" s="27">
        <v>44</v>
      </c>
      <c r="C88" s="25">
        <v>20200316</v>
      </c>
      <c r="D88" s="24" t="s">
        <v>3</v>
      </c>
      <c r="E88" s="24" t="s">
        <v>286</v>
      </c>
      <c r="F88" s="26" t="s">
        <v>285</v>
      </c>
      <c r="G88" s="24" t="s">
        <v>293</v>
      </c>
      <c r="H88" s="24" t="s">
        <v>263</v>
      </c>
      <c r="I88" s="24" t="s">
        <v>334</v>
      </c>
      <c r="J88" s="24" t="s">
        <v>70</v>
      </c>
      <c r="K88" s="24" t="s">
        <v>336</v>
      </c>
      <c r="L88" s="26" t="s">
        <v>283</v>
      </c>
      <c r="M88" s="26" t="s">
        <v>236</v>
      </c>
      <c r="N88" s="27" t="s">
        <v>547</v>
      </c>
      <c r="O88" s="25" t="s">
        <v>323</v>
      </c>
      <c r="P88" s="24" t="s">
        <v>6</v>
      </c>
      <c r="Q88" s="24"/>
      <c r="R88" s="24"/>
      <c r="S88" s="24">
        <v>218</v>
      </c>
      <c r="T88" s="24">
        <f>ROUND(IF(D88=Table!$C$3,V88*Table!$C$4/8,V88*Table!$D$4/8),3)</f>
        <v>225</v>
      </c>
      <c r="U88" s="24">
        <f t="shared" si="14"/>
        <v>225</v>
      </c>
      <c r="V88" s="24">
        <v>4</v>
      </c>
      <c r="W88" s="24">
        <v>4</v>
      </c>
      <c r="X88" s="24" t="s">
        <v>83</v>
      </c>
      <c r="Y88" s="28">
        <v>43906</v>
      </c>
      <c r="Z88" s="28">
        <v>43909</v>
      </c>
      <c r="AA88" s="28">
        <v>43908</v>
      </c>
      <c r="AB88" s="28">
        <v>43908</v>
      </c>
      <c r="AC88" s="28" t="s">
        <v>204</v>
      </c>
      <c r="AD88" s="121"/>
      <c r="AE88" s="121"/>
      <c r="AF88" s="55">
        <v>0.97</v>
      </c>
      <c r="AG88" s="55">
        <v>0.89</v>
      </c>
      <c r="AH88" s="55">
        <v>0</v>
      </c>
      <c r="AI88" s="24" t="s">
        <v>332</v>
      </c>
      <c r="AJ88" s="26"/>
      <c r="AK88" s="24" t="s">
        <v>309</v>
      </c>
    </row>
    <row r="89" spans="2:37" x14ac:dyDescent="0.25">
      <c r="B89" s="27">
        <v>45</v>
      </c>
      <c r="C89" s="25">
        <v>20200316</v>
      </c>
      <c r="D89" s="24" t="s">
        <v>2</v>
      </c>
      <c r="E89" s="24" t="s">
        <v>286</v>
      </c>
      <c r="F89" s="26" t="s">
        <v>310</v>
      </c>
      <c r="G89" s="24" t="s">
        <v>294</v>
      </c>
      <c r="H89" s="24" t="s">
        <v>237</v>
      </c>
      <c r="I89" s="24" t="s">
        <v>334</v>
      </c>
      <c r="J89" s="24" t="s">
        <v>70</v>
      </c>
      <c r="K89" s="24" t="s">
        <v>328</v>
      </c>
      <c r="L89" s="26" t="s">
        <v>264</v>
      </c>
      <c r="M89" s="26" t="s">
        <v>236</v>
      </c>
      <c r="N89" s="27" t="s">
        <v>548</v>
      </c>
      <c r="O89" s="25" t="s">
        <v>323</v>
      </c>
      <c r="P89" s="24" t="s">
        <v>6</v>
      </c>
      <c r="Q89" s="24"/>
      <c r="R89" s="24"/>
      <c r="S89" s="24">
        <v>69</v>
      </c>
      <c r="T89" s="24">
        <f>ROUND(IF(D89=Table!$C$3,V89*Table!$C$4/8,V89*Table!$D$4/8),3)</f>
        <v>65</v>
      </c>
      <c r="U89" s="24">
        <f t="shared" si="14"/>
        <v>65</v>
      </c>
      <c r="V89" s="24">
        <v>4</v>
      </c>
      <c r="W89" s="24">
        <v>3</v>
      </c>
      <c r="X89" s="24" t="s">
        <v>83</v>
      </c>
      <c r="Y89" s="28">
        <v>43906</v>
      </c>
      <c r="Z89" s="28">
        <v>43909</v>
      </c>
      <c r="AA89" s="28">
        <v>43907</v>
      </c>
      <c r="AB89" s="28">
        <v>43907</v>
      </c>
      <c r="AC89" s="28" t="s">
        <v>204</v>
      </c>
      <c r="AD89" s="121"/>
      <c r="AE89" s="121"/>
      <c r="AF89" s="55">
        <v>1</v>
      </c>
      <c r="AG89" s="55">
        <v>1</v>
      </c>
      <c r="AH89" s="55">
        <v>0.13600000000000001</v>
      </c>
      <c r="AI89" s="24"/>
      <c r="AJ89" s="24"/>
      <c r="AK89" s="24"/>
    </row>
    <row r="90" spans="2:37" x14ac:dyDescent="0.25">
      <c r="B90" s="27">
        <v>46</v>
      </c>
      <c r="C90" s="25">
        <v>20200316</v>
      </c>
      <c r="D90" s="24" t="s">
        <v>2</v>
      </c>
      <c r="E90" s="24" t="s">
        <v>286</v>
      </c>
      <c r="F90" s="26" t="s">
        <v>311</v>
      </c>
      <c r="G90" s="24" t="s">
        <v>295</v>
      </c>
      <c r="H90" s="24" t="s">
        <v>239</v>
      </c>
      <c r="I90" s="24" t="s">
        <v>333</v>
      </c>
      <c r="J90" s="24" t="s">
        <v>70</v>
      </c>
      <c r="K90" s="24" t="s">
        <v>328</v>
      </c>
      <c r="L90" s="26" t="s">
        <v>267</v>
      </c>
      <c r="M90" s="26" t="s">
        <v>236</v>
      </c>
      <c r="N90" s="27" t="s">
        <v>549</v>
      </c>
      <c r="O90" s="25" t="s">
        <v>324</v>
      </c>
      <c r="P90" s="24" t="s">
        <v>73</v>
      </c>
      <c r="Q90" s="24"/>
      <c r="R90" s="24"/>
      <c r="S90" s="24">
        <v>76</v>
      </c>
      <c r="T90" s="24">
        <f>ROUND(IF(D90=Table!$C$3,V90*Table!$C$4/8,V90*Table!$D$4/8),3)</f>
        <v>65</v>
      </c>
      <c r="U90" s="24">
        <f t="shared" si="14"/>
        <v>65</v>
      </c>
      <c r="V90" s="24">
        <v>4</v>
      </c>
      <c r="W90" s="24">
        <v>4</v>
      </c>
      <c r="X90" s="24" t="s">
        <v>83</v>
      </c>
      <c r="Y90" s="28">
        <v>43906</v>
      </c>
      <c r="Z90" s="28">
        <v>43909</v>
      </c>
      <c r="AA90" s="28">
        <v>43907</v>
      </c>
      <c r="AB90" s="28">
        <v>43907</v>
      </c>
      <c r="AC90" s="28" t="s">
        <v>204</v>
      </c>
      <c r="AD90" s="121"/>
      <c r="AE90" s="121"/>
      <c r="AF90" s="55">
        <v>0.879</v>
      </c>
      <c r="AG90" s="55">
        <v>0.879</v>
      </c>
      <c r="AH90" s="55" t="s">
        <v>219</v>
      </c>
      <c r="AI90" s="24" t="s">
        <v>329</v>
      </c>
      <c r="AJ90" s="49"/>
      <c r="AK90" s="24"/>
    </row>
    <row r="91" spans="2:37" x14ac:dyDescent="0.25">
      <c r="B91" s="27">
        <v>47</v>
      </c>
      <c r="C91" s="25">
        <v>20200316</v>
      </c>
      <c r="D91" s="24" t="s">
        <v>2</v>
      </c>
      <c r="E91" s="24" t="s">
        <v>286</v>
      </c>
      <c r="F91" s="26" t="s">
        <v>311</v>
      </c>
      <c r="G91" s="24" t="s">
        <v>298</v>
      </c>
      <c r="H91" s="24" t="s">
        <v>242</v>
      </c>
      <c r="I91" s="24" t="s">
        <v>333</v>
      </c>
      <c r="J91" s="24" t="s">
        <v>70</v>
      </c>
      <c r="K91" s="24" t="s">
        <v>328</v>
      </c>
      <c r="L91" s="26" t="s">
        <v>270</v>
      </c>
      <c r="M91" s="26" t="s">
        <v>236</v>
      </c>
      <c r="N91" s="27" t="s">
        <v>550</v>
      </c>
      <c r="O91" s="25" t="s">
        <v>324</v>
      </c>
      <c r="P91" s="24" t="s">
        <v>73</v>
      </c>
      <c r="Q91" s="24"/>
      <c r="R91" s="24"/>
      <c r="S91" s="24">
        <v>68</v>
      </c>
      <c r="T91" s="24">
        <f>ROUND(IF(D91=Table!$C$3,V91*Table!$C$4/8,V91*Table!$D$4/8),3)</f>
        <v>65</v>
      </c>
      <c r="U91" s="24">
        <f t="shared" si="14"/>
        <v>65</v>
      </c>
      <c r="V91" s="24">
        <v>4</v>
      </c>
      <c r="W91" s="24">
        <v>4</v>
      </c>
      <c r="X91" s="24" t="s">
        <v>83</v>
      </c>
      <c r="Y91" s="28">
        <v>43906</v>
      </c>
      <c r="Z91" s="28">
        <v>43909</v>
      </c>
      <c r="AA91" s="28">
        <v>43908</v>
      </c>
      <c r="AB91" s="28">
        <v>43908</v>
      </c>
      <c r="AC91" s="28" t="s">
        <v>205</v>
      </c>
      <c r="AD91" s="121"/>
      <c r="AE91" s="121"/>
      <c r="AF91" s="55">
        <v>0.95</v>
      </c>
      <c r="AG91" s="55">
        <v>0.95</v>
      </c>
      <c r="AH91" s="55">
        <v>0.01</v>
      </c>
      <c r="AI91" s="24" t="s">
        <v>456</v>
      </c>
      <c r="AJ91" s="38"/>
      <c r="AK91" s="24"/>
    </row>
    <row r="92" spans="2:37" x14ac:dyDescent="0.25">
      <c r="B92" s="27">
        <v>48</v>
      </c>
      <c r="C92" s="25">
        <v>20200316</v>
      </c>
      <c r="D92" s="24" t="s">
        <v>2</v>
      </c>
      <c r="E92" s="24" t="s">
        <v>286</v>
      </c>
      <c r="F92" s="26" t="s">
        <v>311</v>
      </c>
      <c r="G92" s="24" t="s">
        <v>157</v>
      </c>
      <c r="H92" s="24" t="s">
        <v>248</v>
      </c>
      <c r="I92" s="24" t="s">
        <v>333</v>
      </c>
      <c r="J92" s="24" t="s">
        <v>70</v>
      </c>
      <c r="K92" s="24" t="s">
        <v>328</v>
      </c>
      <c r="L92" s="26" t="s">
        <v>268</v>
      </c>
      <c r="M92" s="26" t="s">
        <v>236</v>
      </c>
      <c r="N92" s="27" t="s">
        <v>551</v>
      </c>
      <c r="O92" s="25" t="s">
        <v>324</v>
      </c>
      <c r="P92" s="24" t="s">
        <v>73</v>
      </c>
      <c r="Q92" s="24"/>
      <c r="R92" s="24"/>
      <c r="S92" s="24">
        <v>76</v>
      </c>
      <c r="T92" s="24">
        <f>ROUND(IF(D92=Table!$C$3,V92*Table!$C$4/8,V92*Table!$D$4/8),3)</f>
        <v>65</v>
      </c>
      <c r="U92" s="24">
        <f t="shared" si="14"/>
        <v>65</v>
      </c>
      <c r="V92" s="24">
        <v>4</v>
      </c>
      <c r="W92" s="24">
        <v>4</v>
      </c>
      <c r="X92" s="24" t="s">
        <v>83</v>
      </c>
      <c r="Y92" s="28">
        <v>43906</v>
      </c>
      <c r="Z92" s="28">
        <v>43909</v>
      </c>
      <c r="AA92" s="28">
        <v>43908</v>
      </c>
      <c r="AB92" s="28">
        <v>43908</v>
      </c>
      <c r="AC92" s="28" t="s">
        <v>205</v>
      </c>
      <c r="AD92" s="121"/>
      <c r="AE92" s="121"/>
      <c r="AF92" s="55">
        <v>0.85699999999999998</v>
      </c>
      <c r="AG92" s="55">
        <v>0.86199999999999999</v>
      </c>
      <c r="AH92" s="55">
        <v>0.5</v>
      </c>
      <c r="AI92" s="24" t="s">
        <v>457</v>
      </c>
      <c r="AJ92" s="38"/>
      <c r="AK92" s="24"/>
    </row>
    <row r="93" spans="2:37" x14ac:dyDescent="0.25">
      <c r="B93" s="27">
        <v>49</v>
      </c>
      <c r="C93" s="25">
        <v>20200316</v>
      </c>
      <c r="D93" s="24" t="s">
        <v>2</v>
      </c>
      <c r="E93" s="24" t="s">
        <v>286</v>
      </c>
      <c r="F93" s="26" t="s">
        <v>284</v>
      </c>
      <c r="G93" s="24" t="s">
        <v>303</v>
      </c>
      <c r="H93" s="24" t="s">
        <v>257</v>
      </c>
      <c r="I93" s="24" t="s">
        <v>333</v>
      </c>
      <c r="J93" s="24" t="s">
        <v>70</v>
      </c>
      <c r="K93" s="24" t="s">
        <v>328</v>
      </c>
      <c r="L93" s="26" t="s">
        <v>279</v>
      </c>
      <c r="M93" s="26" t="s">
        <v>236</v>
      </c>
      <c r="N93" s="27" t="s">
        <v>552</v>
      </c>
      <c r="O93" s="25" t="s">
        <v>324</v>
      </c>
      <c r="P93" s="24" t="s">
        <v>73</v>
      </c>
      <c r="Q93" s="24"/>
      <c r="R93" s="24"/>
      <c r="S93" s="24">
        <v>68</v>
      </c>
      <c r="T93" s="24">
        <f>ROUND(IF(D93=Table!$C$3,V93*Table!$C$4/8,V93*Table!$D$4/8),3)</f>
        <v>65</v>
      </c>
      <c r="U93" s="24">
        <f t="shared" si="14"/>
        <v>65</v>
      </c>
      <c r="V93" s="24">
        <v>4</v>
      </c>
      <c r="W93" s="24">
        <v>4</v>
      </c>
      <c r="X93" s="24" t="s">
        <v>83</v>
      </c>
      <c r="Y93" s="28">
        <v>43906</v>
      </c>
      <c r="Z93" s="28">
        <v>43909</v>
      </c>
      <c r="AA93" s="28">
        <v>43909</v>
      </c>
      <c r="AB93" s="28">
        <v>43909</v>
      </c>
      <c r="AC93" s="28" t="s">
        <v>204</v>
      </c>
      <c r="AD93" s="121"/>
      <c r="AE93" s="121"/>
      <c r="AF93" s="55">
        <v>0.01</v>
      </c>
      <c r="AG93" s="55">
        <v>0.01</v>
      </c>
      <c r="AH93" s="55">
        <v>0.51700000000000002</v>
      </c>
      <c r="AI93" s="24"/>
      <c r="AJ93" s="24"/>
      <c r="AK93" s="24"/>
    </row>
    <row r="94" spans="2:37" x14ac:dyDescent="0.25">
      <c r="B94" s="27">
        <v>50</v>
      </c>
      <c r="C94" s="25">
        <v>20200316</v>
      </c>
      <c r="D94" s="24" t="s">
        <v>2</v>
      </c>
      <c r="E94" s="24" t="s">
        <v>286</v>
      </c>
      <c r="F94" s="26" t="s">
        <v>311</v>
      </c>
      <c r="G94" s="24" t="s">
        <v>297</v>
      </c>
      <c r="H94" s="24" t="s">
        <v>241</v>
      </c>
      <c r="I94" s="24" t="s">
        <v>334</v>
      </c>
      <c r="J94" s="24" t="s">
        <v>70</v>
      </c>
      <c r="K94" s="24" t="s">
        <v>328</v>
      </c>
      <c r="L94" s="26" t="s">
        <v>265</v>
      </c>
      <c r="M94" s="26" t="s">
        <v>236</v>
      </c>
      <c r="N94" s="27" t="s">
        <v>553</v>
      </c>
      <c r="O94" s="25" t="s">
        <v>324</v>
      </c>
      <c r="P94" s="24" t="s">
        <v>6</v>
      </c>
      <c r="Q94" s="24"/>
      <c r="R94" s="24"/>
      <c r="S94" s="24">
        <v>50</v>
      </c>
      <c r="T94" s="24">
        <f>ROUND(IF(D94=Table!$C$3,V94*Table!$C$4/8,V94*Table!$D$4/8),3)</f>
        <v>52</v>
      </c>
      <c r="U94" s="24">
        <f t="shared" si="14"/>
        <v>52</v>
      </c>
      <c r="V94" s="24">
        <v>3.2</v>
      </c>
      <c r="W94" s="24">
        <v>4</v>
      </c>
      <c r="X94" s="24" t="s">
        <v>83</v>
      </c>
      <c r="Y94" s="28">
        <v>43906</v>
      </c>
      <c r="Z94" s="28">
        <v>43909</v>
      </c>
      <c r="AA94" s="28">
        <v>43908</v>
      </c>
      <c r="AB94" s="28">
        <v>43908</v>
      </c>
      <c r="AC94" s="28" t="s">
        <v>204</v>
      </c>
      <c r="AD94" s="121"/>
      <c r="AE94" s="121"/>
      <c r="AF94" s="55">
        <v>0.88900000000000001</v>
      </c>
      <c r="AG94" s="55">
        <v>0.89300000000000002</v>
      </c>
      <c r="AH94" s="55" t="s">
        <v>219</v>
      </c>
      <c r="AI94" s="24" t="s">
        <v>340</v>
      </c>
      <c r="AJ94" s="24"/>
      <c r="AK94" s="24"/>
    </row>
    <row r="95" spans="2:37" x14ac:dyDescent="0.25">
      <c r="B95" s="27">
        <v>51</v>
      </c>
      <c r="C95" s="25">
        <v>20200316</v>
      </c>
      <c r="D95" s="24" t="s">
        <v>2</v>
      </c>
      <c r="E95" s="24" t="s">
        <v>286</v>
      </c>
      <c r="F95" s="26" t="s">
        <v>311</v>
      </c>
      <c r="G95" s="24" t="s">
        <v>296</v>
      </c>
      <c r="H95" s="24" t="s">
        <v>240</v>
      </c>
      <c r="I95" s="24" t="s">
        <v>333</v>
      </c>
      <c r="J95" s="24" t="s">
        <v>70</v>
      </c>
      <c r="K95" s="24" t="s">
        <v>328</v>
      </c>
      <c r="L95" s="26" t="s">
        <v>269</v>
      </c>
      <c r="M95" s="26" t="s">
        <v>236</v>
      </c>
      <c r="N95" s="27" t="s">
        <v>554</v>
      </c>
      <c r="O95" s="25" t="s">
        <v>324</v>
      </c>
      <c r="P95" s="24" t="s">
        <v>73</v>
      </c>
      <c r="Q95" s="24"/>
      <c r="R95" s="24"/>
      <c r="S95" s="24">
        <v>94</v>
      </c>
      <c r="T95" s="24">
        <f>ROUND(IF(D95=Table!$C$3,V95*Table!$C$4/8,V95*Table!$D$4/8),3)</f>
        <v>84.5</v>
      </c>
      <c r="U95" s="24">
        <f t="shared" si="14"/>
        <v>84.5</v>
      </c>
      <c r="V95" s="24">
        <v>5.2</v>
      </c>
      <c r="W95" s="24">
        <v>5.2</v>
      </c>
      <c r="X95" s="24" t="s">
        <v>83</v>
      </c>
      <c r="Y95" s="28">
        <v>43906</v>
      </c>
      <c r="Z95" s="28">
        <v>43909</v>
      </c>
      <c r="AA95" s="28">
        <v>43909</v>
      </c>
      <c r="AB95" s="28">
        <v>43909</v>
      </c>
      <c r="AC95" s="28" t="s">
        <v>205</v>
      </c>
      <c r="AD95" s="121"/>
      <c r="AE95" s="121"/>
      <c r="AF95" s="55">
        <v>0.90400000000000003</v>
      </c>
      <c r="AG95" s="55">
        <v>0.90500000000000003</v>
      </c>
      <c r="AH95" s="55">
        <v>0.7</v>
      </c>
      <c r="AI95" s="24" t="s">
        <v>458</v>
      </c>
      <c r="AJ95" s="38"/>
      <c r="AK95" s="24"/>
    </row>
    <row r="96" spans="2:37" x14ac:dyDescent="0.25">
      <c r="B96" s="27">
        <v>52</v>
      </c>
      <c r="C96" s="25">
        <v>20200316</v>
      </c>
      <c r="D96" s="24" t="s">
        <v>2</v>
      </c>
      <c r="E96" s="24" t="s">
        <v>286</v>
      </c>
      <c r="F96" s="26" t="s">
        <v>311</v>
      </c>
      <c r="G96" s="24" t="s">
        <v>147</v>
      </c>
      <c r="H96" s="24" t="s">
        <v>243</v>
      </c>
      <c r="I96" s="24" t="s">
        <v>333</v>
      </c>
      <c r="J96" s="24" t="s">
        <v>70</v>
      </c>
      <c r="K96" s="24" t="s">
        <v>328</v>
      </c>
      <c r="L96" s="26" t="s">
        <v>271</v>
      </c>
      <c r="M96" s="26" t="s">
        <v>236</v>
      </c>
      <c r="N96" s="27" t="s">
        <v>555</v>
      </c>
      <c r="O96" s="25" t="s">
        <v>324</v>
      </c>
      <c r="P96" s="24" t="s">
        <v>73</v>
      </c>
      <c r="Q96" s="24"/>
      <c r="R96" s="24"/>
      <c r="S96" s="24">
        <v>81</v>
      </c>
      <c r="T96" s="24">
        <f>ROUND(IF(D96=Table!$C$3,V96*Table!$C$4/8,V96*Table!$D$4/8),3)</f>
        <v>84.5</v>
      </c>
      <c r="U96" s="24">
        <f t="shared" si="14"/>
        <v>84.5</v>
      </c>
      <c r="V96" s="24">
        <v>5.2</v>
      </c>
      <c r="W96" s="24">
        <v>5.2</v>
      </c>
      <c r="X96" s="24" t="s">
        <v>83</v>
      </c>
      <c r="Y96" s="28">
        <v>43906</v>
      </c>
      <c r="Z96" s="28">
        <v>43909</v>
      </c>
      <c r="AA96" s="28">
        <v>43909</v>
      </c>
      <c r="AB96" s="28">
        <v>43909</v>
      </c>
      <c r="AC96" s="28" t="s">
        <v>205</v>
      </c>
      <c r="AD96" s="121"/>
      <c r="AE96" s="121"/>
      <c r="AF96" s="55">
        <v>0.878</v>
      </c>
      <c r="AG96" s="55">
        <v>0.88500000000000001</v>
      </c>
      <c r="AH96" s="55">
        <v>0.5</v>
      </c>
      <c r="AI96" s="24" t="s">
        <v>459</v>
      </c>
      <c r="AJ96" s="38"/>
      <c r="AK96" s="24"/>
    </row>
    <row r="97" spans="1:37" x14ac:dyDescent="0.25">
      <c r="B97" s="27">
        <v>53</v>
      </c>
      <c r="C97" s="25">
        <v>20200316</v>
      </c>
      <c r="D97" s="24" t="s">
        <v>2</v>
      </c>
      <c r="E97" s="24" t="s">
        <v>286</v>
      </c>
      <c r="F97" s="26" t="s">
        <v>311</v>
      </c>
      <c r="G97" s="24" t="s">
        <v>148</v>
      </c>
      <c r="H97" s="24" t="s">
        <v>244</v>
      </c>
      <c r="I97" s="24" t="s">
        <v>333</v>
      </c>
      <c r="J97" s="24" t="s">
        <v>70</v>
      </c>
      <c r="K97" s="24" t="s">
        <v>328</v>
      </c>
      <c r="L97" s="26" t="s">
        <v>272</v>
      </c>
      <c r="M97" s="26" t="s">
        <v>236</v>
      </c>
      <c r="N97" s="27" t="s">
        <v>556</v>
      </c>
      <c r="O97" s="25" t="s">
        <v>324</v>
      </c>
      <c r="P97" s="24" t="s">
        <v>75</v>
      </c>
      <c r="Q97" s="24"/>
      <c r="R97" s="24"/>
      <c r="S97" s="24">
        <v>100</v>
      </c>
      <c r="T97" s="24">
        <f>ROUND(IF(D97=Table!$C$3,V97*Table!$C$4/8,V97*Table!$D$4/8),3)</f>
        <v>84.5</v>
      </c>
      <c r="U97" s="24">
        <f t="shared" si="14"/>
        <v>84.5</v>
      </c>
      <c r="V97" s="24">
        <v>5.2</v>
      </c>
      <c r="W97" s="24">
        <v>6</v>
      </c>
      <c r="X97" s="24" t="s">
        <v>83</v>
      </c>
      <c r="Y97" s="28">
        <v>43906</v>
      </c>
      <c r="Z97" s="28">
        <v>43909</v>
      </c>
      <c r="AA97" s="28">
        <v>43908</v>
      </c>
      <c r="AB97" s="28">
        <v>43908</v>
      </c>
      <c r="AC97" s="28" t="s">
        <v>205</v>
      </c>
      <c r="AD97" s="121"/>
      <c r="AE97" s="121"/>
      <c r="AF97" s="55">
        <v>0.85699999999999998</v>
      </c>
      <c r="AG97" s="55">
        <v>0.85699999999999998</v>
      </c>
      <c r="AH97" s="55">
        <v>0.53300000000000003</v>
      </c>
      <c r="AI97" s="24" t="s">
        <v>471</v>
      </c>
      <c r="AJ97" s="24"/>
      <c r="AK97" s="24"/>
    </row>
    <row r="98" spans="1:37" x14ac:dyDescent="0.25">
      <c r="A98" s="50"/>
      <c r="B98" s="27">
        <v>54</v>
      </c>
      <c r="C98" s="51">
        <v>20200316</v>
      </c>
      <c r="D98" s="51" t="s">
        <v>2</v>
      </c>
      <c r="E98" s="51" t="s">
        <v>286</v>
      </c>
      <c r="F98" s="52" t="s">
        <v>311</v>
      </c>
      <c r="G98" s="51" t="s">
        <v>155</v>
      </c>
      <c r="H98" s="51" t="s">
        <v>246</v>
      </c>
      <c r="I98" s="51" t="s">
        <v>333</v>
      </c>
      <c r="J98" s="51" t="s">
        <v>70</v>
      </c>
      <c r="K98" s="51" t="s">
        <v>328</v>
      </c>
      <c r="L98" s="52" t="s">
        <v>273</v>
      </c>
      <c r="M98" s="26" t="s">
        <v>236</v>
      </c>
      <c r="N98" s="27" t="s">
        <v>557</v>
      </c>
      <c r="O98" s="51" t="s">
        <v>325</v>
      </c>
      <c r="P98" s="51" t="s">
        <v>75</v>
      </c>
      <c r="Q98" s="51"/>
      <c r="R98" s="51"/>
      <c r="S98" s="51">
        <v>48</v>
      </c>
      <c r="T98" s="24">
        <f>ROUND(IF(D98=Table!$C$3,V98*Table!$C$4/8,V98*Table!$D$4/8),3)</f>
        <v>52</v>
      </c>
      <c r="U98" s="24">
        <f t="shared" si="14"/>
        <v>52</v>
      </c>
      <c r="V98" s="51">
        <v>3.2</v>
      </c>
      <c r="W98" s="51">
        <v>6</v>
      </c>
      <c r="X98" s="24" t="s">
        <v>83</v>
      </c>
      <c r="Y98" s="28">
        <v>43906</v>
      </c>
      <c r="Z98" s="53">
        <v>43909</v>
      </c>
      <c r="AA98" s="53">
        <v>43908</v>
      </c>
      <c r="AB98" s="53">
        <v>43908</v>
      </c>
      <c r="AC98" s="53" t="s">
        <v>204</v>
      </c>
      <c r="AD98" s="121"/>
      <c r="AE98" s="121"/>
      <c r="AF98" s="56">
        <v>0.96400000000000008</v>
      </c>
      <c r="AG98" s="56">
        <v>0.96400000000000008</v>
      </c>
      <c r="AH98" s="56" t="s">
        <v>219</v>
      </c>
      <c r="AI98" s="24" t="s">
        <v>339</v>
      </c>
      <c r="AJ98" s="51"/>
      <c r="AK98" s="51"/>
    </row>
    <row r="99" spans="1:37" x14ac:dyDescent="0.25">
      <c r="B99" s="27">
        <v>55</v>
      </c>
      <c r="C99" s="25">
        <v>20200316</v>
      </c>
      <c r="D99" s="24" t="s">
        <v>2</v>
      </c>
      <c r="E99" s="24" t="s">
        <v>286</v>
      </c>
      <c r="F99" s="26" t="s">
        <v>311</v>
      </c>
      <c r="G99" s="24" t="s">
        <v>156</v>
      </c>
      <c r="H99" s="24" t="s">
        <v>247</v>
      </c>
      <c r="I99" s="24" t="s">
        <v>334</v>
      </c>
      <c r="J99" s="24" t="s">
        <v>70</v>
      </c>
      <c r="K99" s="24" t="s">
        <v>328</v>
      </c>
      <c r="L99" s="26" t="s">
        <v>274</v>
      </c>
      <c r="M99" s="26" t="s">
        <v>236</v>
      </c>
      <c r="N99" s="27" t="s">
        <v>558</v>
      </c>
      <c r="O99" s="25" t="s">
        <v>325</v>
      </c>
      <c r="P99" s="24" t="s">
        <v>6</v>
      </c>
      <c r="Q99" s="24"/>
      <c r="R99" s="24"/>
      <c r="S99" s="24">
        <v>21</v>
      </c>
      <c r="T99" s="24">
        <f>ROUND(IF(D99=Table!$C$3,V99*Table!$C$4/8,V99*Table!$D$4/8),3)</f>
        <v>26</v>
      </c>
      <c r="U99" s="24">
        <f t="shared" si="14"/>
        <v>26</v>
      </c>
      <c r="V99" s="24">
        <v>1.6</v>
      </c>
      <c r="W99" s="24">
        <v>8</v>
      </c>
      <c r="X99" s="24" t="s">
        <v>83</v>
      </c>
      <c r="Y99" s="28">
        <v>43906</v>
      </c>
      <c r="Z99" s="28">
        <v>43909</v>
      </c>
      <c r="AA99" s="28">
        <v>43909</v>
      </c>
      <c r="AB99" s="28">
        <v>43909</v>
      </c>
      <c r="AC99" s="53" t="s">
        <v>204</v>
      </c>
      <c r="AD99" s="121"/>
      <c r="AE99" s="121"/>
      <c r="AF99" s="55">
        <v>0.75</v>
      </c>
      <c r="AG99" s="55">
        <v>0.75</v>
      </c>
      <c r="AH99" s="55" t="s">
        <v>219</v>
      </c>
      <c r="AI99" s="24" t="s">
        <v>460</v>
      </c>
      <c r="AJ99" s="24"/>
      <c r="AK99" s="24"/>
    </row>
    <row r="100" spans="1:37" x14ac:dyDescent="0.25">
      <c r="A100" s="50"/>
      <c r="B100" s="27">
        <v>56</v>
      </c>
      <c r="C100" s="51">
        <v>20200316</v>
      </c>
      <c r="D100" s="51" t="s">
        <v>2</v>
      </c>
      <c r="E100" s="51" t="s">
        <v>286</v>
      </c>
      <c r="F100" s="52" t="s">
        <v>311</v>
      </c>
      <c r="G100" s="51" t="s">
        <v>152</v>
      </c>
      <c r="H100" s="51" t="s">
        <v>245</v>
      </c>
      <c r="I100" s="51" t="s">
        <v>333</v>
      </c>
      <c r="J100" s="51" t="s">
        <v>70</v>
      </c>
      <c r="K100" s="51" t="s">
        <v>328</v>
      </c>
      <c r="L100" s="52" t="s">
        <v>273</v>
      </c>
      <c r="M100" s="26" t="s">
        <v>236</v>
      </c>
      <c r="N100" s="27" t="s">
        <v>559</v>
      </c>
      <c r="O100" s="51" t="s">
        <v>325</v>
      </c>
      <c r="P100" s="51" t="s">
        <v>75</v>
      </c>
      <c r="Q100" s="51"/>
      <c r="R100" s="51"/>
      <c r="S100" s="51">
        <v>84</v>
      </c>
      <c r="T100" s="24">
        <f>ROUND(IF(D100=Table!$C$3,V100*Table!$C$4/8,V100*Table!$D$4/8),3)</f>
        <v>84.5</v>
      </c>
      <c r="U100" s="24">
        <f t="shared" si="14"/>
        <v>84.5</v>
      </c>
      <c r="V100" s="51">
        <v>5.2</v>
      </c>
      <c r="W100" s="51">
        <v>6</v>
      </c>
      <c r="X100" s="24" t="s">
        <v>83</v>
      </c>
      <c r="Y100" s="28">
        <v>43906</v>
      </c>
      <c r="Z100" s="53">
        <v>43909</v>
      </c>
      <c r="AA100" s="53">
        <v>43908</v>
      </c>
      <c r="AB100" s="53">
        <v>43908</v>
      </c>
      <c r="AC100" s="53" t="s">
        <v>204</v>
      </c>
      <c r="AD100" s="121"/>
      <c r="AE100" s="121"/>
      <c r="AF100" s="56">
        <v>0.92200000000000004</v>
      </c>
      <c r="AG100" s="56">
        <v>0.92299999999999993</v>
      </c>
      <c r="AH100" s="56" t="s">
        <v>219</v>
      </c>
      <c r="AI100" s="24" t="s">
        <v>338</v>
      </c>
      <c r="AJ100" s="51"/>
      <c r="AK100" s="51"/>
    </row>
    <row r="101" spans="1:37" x14ac:dyDescent="0.25">
      <c r="B101" s="27">
        <v>57</v>
      </c>
      <c r="C101" s="25">
        <v>20200316</v>
      </c>
      <c r="D101" s="24" t="s">
        <v>2</v>
      </c>
      <c r="E101" s="24" t="s">
        <v>286</v>
      </c>
      <c r="F101" s="26" t="s">
        <v>311</v>
      </c>
      <c r="G101" s="24" t="s">
        <v>299</v>
      </c>
      <c r="H101" s="24" t="s">
        <v>249</v>
      </c>
      <c r="I101" s="24" t="s">
        <v>334</v>
      </c>
      <c r="J101" s="24" t="s">
        <v>70</v>
      </c>
      <c r="K101" s="24" t="s">
        <v>328</v>
      </c>
      <c r="L101" s="26" t="s">
        <v>273</v>
      </c>
      <c r="M101" s="26" t="s">
        <v>236</v>
      </c>
      <c r="N101" s="27" t="s">
        <v>560</v>
      </c>
      <c r="O101" s="25" t="s">
        <v>325</v>
      </c>
      <c r="P101" s="24" t="s">
        <v>75</v>
      </c>
      <c r="Q101" s="24"/>
      <c r="R101" s="24"/>
      <c r="S101" s="24">
        <v>30</v>
      </c>
      <c r="T101" s="24">
        <f>ROUND(IF(D101=Table!$C$3,V101*Table!$C$4/8,V101*Table!$D$4/8),3)</f>
        <v>39</v>
      </c>
      <c r="U101" s="24">
        <f t="shared" si="14"/>
        <v>39</v>
      </c>
      <c r="V101" s="24">
        <v>2.4</v>
      </c>
      <c r="W101" s="24">
        <v>4</v>
      </c>
      <c r="X101" s="24" t="s">
        <v>83</v>
      </c>
      <c r="Y101" s="28">
        <v>43906</v>
      </c>
      <c r="Z101" s="28">
        <v>43909</v>
      </c>
      <c r="AA101" s="28">
        <v>43909</v>
      </c>
      <c r="AB101" s="28">
        <v>43909</v>
      </c>
      <c r="AC101" s="28" t="s">
        <v>204</v>
      </c>
      <c r="AD101" s="121"/>
      <c r="AE101" s="121"/>
      <c r="AF101" s="55">
        <v>1</v>
      </c>
      <c r="AG101" s="55">
        <v>1</v>
      </c>
      <c r="AH101" s="55">
        <v>1</v>
      </c>
      <c r="AI101" s="24"/>
      <c r="AJ101" s="24"/>
      <c r="AK101" s="24"/>
    </row>
    <row r="102" spans="1:37" x14ac:dyDescent="0.25">
      <c r="A102" s="50"/>
      <c r="B102" s="27">
        <v>58</v>
      </c>
      <c r="C102" s="51">
        <v>20200316</v>
      </c>
      <c r="D102" s="51" t="s">
        <v>2</v>
      </c>
      <c r="E102" s="51" t="s">
        <v>286</v>
      </c>
      <c r="F102" s="52" t="s">
        <v>284</v>
      </c>
      <c r="G102" s="51" t="s">
        <v>307</v>
      </c>
      <c r="H102" s="51" t="s">
        <v>261</v>
      </c>
      <c r="I102" s="51" t="s">
        <v>334</v>
      </c>
      <c r="J102" s="51" t="s">
        <v>70</v>
      </c>
      <c r="K102" s="51" t="s">
        <v>328</v>
      </c>
      <c r="L102" s="52" t="s">
        <v>281</v>
      </c>
      <c r="M102" s="26" t="s">
        <v>236</v>
      </c>
      <c r="N102" s="27" t="s">
        <v>561</v>
      </c>
      <c r="O102" s="51" t="s">
        <v>325</v>
      </c>
      <c r="P102" s="51" t="s">
        <v>75</v>
      </c>
      <c r="Q102" s="51"/>
      <c r="R102" s="51"/>
      <c r="S102" s="51">
        <v>101</v>
      </c>
      <c r="T102" s="24">
        <f>ROUND(IF(D102=Table!$C$3,V102*Table!$C$4/8,V102*Table!$D$4/8),3)</f>
        <v>84.5</v>
      </c>
      <c r="U102" s="24">
        <f t="shared" si="14"/>
        <v>84.5</v>
      </c>
      <c r="V102" s="51">
        <v>5.2</v>
      </c>
      <c r="W102" s="51">
        <v>6</v>
      </c>
      <c r="X102" s="24" t="s">
        <v>83</v>
      </c>
      <c r="Y102" s="28">
        <v>43906</v>
      </c>
      <c r="Z102" s="53">
        <v>43909</v>
      </c>
      <c r="AA102" s="53">
        <v>43908</v>
      </c>
      <c r="AB102" s="53">
        <v>43908</v>
      </c>
      <c r="AC102" s="53" t="s">
        <v>204</v>
      </c>
      <c r="AD102" s="121"/>
      <c r="AE102" s="121"/>
      <c r="AF102" s="56">
        <v>0.98099999999999998</v>
      </c>
      <c r="AG102" s="56">
        <v>0.98199999999999998</v>
      </c>
      <c r="AH102" s="56" t="s">
        <v>219</v>
      </c>
      <c r="AI102" s="24" t="s">
        <v>337</v>
      </c>
      <c r="AJ102" s="54"/>
      <c r="AK102" s="51"/>
    </row>
    <row r="103" spans="1:37" x14ac:dyDescent="0.25">
      <c r="B103" s="27">
        <v>59</v>
      </c>
      <c r="C103" s="25">
        <v>20200316</v>
      </c>
      <c r="D103" s="24" t="s">
        <v>2</v>
      </c>
      <c r="E103" s="24" t="s">
        <v>286</v>
      </c>
      <c r="F103" s="26" t="s">
        <v>311</v>
      </c>
      <c r="G103" s="24" t="s">
        <v>159</v>
      </c>
      <c r="H103" s="24" t="s">
        <v>251</v>
      </c>
      <c r="I103" s="24" t="s">
        <v>334</v>
      </c>
      <c r="J103" s="24" t="s">
        <v>70</v>
      </c>
      <c r="K103" s="24" t="s">
        <v>328</v>
      </c>
      <c r="L103" s="26" t="s">
        <v>275</v>
      </c>
      <c r="M103" s="26" t="s">
        <v>236</v>
      </c>
      <c r="N103" s="27" t="s">
        <v>562</v>
      </c>
      <c r="O103" s="25" t="s">
        <v>325</v>
      </c>
      <c r="P103" s="24" t="s">
        <v>75</v>
      </c>
      <c r="Q103" s="24"/>
      <c r="R103" s="24"/>
      <c r="S103" s="24">
        <v>36</v>
      </c>
      <c r="T103" s="24">
        <f>ROUND(IF(D103=Table!$C$3,V103*Table!$C$4/8,V103*Table!$D$4/8),3)</f>
        <v>39</v>
      </c>
      <c r="U103" s="24">
        <f t="shared" si="14"/>
        <v>39</v>
      </c>
      <c r="V103" s="24">
        <v>2.4</v>
      </c>
      <c r="W103" s="24">
        <v>3</v>
      </c>
      <c r="X103" s="24" t="s">
        <v>83</v>
      </c>
      <c r="Y103" s="28">
        <v>43906</v>
      </c>
      <c r="Z103" s="28">
        <v>43909</v>
      </c>
      <c r="AA103" s="28">
        <v>43909</v>
      </c>
      <c r="AB103" s="28">
        <v>43909</v>
      </c>
      <c r="AC103" s="28" t="s">
        <v>204</v>
      </c>
      <c r="AD103" s="121"/>
      <c r="AE103" s="121"/>
      <c r="AF103" s="55">
        <v>1</v>
      </c>
      <c r="AG103" s="55">
        <v>1</v>
      </c>
      <c r="AH103" s="55">
        <v>0.5</v>
      </c>
      <c r="AI103" s="24"/>
      <c r="AJ103" s="24"/>
      <c r="AK103" s="24"/>
    </row>
    <row r="104" spans="1:37" x14ac:dyDescent="0.25">
      <c r="B104" s="27">
        <v>60</v>
      </c>
      <c r="C104" s="25">
        <v>20200316</v>
      </c>
      <c r="D104" s="24" t="s">
        <v>2</v>
      </c>
      <c r="E104" s="24" t="s">
        <v>286</v>
      </c>
      <c r="F104" s="26" t="s">
        <v>311</v>
      </c>
      <c r="G104" s="24" t="s">
        <v>160</v>
      </c>
      <c r="H104" s="24" t="s">
        <v>252</v>
      </c>
      <c r="I104" s="24" t="s">
        <v>334</v>
      </c>
      <c r="J104" s="24" t="s">
        <v>70</v>
      </c>
      <c r="K104" s="24" t="s">
        <v>328</v>
      </c>
      <c r="L104" s="26" t="s">
        <v>276</v>
      </c>
      <c r="M104" s="26" t="s">
        <v>236</v>
      </c>
      <c r="N104" s="27" t="s">
        <v>563</v>
      </c>
      <c r="O104" s="25" t="s">
        <v>325</v>
      </c>
      <c r="P104" s="24" t="s">
        <v>75</v>
      </c>
      <c r="Q104" s="24"/>
      <c r="R104" s="24"/>
      <c r="S104" s="24">
        <v>48</v>
      </c>
      <c r="T104" s="24">
        <f>ROUND(IF(D104=Table!$C$3,V104*Table!$C$4/8,V104*Table!$D$4/8),3)</f>
        <v>52</v>
      </c>
      <c r="U104" s="24">
        <f t="shared" si="14"/>
        <v>52</v>
      </c>
      <c r="V104" s="24">
        <v>3.2</v>
      </c>
      <c r="W104" s="24">
        <v>3</v>
      </c>
      <c r="X104" s="24" t="s">
        <v>83</v>
      </c>
      <c r="Y104" s="28">
        <v>43906</v>
      </c>
      <c r="Z104" s="28">
        <v>43909</v>
      </c>
      <c r="AA104" s="28">
        <v>43909</v>
      </c>
      <c r="AB104" s="28">
        <v>43910</v>
      </c>
      <c r="AC104" s="28" t="s">
        <v>204</v>
      </c>
      <c r="AD104" s="121"/>
      <c r="AE104" s="121"/>
      <c r="AF104" s="55">
        <v>0.91200000000000003</v>
      </c>
      <c r="AG104" s="55">
        <v>0.91200000000000003</v>
      </c>
      <c r="AH104" s="55" t="s">
        <v>219</v>
      </c>
      <c r="AI104" s="24" t="s">
        <v>472</v>
      </c>
      <c r="AJ104" s="24"/>
      <c r="AK104" s="24"/>
    </row>
    <row r="105" spans="1:37" x14ac:dyDescent="0.25">
      <c r="B105" s="27">
        <v>61</v>
      </c>
      <c r="C105" s="25">
        <v>20200316</v>
      </c>
      <c r="D105" s="24" t="s">
        <v>2</v>
      </c>
      <c r="E105" s="24" t="s">
        <v>286</v>
      </c>
      <c r="F105" s="26" t="s">
        <v>311</v>
      </c>
      <c r="G105" s="24" t="s">
        <v>300</v>
      </c>
      <c r="H105" s="24" t="s">
        <v>253</v>
      </c>
      <c r="I105" s="24" t="s">
        <v>334</v>
      </c>
      <c r="J105" s="24" t="s">
        <v>70</v>
      </c>
      <c r="K105" s="24" t="s">
        <v>328</v>
      </c>
      <c r="L105" s="26" t="s">
        <v>271</v>
      </c>
      <c r="M105" s="26" t="s">
        <v>236</v>
      </c>
      <c r="N105" s="27" t="s">
        <v>564</v>
      </c>
      <c r="O105" s="25" t="s">
        <v>326</v>
      </c>
      <c r="P105" s="24" t="s">
        <v>74</v>
      </c>
      <c r="Q105" s="24"/>
      <c r="R105" s="24"/>
      <c r="S105" s="24">
        <v>31</v>
      </c>
      <c r="T105" s="24">
        <f>ROUND(IF(D105=Table!$C$3,V105*Table!$C$4/8,V105*Table!$D$4/8),3)</f>
        <v>39</v>
      </c>
      <c r="U105" s="24">
        <f t="shared" si="14"/>
        <v>39</v>
      </c>
      <c r="V105" s="24">
        <v>2.4</v>
      </c>
      <c r="W105" s="24">
        <v>3</v>
      </c>
      <c r="X105" s="24" t="s">
        <v>83</v>
      </c>
      <c r="Y105" s="28">
        <v>43906</v>
      </c>
      <c r="Z105" s="28">
        <v>43909</v>
      </c>
      <c r="AA105" s="28">
        <v>43907</v>
      </c>
      <c r="AB105" s="28">
        <v>43907</v>
      </c>
      <c r="AC105" s="28" t="s">
        <v>204</v>
      </c>
      <c r="AD105" s="121"/>
      <c r="AE105" s="121"/>
      <c r="AF105" s="55">
        <v>1</v>
      </c>
      <c r="AG105" s="55">
        <v>1</v>
      </c>
      <c r="AH105" s="55" t="s">
        <v>219</v>
      </c>
      <c r="AI105" s="24"/>
      <c r="AJ105" s="24"/>
      <c r="AK105" s="24"/>
    </row>
    <row r="106" spans="1:37" x14ac:dyDescent="0.25">
      <c r="B106" s="27">
        <v>62</v>
      </c>
      <c r="C106" s="25">
        <v>20200316</v>
      </c>
      <c r="D106" s="24" t="s">
        <v>2</v>
      </c>
      <c r="E106" s="24" t="s">
        <v>286</v>
      </c>
      <c r="F106" s="26" t="s">
        <v>311</v>
      </c>
      <c r="G106" s="24" t="s">
        <v>161</v>
      </c>
      <c r="H106" s="24" t="s">
        <v>254</v>
      </c>
      <c r="I106" s="24" t="s">
        <v>334</v>
      </c>
      <c r="J106" s="24" t="s">
        <v>70</v>
      </c>
      <c r="K106" s="24" t="s">
        <v>328</v>
      </c>
      <c r="L106" s="26" t="s">
        <v>274</v>
      </c>
      <c r="M106" s="26" t="s">
        <v>236</v>
      </c>
      <c r="N106" s="27" t="s">
        <v>565</v>
      </c>
      <c r="O106" s="25" t="s">
        <v>326</v>
      </c>
      <c r="P106" s="24" t="s">
        <v>74</v>
      </c>
      <c r="Q106" s="24"/>
      <c r="R106" s="24"/>
      <c r="S106" s="24">
        <v>27</v>
      </c>
      <c r="T106" s="24">
        <f>ROUND(IF(D106=Table!$C$3,V106*Table!$C$4/8,V106*Table!$D$4/8),3)</f>
        <v>39</v>
      </c>
      <c r="U106" s="24">
        <f t="shared" si="14"/>
        <v>39</v>
      </c>
      <c r="V106" s="24">
        <v>2.4</v>
      </c>
      <c r="W106" s="24">
        <v>3</v>
      </c>
      <c r="X106" s="24" t="s">
        <v>83</v>
      </c>
      <c r="Y106" s="28">
        <v>43906</v>
      </c>
      <c r="Z106" s="28">
        <v>43909</v>
      </c>
      <c r="AA106" s="28">
        <v>43908</v>
      </c>
      <c r="AB106" s="28">
        <v>43908</v>
      </c>
      <c r="AC106" s="28" t="s">
        <v>204</v>
      </c>
      <c r="AD106" s="121"/>
      <c r="AE106" s="121"/>
      <c r="AF106" s="55">
        <v>1</v>
      </c>
      <c r="AG106" s="55">
        <v>1</v>
      </c>
      <c r="AH106" s="55" t="s">
        <v>219</v>
      </c>
      <c r="AI106" s="24"/>
      <c r="AJ106" s="24"/>
      <c r="AK106" s="24"/>
    </row>
    <row r="107" spans="1:37" x14ac:dyDescent="0.25">
      <c r="B107" s="27">
        <v>63</v>
      </c>
      <c r="C107" s="25">
        <v>20200316</v>
      </c>
      <c r="D107" s="24" t="s">
        <v>2</v>
      </c>
      <c r="E107" s="24" t="s">
        <v>286</v>
      </c>
      <c r="F107" s="26" t="s">
        <v>284</v>
      </c>
      <c r="G107" s="24" t="s">
        <v>301</v>
      </c>
      <c r="H107" s="24" t="s">
        <v>255</v>
      </c>
      <c r="I107" s="24" t="s">
        <v>334</v>
      </c>
      <c r="J107" s="24" t="s">
        <v>70</v>
      </c>
      <c r="K107" s="24" t="s">
        <v>328</v>
      </c>
      <c r="L107" s="26" t="s">
        <v>277</v>
      </c>
      <c r="M107" s="26" t="s">
        <v>236</v>
      </c>
      <c r="N107" s="27" t="s">
        <v>566</v>
      </c>
      <c r="O107" s="25" t="s">
        <v>326</v>
      </c>
      <c r="P107" s="24" t="s">
        <v>74</v>
      </c>
      <c r="Q107" s="24"/>
      <c r="R107" s="24"/>
      <c r="S107" s="24">
        <v>23</v>
      </c>
      <c r="T107" s="24">
        <f>ROUND(IF(D107=Table!$C$3,V107*Table!$C$4/8,V107*Table!$D$4/8),3)</f>
        <v>26</v>
      </c>
      <c r="U107" s="24">
        <f t="shared" si="14"/>
        <v>26</v>
      </c>
      <c r="V107" s="24">
        <v>1.6</v>
      </c>
      <c r="W107" s="24">
        <v>2</v>
      </c>
      <c r="X107" s="24" t="s">
        <v>83</v>
      </c>
      <c r="Y107" s="28">
        <v>43906</v>
      </c>
      <c r="Z107" s="28">
        <v>43909</v>
      </c>
      <c r="AA107" s="28">
        <v>43907</v>
      </c>
      <c r="AB107" s="28">
        <v>43907</v>
      </c>
      <c r="AC107" s="28" t="s">
        <v>204</v>
      </c>
      <c r="AD107" s="121"/>
      <c r="AE107" s="121"/>
      <c r="AF107" s="55">
        <v>1</v>
      </c>
      <c r="AG107" s="55">
        <v>1</v>
      </c>
      <c r="AH107" s="55" t="s">
        <v>219</v>
      </c>
      <c r="AI107" s="24"/>
      <c r="AJ107" s="24"/>
      <c r="AK107" s="24"/>
    </row>
    <row r="108" spans="1:37" x14ac:dyDescent="0.25">
      <c r="B108" s="27">
        <v>64</v>
      </c>
      <c r="C108" s="25">
        <v>20200316</v>
      </c>
      <c r="D108" s="24" t="s">
        <v>2</v>
      </c>
      <c r="E108" s="24" t="s">
        <v>286</v>
      </c>
      <c r="F108" s="26" t="s">
        <v>284</v>
      </c>
      <c r="G108" s="24" t="s">
        <v>302</v>
      </c>
      <c r="H108" s="24" t="s">
        <v>256</v>
      </c>
      <c r="I108" s="24" t="s">
        <v>333</v>
      </c>
      <c r="J108" s="24" t="s">
        <v>70</v>
      </c>
      <c r="K108" s="24" t="s">
        <v>328</v>
      </c>
      <c r="L108" s="26" t="s">
        <v>277</v>
      </c>
      <c r="M108" s="26" t="s">
        <v>236</v>
      </c>
      <c r="N108" s="27" t="s">
        <v>567</v>
      </c>
      <c r="O108" s="25" t="s">
        <v>326</v>
      </c>
      <c r="P108" s="24" t="s">
        <v>74</v>
      </c>
      <c r="Q108" s="24"/>
      <c r="R108" s="24"/>
      <c r="S108" s="24">
        <v>121</v>
      </c>
      <c r="T108" s="24">
        <f>ROUND(IF(D108=Table!$C$3,V108*Table!$C$4/8,V108*Table!$D$4/8),3)</f>
        <v>104</v>
      </c>
      <c r="U108" s="24">
        <f t="shared" si="14"/>
        <v>104</v>
      </c>
      <c r="V108" s="24">
        <v>6.4</v>
      </c>
      <c r="W108" s="24">
        <v>8</v>
      </c>
      <c r="X108" s="24" t="s">
        <v>83</v>
      </c>
      <c r="Y108" s="28">
        <v>43906</v>
      </c>
      <c r="Z108" s="28">
        <v>43909</v>
      </c>
      <c r="AA108" s="28">
        <v>43907</v>
      </c>
      <c r="AB108" s="28">
        <v>43907</v>
      </c>
      <c r="AC108" s="28" t="s">
        <v>204</v>
      </c>
      <c r="AD108" s="121"/>
      <c r="AE108" s="121"/>
      <c r="AF108" s="55">
        <v>1</v>
      </c>
      <c r="AG108" s="55">
        <v>1</v>
      </c>
      <c r="AH108" s="55" t="s">
        <v>219</v>
      </c>
      <c r="AI108" s="24"/>
      <c r="AJ108" s="24"/>
      <c r="AK108" s="24"/>
    </row>
    <row r="109" spans="1:37" x14ac:dyDescent="0.25">
      <c r="B109" s="27">
        <v>65</v>
      </c>
      <c r="C109" s="25">
        <v>20200316</v>
      </c>
      <c r="D109" s="24" t="s">
        <v>2</v>
      </c>
      <c r="E109" s="24" t="s">
        <v>286</v>
      </c>
      <c r="F109" s="26" t="s">
        <v>284</v>
      </c>
      <c r="G109" s="24" t="s">
        <v>304</v>
      </c>
      <c r="H109" s="24" t="s">
        <v>258</v>
      </c>
      <c r="I109" s="24" t="s">
        <v>334</v>
      </c>
      <c r="J109" s="24" t="s">
        <v>70</v>
      </c>
      <c r="K109" s="24" t="s">
        <v>328</v>
      </c>
      <c r="L109" s="26" t="s">
        <v>278</v>
      </c>
      <c r="M109" s="26" t="s">
        <v>236</v>
      </c>
      <c r="N109" s="27" t="s">
        <v>568</v>
      </c>
      <c r="O109" s="25" t="s">
        <v>326</v>
      </c>
      <c r="P109" s="24" t="s">
        <v>74</v>
      </c>
      <c r="Q109" s="24"/>
      <c r="R109" s="24"/>
      <c r="S109" s="24">
        <v>24</v>
      </c>
      <c r="T109" s="24">
        <f>ROUND(IF(D109=Table!$C$3,V109*Table!$C$4/8,V109*Table!$D$4/8),3)</f>
        <v>26</v>
      </c>
      <c r="U109" s="24">
        <f t="shared" si="14"/>
        <v>26</v>
      </c>
      <c r="V109" s="24">
        <v>1.6</v>
      </c>
      <c r="W109" s="24">
        <v>2</v>
      </c>
      <c r="X109" s="24" t="s">
        <v>83</v>
      </c>
      <c r="Y109" s="28">
        <v>43906</v>
      </c>
      <c r="Z109" s="28">
        <v>43909</v>
      </c>
      <c r="AA109" s="28">
        <v>43908</v>
      </c>
      <c r="AB109" s="28">
        <v>43908</v>
      </c>
      <c r="AC109" s="28" t="s">
        <v>204</v>
      </c>
      <c r="AD109" s="121"/>
      <c r="AE109" s="121"/>
      <c r="AF109" s="55">
        <v>1</v>
      </c>
      <c r="AG109" s="55">
        <v>1</v>
      </c>
      <c r="AH109" s="55" t="s">
        <v>219</v>
      </c>
      <c r="AI109" s="24"/>
      <c r="AJ109" s="24"/>
      <c r="AK109" s="24"/>
    </row>
    <row r="110" spans="1:37" x14ac:dyDescent="0.25">
      <c r="B110" s="27">
        <v>66</v>
      </c>
      <c r="C110" s="25">
        <v>20200316</v>
      </c>
      <c r="D110" s="24" t="s">
        <v>2</v>
      </c>
      <c r="E110" s="24" t="s">
        <v>286</v>
      </c>
      <c r="F110" s="26" t="s">
        <v>284</v>
      </c>
      <c r="G110" s="24" t="s">
        <v>305</v>
      </c>
      <c r="H110" s="24" t="s">
        <v>259</v>
      </c>
      <c r="I110" s="24" t="s">
        <v>334</v>
      </c>
      <c r="J110" s="24" t="s">
        <v>70</v>
      </c>
      <c r="K110" s="24" t="s">
        <v>328</v>
      </c>
      <c r="L110" s="26" t="s">
        <v>278</v>
      </c>
      <c r="M110" s="26" t="s">
        <v>236</v>
      </c>
      <c r="N110" s="27" t="s">
        <v>569</v>
      </c>
      <c r="O110" s="25" t="s">
        <v>326</v>
      </c>
      <c r="P110" s="24" t="s">
        <v>74</v>
      </c>
      <c r="Q110" s="24"/>
      <c r="R110" s="24"/>
      <c r="S110" s="24">
        <v>24</v>
      </c>
      <c r="T110" s="24">
        <f>ROUND(IF(D110=Table!$C$3,V110*Table!$C$4/8,V110*Table!$D$4/8),3)</f>
        <v>26</v>
      </c>
      <c r="U110" s="24">
        <f t="shared" ref="U110:U132" si="15">T110</f>
        <v>26</v>
      </c>
      <c r="V110" s="24">
        <v>1.6</v>
      </c>
      <c r="W110" s="24">
        <v>2</v>
      </c>
      <c r="X110" s="24" t="s">
        <v>83</v>
      </c>
      <c r="Y110" s="28">
        <v>43906</v>
      </c>
      <c r="Z110" s="28">
        <v>43909</v>
      </c>
      <c r="AA110" s="28">
        <v>43908</v>
      </c>
      <c r="AB110" s="28">
        <v>43908</v>
      </c>
      <c r="AC110" s="28" t="s">
        <v>204</v>
      </c>
      <c r="AD110" s="121"/>
      <c r="AE110" s="121"/>
      <c r="AF110" s="55">
        <v>1</v>
      </c>
      <c r="AG110" s="55">
        <v>1</v>
      </c>
      <c r="AH110" s="55" t="s">
        <v>219</v>
      </c>
      <c r="AI110" s="24"/>
      <c r="AJ110" s="24"/>
      <c r="AK110" s="24"/>
    </row>
    <row r="111" spans="1:37" x14ac:dyDescent="0.25">
      <c r="B111" s="27">
        <v>67</v>
      </c>
      <c r="C111" s="25">
        <v>20200316</v>
      </c>
      <c r="D111" s="24" t="s">
        <v>2</v>
      </c>
      <c r="E111" s="24" t="s">
        <v>286</v>
      </c>
      <c r="F111" s="26" t="s">
        <v>284</v>
      </c>
      <c r="G111" s="24" t="s">
        <v>306</v>
      </c>
      <c r="H111" s="24" t="s">
        <v>260</v>
      </c>
      <c r="I111" s="24" t="s">
        <v>334</v>
      </c>
      <c r="J111" s="24" t="s">
        <v>70</v>
      </c>
      <c r="K111" s="24" t="s">
        <v>328</v>
      </c>
      <c r="L111" s="26" t="s">
        <v>280</v>
      </c>
      <c r="M111" s="26" t="s">
        <v>236</v>
      </c>
      <c r="N111" s="27" t="s">
        <v>570</v>
      </c>
      <c r="O111" s="25" t="s">
        <v>326</v>
      </c>
      <c r="P111" s="24" t="s">
        <v>74</v>
      </c>
      <c r="Q111" s="24"/>
      <c r="R111" s="24"/>
      <c r="S111" s="24">
        <v>17</v>
      </c>
      <c r="T111" s="24">
        <f>ROUND(IF(D111=Table!$C$3,V111*Table!$C$4/8,V111*Table!$D$4/8),3)</f>
        <v>26</v>
      </c>
      <c r="U111" s="24">
        <f t="shared" si="15"/>
        <v>26</v>
      </c>
      <c r="V111" s="24">
        <v>1.6</v>
      </c>
      <c r="W111" s="24">
        <v>2</v>
      </c>
      <c r="X111" s="24" t="s">
        <v>83</v>
      </c>
      <c r="Y111" s="28">
        <v>43906</v>
      </c>
      <c r="Z111" s="28">
        <v>43909</v>
      </c>
      <c r="AA111" s="28">
        <v>43908</v>
      </c>
      <c r="AB111" s="28">
        <v>43908</v>
      </c>
      <c r="AC111" s="28" t="s">
        <v>204</v>
      </c>
      <c r="AD111" s="121"/>
      <c r="AE111" s="121"/>
      <c r="AF111" s="55">
        <v>1</v>
      </c>
      <c r="AG111" s="55">
        <v>1</v>
      </c>
      <c r="AH111" s="55" t="s">
        <v>219</v>
      </c>
      <c r="AI111" s="24"/>
      <c r="AJ111" s="24"/>
      <c r="AK111" s="24"/>
    </row>
    <row r="112" spans="1:37" x14ac:dyDescent="0.25">
      <c r="B112" s="27">
        <v>68</v>
      </c>
      <c r="C112" s="25">
        <v>20200316</v>
      </c>
      <c r="D112" s="24" t="s">
        <v>3</v>
      </c>
      <c r="E112" s="24" t="s">
        <v>286</v>
      </c>
      <c r="F112" s="26" t="s">
        <v>327</v>
      </c>
      <c r="G112" s="24" t="s">
        <v>321</v>
      </c>
      <c r="H112" s="24" t="s">
        <v>319</v>
      </c>
      <c r="I112" s="24" t="s">
        <v>335</v>
      </c>
      <c r="J112" s="24" t="s">
        <v>70</v>
      </c>
      <c r="K112" s="24" t="s">
        <v>336</v>
      </c>
      <c r="L112" s="26" t="s">
        <v>320</v>
      </c>
      <c r="M112" s="26" t="s">
        <v>236</v>
      </c>
      <c r="N112" s="27" t="s">
        <v>571</v>
      </c>
      <c r="O112" s="25" t="s">
        <v>326</v>
      </c>
      <c r="P112" s="24" t="s">
        <v>74</v>
      </c>
      <c r="Q112" s="24"/>
      <c r="R112" s="24"/>
      <c r="S112" s="24">
        <v>455</v>
      </c>
      <c r="T112" s="24">
        <f>ROUND(IF(D112=Table!$C$3,V112*Table!$C$4/8,V112*Table!$D$4/8),3)</f>
        <v>360</v>
      </c>
      <c r="U112" s="24">
        <f t="shared" si="15"/>
        <v>360</v>
      </c>
      <c r="V112" s="24">
        <v>6.4</v>
      </c>
      <c r="W112" s="24">
        <v>6</v>
      </c>
      <c r="X112" s="24" t="s">
        <v>83</v>
      </c>
      <c r="Y112" s="28">
        <v>43906</v>
      </c>
      <c r="Z112" s="28">
        <v>43909</v>
      </c>
      <c r="AA112" s="28">
        <v>43909</v>
      </c>
      <c r="AB112" s="28">
        <v>43909</v>
      </c>
      <c r="AC112" s="28" t="s">
        <v>204</v>
      </c>
      <c r="AD112" s="121"/>
      <c r="AE112" s="121"/>
      <c r="AF112" s="55">
        <v>1</v>
      </c>
      <c r="AG112" s="55">
        <v>1</v>
      </c>
      <c r="AH112" s="55" t="s">
        <v>219</v>
      </c>
      <c r="AI112" s="24"/>
      <c r="AJ112" s="24"/>
      <c r="AK112" s="24" t="s">
        <v>322</v>
      </c>
    </row>
    <row r="113" spans="2:37" x14ac:dyDescent="0.25">
      <c r="B113" s="27">
        <v>69</v>
      </c>
      <c r="C113" s="25">
        <v>20200316</v>
      </c>
      <c r="D113" s="24" t="s">
        <v>3</v>
      </c>
      <c r="E113" s="24" t="s">
        <v>286</v>
      </c>
      <c r="F113" s="26" t="s">
        <v>285</v>
      </c>
      <c r="G113" s="24" t="s">
        <v>292</v>
      </c>
      <c r="H113" s="24" t="s">
        <v>262</v>
      </c>
      <c r="I113" s="24" t="s">
        <v>334</v>
      </c>
      <c r="J113" s="24" t="s">
        <v>70</v>
      </c>
      <c r="K113" s="24" t="s">
        <v>336</v>
      </c>
      <c r="L113" s="26" t="s">
        <v>282</v>
      </c>
      <c r="M113" s="26" t="s">
        <v>236</v>
      </c>
      <c r="N113" s="27" t="s">
        <v>572</v>
      </c>
      <c r="O113" s="25" t="s">
        <v>326</v>
      </c>
      <c r="P113" s="24" t="s">
        <v>74</v>
      </c>
      <c r="Q113" s="24"/>
      <c r="R113" s="24"/>
      <c r="S113" s="24">
        <v>131</v>
      </c>
      <c r="T113" s="24">
        <f>ROUND(IF(D113=Table!$C$3,V113*Table!$C$4/8,V113*Table!$D$4/8),3)</f>
        <v>135</v>
      </c>
      <c r="U113" s="24">
        <f t="shared" si="15"/>
        <v>135</v>
      </c>
      <c r="V113" s="24">
        <v>2.4</v>
      </c>
      <c r="W113" s="24">
        <v>2</v>
      </c>
      <c r="X113" s="24" t="s">
        <v>83</v>
      </c>
      <c r="Y113" s="28">
        <v>43906</v>
      </c>
      <c r="Z113" s="28">
        <v>43909</v>
      </c>
      <c r="AA113" s="28">
        <v>43909</v>
      </c>
      <c r="AB113" s="28">
        <v>43909</v>
      </c>
      <c r="AC113" s="28" t="s">
        <v>204</v>
      </c>
      <c r="AD113" s="121"/>
      <c r="AE113" s="121"/>
      <c r="AF113" s="55">
        <v>1</v>
      </c>
      <c r="AG113" s="55">
        <v>1</v>
      </c>
      <c r="AH113" s="55" t="s">
        <v>219</v>
      </c>
      <c r="AI113" s="24"/>
      <c r="AJ113" s="24"/>
      <c r="AK113" s="24" t="s">
        <v>308</v>
      </c>
    </row>
    <row r="114" spans="2:37" x14ac:dyDescent="0.25">
      <c r="B114" s="62">
        <v>70</v>
      </c>
      <c r="C114" s="25">
        <v>20200319</v>
      </c>
      <c r="D114" s="24" t="s">
        <v>2</v>
      </c>
      <c r="E114" s="24" t="s">
        <v>455</v>
      </c>
      <c r="F114" s="26" t="s">
        <v>70</v>
      </c>
      <c r="G114" s="24" t="s">
        <v>132</v>
      </c>
      <c r="H114" s="24" t="s">
        <v>344</v>
      </c>
      <c r="I114" s="24" t="s">
        <v>334</v>
      </c>
      <c r="J114" s="24" t="s">
        <v>70</v>
      </c>
      <c r="K114" s="24" t="s">
        <v>845</v>
      </c>
      <c r="L114" s="26" t="s">
        <v>414</v>
      </c>
      <c r="M114" s="26" t="s">
        <v>476</v>
      </c>
      <c r="N114" s="27" t="s">
        <v>573</v>
      </c>
      <c r="O114" s="25" t="s">
        <v>202</v>
      </c>
      <c r="P114" s="24" t="s">
        <v>6</v>
      </c>
      <c r="Q114" s="24"/>
      <c r="R114" s="24"/>
      <c r="S114" s="24"/>
      <c r="T114" s="24">
        <f>ROUND(IF(D114=Table!$C$3,V114*Table!$C$4/8,V114*Table!$D$4/8),3)</f>
        <v>26.244</v>
      </c>
      <c r="U114" s="24">
        <f t="shared" si="15"/>
        <v>26.244</v>
      </c>
      <c r="V114" s="24">
        <v>1.615</v>
      </c>
      <c r="W114" s="24">
        <v>4</v>
      </c>
      <c r="X114" s="24" t="s">
        <v>83</v>
      </c>
      <c r="Y114" s="28">
        <v>43910</v>
      </c>
      <c r="Z114" s="28">
        <v>43920</v>
      </c>
      <c r="AA114" s="28">
        <v>43910</v>
      </c>
      <c r="AB114" s="28">
        <v>43910</v>
      </c>
      <c r="AC114" s="28" t="s">
        <v>204</v>
      </c>
      <c r="AD114" s="121"/>
      <c r="AE114" s="121"/>
      <c r="AF114" s="55">
        <v>1</v>
      </c>
      <c r="AG114" s="55">
        <v>1</v>
      </c>
      <c r="AH114" s="55">
        <v>1</v>
      </c>
      <c r="AI114" s="24"/>
      <c r="AJ114" s="24"/>
      <c r="AK114" s="24"/>
    </row>
    <row r="115" spans="2:37" x14ac:dyDescent="0.25">
      <c r="B115" s="62">
        <v>71</v>
      </c>
      <c r="C115" s="25">
        <v>20200319</v>
      </c>
      <c r="D115" s="24" t="s">
        <v>2</v>
      </c>
      <c r="E115" s="24" t="s">
        <v>455</v>
      </c>
      <c r="F115" s="26" t="s">
        <v>70</v>
      </c>
      <c r="G115" s="24" t="s">
        <v>133</v>
      </c>
      <c r="H115" s="24" t="s">
        <v>345</v>
      </c>
      <c r="I115" s="24" t="s">
        <v>334</v>
      </c>
      <c r="J115" s="24" t="s">
        <v>70</v>
      </c>
      <c r="K115" s="24" t="s">
        <v>845</v>
      </c>
      <c r="L115" s="26" t="s">
        <v>415</v>
      </c>
      <c r="M115" s="26" t="s">
        <v>476</v>
      </c>
      <c r="N115" s="27" t="s">
        <v>574</v>
      </c>
      <c r="O115" s="25" t="s">
        <v>202</v>
      </c>
      <c r="P115" s="24" t="s">
        <v>6</v>
      </c>
      <c r="Q115" s="24"/>
      <c r="R115" s="24"/>
      <c r="S115" s="24"/>
      <c r="T115" s="24">
        <f>ROUND(IF(D115=Table!$C$3,V115*Table!$C$4/8,V115*Table!$D$4/8),3)</f>
        <v>26.244</v>
      </c>
      <c r="U115" s="24">
        <f t="shared" si="15"/>
        <v>26.244</v>
      </c>
      <c r="V115" s="24">
        <v>1.615</v>
      </c>
      <c r="W115" s="24">
        <v>2</v>
      </c>
      <c r="X115" s="24" t="s">
        <v>83</v>
      </c>
      <c r="Y115" s="28">
        <v>43910</v>
      </c>
      <c r="Z115" s="28">
        <v>43920</v>
      </c>
      <c r="AA115" s="28">
        <v>43910</v>
      </c>
      <c r="AB115" s="28">
        <v>43910</v>
      </c>
      <c r="AC115" s="28" t="s">
        <v>204</v>
      </c>
      <c r="AD115" s="121"/>
      <c r="AE115" s="121"/>
      <c r="AF115" s="55">
        <v>1</v>
      </c>
      <c r="AG115" s="55">
        <v>1</v>
      </c>
      <c r="AH115" s="55">
        <v>1</v>
      </c>
      <c r="AI115" s="24"/>
      <c r="AJ115" s="24"/>
      <c r="AK115" s="24"/>
    </row>
    <row r="116" spans="2:37" x14ac:dyDescent="0.25">
      <c r="B116" s="62">
        <v>72</v>
      </c>
      <c r="C116" s="25">
        <v>20200319</v>
      </c>
      <c r="D116" s="24" t="s">
        <v>2</v>
      </c>
      <c r="E116" s="24" t="s">
        <v>455</v>
      </c>
      <c r="F116" s="26" t="s">
        <v>70</v>
      </c>
      <c r="G116" s="24" t="s">
        <v>134</v>
      </c>
      <c r="H116" s="24" t="s">
        <v>346</v>
      </c>
      <c r="I116" s="24" t="s">
        <v>334</v>
      </c>
      <c r="J116" s="24" t="s">
        <v>70</v>
      </c>
      <c r="K116" s="24" t="s">
        <v>845</v>
      </c>
      <c r="L116" s="26" t="s">
        <v>415</v>
      </c>
      <c r="M116" s="26" t="s">
        <v>476</v>
      </c>
      <c r="N116" s="27" t="s">
        <v>575</v>
      </c>
      <c r="O116" s="25" t="s">
        <v>202</v>
      </c>
      <c r="P116" s="24" t="s">
        <v>6</v>
      </c>
      <c r="Q116" s="24"/>
      <c r="R116" s="24"/>
      <c r="S116" s="24"/>
      <c r="T116" s="24">
        <f>ROUND(IF(D116=Table!$C$3,V116*Table!$C$4/8,V116*Table!$D$4/8),3)</f>
        <v>26.244</v>
      </c>
      <c r="U116" s="24">
        <f t="shared" si="15"/>
        <v>26.244</v>
      </c>
      <c r="V116" s="24">
        <v>1.615</v>
      </c>
      <c r="W116" s="24">
        <v>2</v>
      </c>
      <c r="X116" s="24" t="s">
        <v>83</v>
      </c>
      <c r="Y116" s="28">
        <v>43910</v>
      </c>
      <c r="Z116" s="28">
        <v>43920</v>
      </c>
      <c r="AA116" s="28">
        <v>43910</v>
      </c>
      <c r="AB116" s="28">
        <v>43910</v>
      </c>
      <c r="AC116" s="28" t="s">
        <v>204</v>
      </c>
      <c r="AD116" s="121"/>
      <c r="AE116" s="121"/>
      <c r="AF116" s="55">
        <v>1</v>
      </c>
      <c r="AG116" s="55">
        <v>1</v>
      </c>
      <c r="AH116" s="55" t="s">
        <v>219</v>
      </c>
      <c r="AI116" s="24"/>
      <c r="AJ116" s="24"/>
      <c r="AK116" s="24"/>
    </row>
    <row r="117" spans="2:37" x14ac:dyDescent="0.25">
      <c r="B117" s="62">
        <v>73</v>
      </c>
      <c r="C117" s="25">
        <v>20200319</v>
      </c>
      <c r="D117" s="24" t="s">
        <v>2</v>
      </c>
      <c r="E117" s="24" t="s">
        <v>455</v>
      </c>
      <c r="F117" s="26" t="s">
        <v>70</v>
      </c>
      <c r="G117" s="24" t="s">
        <v>428</v>
      </c>
      <c r="H117" s="24" t="s">
        <v>347</v>
      </c>
      <c r="I117" s="24" t="s">
        <v>334</v>
      </c>
      <c r="J117" s="24" t="s">
        <v>70</v>
      </c>
      <c r="K117" s="24" t="s">
        <v>845</v>
      </c>
      <c r="L117" s="26" t="s">
        <v>415</v>
      </c>
      <c r="M117" s="26" t="s">
        <v>476</v>
      </c>
      <c r="N117" s="27" t="s">
        <v>576</v>
      </c>
      <c r="O117" s="25" t="s">
        <v>202</v>
      </c>
      <c r="P117" s="24" t="s">
        <v>6</v>
      </c>
      <c r="Q117" s="24"/>
      <c r="R117" s="24"/>
      <c r="S117" s="24"/>
      <c r="T117" s="24">
        <f>ROUND(IF(D117=Table!$C$3,V117*Table!$C$4/8,V117*Table!$D$4/8),3)</f>
        <v>26.244</v>
      </c>
      <c r="U117" s="24">
        <f t="shared" si="15"/>
        <v>26.244</v>
      </c>
      <c r="V117" s="24">
        <v>1.615</v>
      </c>
      <c r="W117" s="24">
        <v>4</v>
      </c>
      <c r="X117" s="24" t="s">
        <v>83</v>
      </c>
      <c r="Y117" s="28">
        <v>43910</v>
      </c>
      <c r="Z117" s="28">
        <v>43920</v>
      </c>
      <c r="AA117" s="28">
        <v>43913</v>
      </c>
      <c r="AB117" s="28">
        <v>43913</v>
      </c>
      <c r="AC117" s="28" t="s">
        <v>204</v>
      </c>
      <c r="AD117" s="121"/>
      <c r="AE117" s="121"/>
      <c r="AF117" s="55">
        <v>1</v>
      </c>
      <c r="AG117" s="55">
        <v>1</v>
      </c>
      <c r="AH117" s="55" t="s">
        <v>219</v>
      </c>
      <c r="AI117" s="24"/>
      <c r="AJ117" s="24"/>
      <c r="AK117" s="24"/>
    </row>
    <row r="118" spans="2:37" x14ac:dyDescent="0.25">
      <c r="B118" s="62">
        <v>74</v>
      </c>
      <c r="C118" s="25">
        <v>20200319</v>
      </c>
      <c r="D118" s="24" t="s">
        <v>2</v>
      </c>
      <c r="E118" s="24" t="s">
        <v>455</v>
      </c>
      <c r="F118" s="26" t="s">
        <v>70</v>
      </c>
      <c r="G118" s="24" t="s">
        <v>135</v>
      </c>
      <c r="H118" s="24" t="s">
        <v>348</v>
      </c>
      <c r="I118" s="24" t="s">
        <v>334</v>
      </c>
      <c r="J118" s="24" t="s">
        <v>70</v>
      </c>
      <c r="K118" s="24" t="s">
        <v>845</v>
      </c>
      <c r="L118" s="26" t="s">
        <v>415</v>
      </c>
      <c r="M118" s="26" t="s">
        <v>476</v>
      </c>
      <c r="N118" s="27" t="s">
        <v>577</v>
      </c>
      <c r="O118" s="25" t="s">
        <v>202</v>
      </c>
      <c r="P118" s="24" t="s">
        <v>6</v>
      </c>
      <c r="Q118" s="24"/>
      <c r="R118" s="24"/>
      <c r="S118" s="24"/>
      <c r="T118" s="24">
        <f>ROUND(IF(D118=Table!$C$3,V118*Table!$C$4/8,V118*Table!$D$4/8),3)</f>
        <v>26.244</v>
      </c>
      <c r="U118" s="24">
        <f t="shared" si="15"/>
        <v>26.244</v>
      </c>
      <c r="V118" s="24">
        <v>1.615</v>
      </c>
      <c r="W118" s="24">
        <v>2</v>
      </c>
      <c r="X118" s="24" t="s">
        <v>83</v>
      </c>
      <c r="Y118" s="28">
        <v>43910</v>
      </c>
      <c r="Z118" s="28">
        <v>43920</v>
      </c>
      <c r="AA118" s="28">
        <v>43913</v>
      </c>
      <c r="AB118" s="28">
        <v>43913</v>
      </c>
      <c r="AC118" s="28" t="s">
        <v>204</v>
      </c>
      <c r="AD118" s="121"/>
      <c r="AE118" s="121"/>
      <c r="AF118" s="55">
        <v>0.78900000000000003</v>
      </c>
      <c r="AG118" s="55">
        <v>0.82599999999999996</v>
      </c>
      <c r="AH118" s="55" t="s">
        <v>219</v>
      </c>
      <c r="AI118" s="24" t="s">
        <v>500</v>
      </c>
      <c r="AJ118" s="24"/>
      <c r="AK118" s="24"/>
    </row>
    <row r="119" spans="2:37" x14ac:dyDescent="0.25">
      <c r="B119" s="62">
        <v>75</v>
      </c>
      <c r="C119" s="25">
        <v>20200319</v>
      </c>
      <c r="D119" s="24" t="s">
        <v>2</v>
      </c>
      <c r="E119" s="24" t="s">
        <v>455</v>
      </c>
      <c r="F119" s="26" t="s">
        <v>70</v>
      </c>
      <c r="G119" s="24" t="s">
        <v>136</v>
      </c>
      <c r="H119" s="24" t="s">
        <v>349</v>
      </c>
      <c r="I119" s="24" t="s">
        <v>334</v>
      </c>
      <c r="J119" s="24" t="s">
        <v>70</v>
      </c>
      <c r="K119" s="24" t="s">
        <v>845</v>
      </c>
      <c r="L119" s="26" t="s">
        <v>415</v>
      </c>
      <c r="M119" s="26" t="s">
        <v>476</v>
      </c>
      <c r="N119" s="27" t="s">
        <v>578</v>
      </c>
      <c r="O119" s="25" t="s">
        <v>202</v>
      </c>
      <c r="P119" s="24" t="s">
        <v>6</v>
      </c>
      <c r="Q119" s="24"/>
      <c r="R119" s="24"/>
      <c r="S119" s="24"/>
      <c r="T119" s="24">
        <f>ROUND(IF(D119=Table!$C$3,V119*Table!$C$4/8,V119*Table!$D$4/8),3)</f>
        <v>26.244</v>
      </c>
      <c r="U119" s="24">
        <f t="shared" si="15"/>
        <v>26.244</v>
      </c>
      <c r="V119" s="24">
        <v>1.615</v>
      </c>
      <c r="W119" s="24">
        <v>2</v>
      </c>
      <c r="X119" s="24" t="s">
        <v>83</v>
      </c>
      <c r="Y119" s="28">
        <v>43910</v>
      </c>
      <c r="Z119" s="28">
        <v>43920</v>
      </c>
      <c r="AA119" s="28">
        <v>43913</v>
      </c>
      <c r="AB119" s="28">
        <v>43913</v>
      </c>
      <c r="AC119" s="28" t="s">
        <v>204</v>
      </c>
      <c r="AD119" s="121"/>
      <c r="AE119" s="121"/>
      <c r="AF119" s="55">
        <v>1</v>
      </c>
      <c r="AG119" s="55">
        <v>1</v>
      </c>
      <c r="AH119" s="55" t="s">
        <v>219</v>
      </c>
      <c r="AI119" s="24"/>
      <c r="AJ119" s="24"/>
      <c r="AK119" s="24"/>
    </row>
    <row r="120" spans="2:37" x14ac:dyDescent="0.25">
      <c r="B120" s="62">
        <v>76</v>
      </c>
      <c r="C120" s="25">
        <v>20200319</v>
      </c>
      <c r="D120" s="24" t="s">
        <v>2</v>
      </c>
      <c r="E120" s="24" t="s">
        <v>455</v>
      </c>
      <c r="F120" s="26" t="s">
        <v>70</v>
      </c>
      <c r="G120" s="24" t="s">
        <v>137</v>
      </c>
      <c r="H120" s="24" t="s">
        <v>350</v>
      </c>
      <c r="I120" s="24" t="s">
        <v>334</v>
      </c>
      <c r="J120" s="24" t="s">
        <v>70</v>
      </c>
      <c r="K120" s="24" t="s">
        <v>845</v>
      </c>
      <c r="L120" s="26" t="s">
        <v>415</v>
      </c>
      <c r="M120" s="26" t="s">
        <v>476</v>
      </c>
      <c r="N120" s="27" t="s">
        <v>579</v>
      </c>
      <c r="O120" s="25" t="s">
        <v>202</v>
      </c>
      <c r="P120" s="24" t="s">
        <v>6</v>
      </c>
      <c r="Q120" s="24"/>
      <c r="R120" s="24"/>
      <c r="S120" s="24"/>
      <c r="T120" s="24">
        <f>ROUND(IF(D120=Table!$C$3,V120*Table!$C$4/8,V120*Table!$D$4/8),3)</f>
        <v>48.344000000000001</v>
      </c>
      <c r="U120" s="24">
        <f t="shared" si="15"/>
        <v>48.344000000000001</v>
      </c>
      <c r="V120" s="24">
        <v>2.9750000000000001</v>
      </c>
      <c r="W120" s="24">
        <v>4</v>
      </c>
      <c r="X120" s="24" t="s">
        <v>83</v>
      </c>
      <c r="Y120" s="28">
        <v>43910</v>
      </c>
      <c r="Z120" s="28">
        <v>43920</v>
      </c>
      <c r="AA120" s="28">
        <v>43914</v>
      </c>
      <c r="AB120" s="28">
        <v>43914</v>
      </c>
      <c r="AC120" s="28" t="s">
        <v>204</v>
      </c>
      <c r="AD120" s="121"/>
      <c r="AE120" s="121"/>
      <c r="AF120" s="55">
        <v>1</v>
      </c>
      <c r="AG120" s="55">
        <v>1</v>
      </c>
      <c r="AH120" s="55">
        <v>1</v>
      </c>
      <c r="AI120" s="24"/>
      <c r="AJ120" s="24"/>
      <c r="AK120" s="24"/>
    </row>
    <row r="121" spans="2:37" x14ac:dyDescent="0.25">
      <c r="B121" s="62">
        <v>77</v>
      </c>
      <c r="C121" s="25">
        <v>20200319</v>
      </c>
      <c r="D121" s="24" t="s">
        <v>2</v>
      </c>
      <c r="E121" s="24" t="s">
        <v>455</v>
      </c>
      <c r="F121" s="26" t="s">
        <v>70</v>
      </c>
      <c r="G121" s="24" t="s">
        <v>138</v>
      </c>
      <c r="H121" s="24" t="s">
        <v>351</v>
      </c>
      <c r="I121" s="24" t="s">
        <v>334</v>
      </c>
      <c r="J121" s="24" t="s">
        <v>70</v>
      </c>
      <c r="K121" s="24" t="s">
        <v>845</v>
      </c>
      <c r="L121" s="26" t="s">
        <v>415</v>
      </c>
      <c r="M121" s="26" t="s">
        <v>476</v>
      </c>
      <c r="N121" s="27" t="s">
        <v>580</v>
      </c>
      <c r="O121" s="25" t="s">
        <v>202</v>
      </c>
      <c r="P121" s="24" t="s">
        <v>6</v>
      </c>
      <c r="Q121" s="24"/>
      <c r="R121" s="24"/>
      <c r="S121" s="24"/>
      <c r="T121" s="24">
        <f>ROUND(IF(D121=Table!$C$3,V121*Table!$C$4/8,V121*Table!$D$4/8),3)</f>
        <v>70.444000000000003</v>
      </c>
      <c r="U121" s="24">
        <f t="shared" si="15"/>
        <v>70.444000000000003</v>
      </c>
      <c r="V121" s="24">
        <v>4.335</v>
      </c>
      <c r="W121" s="24">
        <v>4</v>
      </c>
      <c r="X121" s="24" t="s">
        <v>83</v>
      </c>
      <c r="Y121" s="28">
        <v>43910</v>
      </c>
      <c r="Z121" s="28">
        <v>43920</v>
      </c>
      <c r="AA121" s="28">
        <v>43914</v>
      </c>
      <c r="AB121" s="28">
        <v>43914</v>
      </c>
      <c r="AC121" s="28" t="s">
        <v>204</v>
      </c>
      <c r="AD121" s="121"/>
      <c r="AE121" s="121"/>
      <c r="AF121" s="55">
        <v>0.872</v>
      </c>
      <c r="AG121" s="55">
        <v>0.88500000000000001</v>
      </c>
      <c r="AH121" s="55">
        <v>1</v>
      </c>
      <c r="AI121" s="24" t="s">
        <v>734</v>
      </c>
      <c r="AJ121" s="24"/>
      <c r="AK121" s="24"/>
    </row>
    <row r="122" spans="2:37" x14ac:dyDescent="0.25">
      <c r="B122" s="62">
        <v>78</v>
      </c>
      <c r="C122" s="25">
        <v>20200319</v>
      </c>
      <c r="D122" s="24" t="s">
        <v>2</v>
      </c>
      <c r="E122" s="24" t="s">
        <v>455</v>
      </c>
      <c r="F122" s="26" t="s">
        <v>70</v>
      </c>
      <c r="G122" s="24" t="s">
        <v>139</v>
      </c>
      <c r="H122" s="24" t="s">
        <v>352</v>
      </c>
      <c r="I122" s="24" t="s">
        <v>334</v>
      </c>
      <c r="J122" s="24" t="s">
        <v>70</v>
      </c>
      <c r="K122" s="24" t="s">
        <v>845</v>
      </c>
      <c r="L122" s="26" t="s">
        <v>415</v>
      </c>
      <c r="M122" s="26" t="s">
        <v>476</v>
      </c>
      <c r="N122" s="27" t="s">
        <v>581</v>
      </c>
      <c r="O122" s="25" t="s">
        <v>202</v>
      </c>
      <c r="P122" s="24" t="s">
        <v>6</v>
      </c>
      <c r="Q122" s="24"/>
      <c r="R122" s="24"/>
      <c r="S122" s="24"/>
      <c r="T122" s="24">
        <f>ROUND(IF(D122=Table!$C$3,V122*Table!$C$4/8,V122*Table!$D$4/8),3)</f>
        <v>65</v>
      </c>
      <c r="U122" s="24">
        <f t="shared" si="15"/>
        <v>65</v>
      </c>
      <c r="V122" s="82">
        <v>4</v>
      </c>
      <c r="W122" s="24">
        <v>4</v>
      </c>
      <c r="X122" s="24" t="s">
        <v>83</v>
      </c>
      <c r="Y122" s="28">
        <v>43910</v>
      </c>
      <c r="Z122" s="28">
        <v>43920</v>
      </c>
      <c r="AA122" s="28">
        <v>43915</v>
      </c>
      <c r="AB122" s="28">
        <v>43915</v>
      </c>
      <c r="AC122" s="28" t="s">
        <v>204</v>
      </c>
      <c r="AD122" s="121"/>
      <c r="AE122" s="121"/>
      <c r="AF122" s="55">
        <v>0.81</v>
      </c>
      <c r="AG122" s="55">
        <v>0.82</v>
      </c>
      <c r="AH122" s="55" t="s">
        <v>219</v>
      </c>
      <c r="AI122" s="24" t="s">
        <v>648</v>
      </c>
      <c r="AJ122" s="24"/>
      <c r="AK122" s="82" t="s">
        <v>647</v>
      </c>
    </row>
    <row r="123" spans="2:37" x14ac:dyDescent="0.25">
      <c r="B123" s="62">
        <v>79</v>
      </c>
      <c r="C123" s="25">
        <v>20200319</v>
      </c>
      <c r="D123" s="24" t="s">
        <v>2</v>
      </c>
      <c r="E123" s="24" t="s">
        <v>455</v>
      </c>
      <c r="F123" s="26" t="s">
        <v>70</v>
      </c>
      <c r="G123" s="24" t="s">
        <v>429</v>
      </c>
      <c r="H123" s="24" t="s">
        <v>353</v>
      </c>
      <c r="I123" s="24" t="s">
        <v>334</v>
      </c>
      <c r="J123" s="24" t="s">
        <v>70</v>
      </c>
      <c r="K123" s="24" t="s">
        <v>845</v>
      </c>
      <c r="L123" s="26" t="s">
        <v>416</v>
      </c>
      <c r="M123" s="26" t="s">
        <v>476</v>
      </c>
      <c r="N123" s="27" t="s">
        <v>582</v>
      </c>
      <c r="O123" s="25" t="s">
        <v>202</v>
      </c>
      <c r="P123" s="24" t="s">
        <v>6</v>
      </c>
      <c r="Q123" s="24"/>
      <c r="R123" s="24"/>
      <c r="S123" s="24"/>
      <c r="T123" s="24">
        <f>ROUND(IF(D123=Table!$C$3,V123*Table!$C$4/8,V123*Table!$D$4/8),3)</f>
        <v>26.244</v>
      </c>
      <c r="U123" s="24">
        <f t="shared" si="15"/>
        <v>26.244</v>
      </c>
      <c r="V123" s="24">
        <v>1.615</v>
      </c>
      <c r="W123" s="24">
        <v>2</v>
      </c>
      <c r="X123" s="24" t="s">
        <v>102</v>
      </c>
      <c r="Y123" s="28">
        <v>43910</v>
      </c>
      <c r="Z123" s="28">
        <v>43920</v>
      </c>
      <c r="AA123" s="28">
        <v>43915</v>
      </c>
      <c r="AB123" s="28">
        <v>43915</v>
      </c>
      <c r="AC123" s="28" t="s">
        <v>205</v>
      </c>
      <c r="AD123" s="121"/>
      <c r="AE123" s="121"/>
      <c r="AF123" s="55">
        <v>0.73299999999999998</v>
      </c>
      <c r="AG123" s="55">
        <v>0.73299999999999998</v>
      </c>
      <c r="AH123" s="55" t="s">
        <v>219</v>
      </c>
      <c r="AI123" s="24" t="s">
        <v>649</v>
      </c>
      <c r="AJ123" s="24"/>
      <c r="AK123" s="82" t="s">
        <v>650</v>
      </c>
    </row>
    <row r="124" spans="2:37" x14ac:dyDescent="0.25">
      <c r="B124" s="62">
        <v>80</v>
      </c>
      <c r="C124" s="25">
        <v>20200319</v>
      </c>
      <c r="D124" s="24" t="s">
        <v>2</v>
      </c>
      <c r="E124" s="24" t="s">
        <v>455</v>
      </c>
      <c r="F124" s="26" t="s">
        <v>70</v>
      </c>
      <c r="G124" s="24" t="s">
        <v>140</v>
      </c>
      <c r="H124" s="24" t="s">
        <v>354</v>
      </c>
      <c r="I124" s="24" t="s">
        <v>334</v>
      </c>
      <c r="J124" s="24" t="s">
        <v>70</v>
      </c>
      <c r="K124" s="24" t="s">
        <v>845</v>
      </c>
      <c r="L124" s="26" t="s">
        <v>415</v>
      </c>
      <c r="M124" s="26" t="s">
        <v>476</v>
      </c>
      <c r="N124" s="27" t="s">
        <v>583</v>
      </c>
      <c r="O124" s="25" t="s">
        <v>202</v>
      </c>
      <c r="P124" s="24" t="s">
        <v>6</v>
      </c>
      <c r="Q124" s="24"/>
      <c r="R124" s="24"/>
      <c r="S124" s="24"/>
      <c r="T124" s="24">
        <f>ROUND(IF(D124=Table!$C$3,V124*Table!$C$4/8,V124*Table!$D$4/8),3)</f>
        <v>26.244</v>
      </c>
      <c r="U124" s="24">
        <f t="shared" si="15"/>
        <v>26.244</v>
      </c>
      <c r="V124" s="24">
        <v>1.615</v>
      </c>
      <c r="W124" s="24">
        <v>2</v>
      </c>
      <c r="X124" s="24" t="s">
        <v>102</v>
      </c>
      <c r="Y124" s="28">
        <v>43910</v>
      </c>
      <c r="Z124" s="28">
        <v>43920</v>
      </c>
      <c r="AA124" s="28">
        <v>43915</v>
      </c>
      <c r="AB124" s="28">
        <v>43915</v>
      </c>
      <c r="AC124" s="28" t="s">
        <v>204</v>
      </c>
      <c r="AD124" s="121"/>
      <c r="AE124" s="121"/>
      <c r="AF124" s="55">
        <v>1</v>
      </c>
      <c r="AG124" s="55">
        <v>1</v>
      </c>
      <c r="AH124" s="55" t="s">
        <v>219</v>
      </c>
      <c r="AI124" s="24"/>
      <c r="AJ124" s="24"/>
      <c r="AK124" s="24"/>
    </row>
    <row r="125" spans="2:37" x14ac:dyDescent="0.25">
      <c r="B125" s="62">
        <v>81</v>
      </c>
      <c r="C125" s="25">
        <v>20200319</v>
      </c>
      <c r="D125" s="24" t="s">
        <v>2</v>
      </c>
      <c r="E125" s="24" t="s">
        <v>455</v>
      </c>
      <c r="F125" s="26" t="s">
        <v>70</v>
      </c>
      <c r="G125" s="24" t="s">
        <v>430</v>
      </c>
      <c r="H125" s="24" t="s">
        <v>355</v>
      </c>
      <c r="I125" s="24" t="s">
        <v>334</v>
      </c>
      <c r="J125" s="24" t="s">
        <v>70</v>
      </c>
      <c r="K125" s="24" t="s">
        <v>845</v>
      </c>
      <c r="L125" s="26" t="s">
        <v>415</v>
      </c>
      <c r="M125" s="26" t="s">
        <v>476</v>
      </c>
      <c r="N125" s="27" t="s">
        <v>584</v>
      </c>
      <c r="O125" s="25" t="s">
        <v>202</v>
      </c>
      <c r="P125" s="24" t="s">
        <v>6</v>
      </c>
      <c r="Q125" s="24"/>
      <c r="R125" s="24"/>
      <c r="S125" s="24"/>
      <c r="T125" s="24">
        <f>ROUND(IF(D125=Table!$C$3,V125*Table!$C$4/8,V125*Table!$D$4/8),3)</f>
        <v>26.244</v>
      </c>
      <c r="U125" s="24">
        <f t="shared" si="15"/>
        <v>26.244</v>
      </c>
      <c r="V125" s="24">
        <v>1.615</v>
      </c>
      <c r="W125" s="24">
        <v>3</v>
      </c>
      <c r="X125" s="24" t="s">
        <v>83</v>
      </c>
      <c r="Y125" s="28">
        <v>43910</v>
      </c>
      <c r="Z125" s="28">
        <v>43920</v>
      </c>
      <c r="AA125" s="28">
        <v>43916</v>
      </c>
      <c r="AB125" s="28">
        <v>43916</v>
      </c>
      <c r="AC125" s="28" t="s">
        <v>204</v>
      </c>
      <c r="AD125" s="121"/>
      <c r="AE125" s="121"/>
      <c r="AF125" s="55">
        <v>1</v>
      </c>
      <c r="AG125" s="55">
        <v>1</v>
      </c>
      <c r="AH125" s="55" t="s">
        <v>219</v>
      </c>
      <c r="AI125" s="24"/>
      <c r="AJ125" s="24"/>
      <c r="AK125" s="24"/>
    </row>
    <row r="126" spans="2:37" x14ac:dyDescent="0.25">
      <c r="B126" s="62">
        <v>82</v>
      </c>
      <c r="C126" s="25">
        <v>20200319</v>
      </c>
      <c r="D126" s="24" t="s">
        <v>2</v>
      </c>
      <c r="E126" s="24" t="s">
        <v>455</v>
      </c>
      <c r="F126" s="26" t="s">
        <v>70</v>
      </c>
      <c r="G126" s="24" t="s">
        <v>295</v>
      </c>
      <c r="H126" s="24" t="s">
        <v>356</v>
      </c>
      <c r="I126" s="24" t="s">
        <v>334</v>
      </c>
      <c r="J126" s="24" t="s">
        <v>70</v>
      </c>
      <c r="K126" s="24" t="s">
        <v>845</v>
      </c>
      <c r="L126" s="26" t="s">
        <v>415</v>
      </c>
      <c r="M126" s="26" t="s">
        <v>476</v>
      </c>
      <c r="N126" s="27" t="s">
        <v>585</v>
      </c>
      <c r="O126" s="25" t="s">
        <v>202</v>
      </c>
      <c r="P126" s="24" t="s">
        <v>6</v>
      </c>
      <c r="Q126" s="24"/>
      <c r="R126" s="24"/>
      <c r="S126" s="24"/>
      <c r="T126" s="24">
        <f>ROUND(IF(D126=Table!$C$3,V126*Table!$C$4/8,V126*Table!$D$4/8),3)</f>
        <v>26.244</v>
      </c>
      <c r="U126" s="24">
        <f t="shared" si="15"/>
        <v>26.244</v>
      </c>
      <c r="V126" s="24">
        <v>1.615</v>
      </c>
      <c r="W126" s="24">
        <v>1</v>
      </c>
      <c r="X126" s="24" t="s">
        <v>83</v>
      </c>
      <c r="Y126" s="28">
        <v>43910</v>
      </c>
      <c r="Z126" s="28">
        <v>43920</v>
      </c>
      <c r="AA126" s="28">
        <v>43916</v>
      </c>
      <c r="AB126" s="28">
        <v>43916</v>
      </c>
      <c r="AC126" s="28" t="s">
        <v>204</v>
      </c>
      <c r="AD126" s="121"/>
      <c r="AE126" s="121"/>
      <c r="AF126" s="55">
        <v>1</v>
      </c>
      <c r="AG126" s="55">
        <v>1</v>
      </c>
      <c r="AH126" s="55" t="s">
        <v>219</v>
      </c>
      <c r="AI126" s="24"/>
      <c r="AJ126" s="24"/>
      <c r="AK126" s="24"/>
    </row>
    <row r="127" spans="2:37" x14ac:dyDescent="0.25">
      <c r="B127" s="62">
        <v>83</v>
      </c>
      <c r="C127" s="25">
        <v>20200319</v>
      </c>
      <c r="D127" s="24" t="s">
        <v>2</v>
      </c>
      <c r="E127" s="24" t="s">
        <v>455</v>
      </c>
      <c r="F127" s="26" t="s">
        <v>70</v>
      </c>
      <c r="G127" s="24" t="s">
        <v>141</v>
      </c>
      <c r="H127" s="24" t="s">
        <v>357</v>
      </c>
      <c r="I127" s="24" t="s">
        <v>334</v>
      </c>
      <c r="J127" s="24" t="s">
        <v>70</v>
      </c>
      <c r="K127" s="24" t="s">
        <v>845</v>
      </c>
      <c r="L127" s="26" t="s">
        <v>415</v>
      </c>
      <c r="M127" s="26" t="s">
        <v>476</v>
      </c>
      <c r="N127" s="27" t="s">
        <v>586</v>
      </c>
      <c r="O127" s="25" t="s">
        <v>202</v>
      </c>
      <c r="P127" s="24" t="s">
        <v>6</v>
      </c>
      <c r="Q127" s="24"/>
      <c r="R127" s="24"/>
      <c r="S127" s="24"/>
      <c r="T127" s="24">
        <f>ROUND(IF(D127=Table!$C$3,V127*Table!$C$4/8,V127*Table!$D$4/8),3)</f>
        <v>81.494</v>
      </c>
      <c r="U127" s="24">
        <f t="shared" si="15"/>
        <v>81.494</v>
      </c>
      <c r="V127" s="24">
        <v>5.0150000000000006</v>
      </c>
      <c r="W127" s="24">
        <v>4</v>
      </c>
      <c r="X127" s="24" t="s">
        <v>83</v>
      </c>
      <c r="Y127" s="28">
        <v>43910</v>
      </c>
      <c r="Z127" s="28">
        <v>43920</v>
      </c>
      <c r="AA127" s="28">
        <v>43917</v>
      </c>
      <c r="AB127" s="28">
        <v>43917</v>
      </c>
      <c r="AC127" s="28" t="s">
        <v>204</v>
      </c>
      <c r="AD127" s="121"/>
      <c r="AE127" s="121"/>
      <c r="AF127" s="55">
        <v>0.95</v>
      </c>
      <c r="AG127" s="55">
        <v>0.95699999999999996</v>
      </c>
      <c r="AH127" s="55">
        <v>1</v>
      </c>
      <c r="AI127" s="24" t="s">
        <v>657</v>
      </c>
      <c r="AJ127" s="24"/>
      <c r="AK127" s="24"/>
    </row>
    <row r="128" spans="2:37" x14ac:dyDescent="0.25">
      <c r="B128" s="62">
        <v>84</v>
      </c>
      <c r="C128" s="25">
        <v>20200319</v>
      </c>
      <c r="D128" s="24" t="s">
        <v>2</v>
      </c>
      <c r="E128" s="24" t="s">
        <v>455</v>
      </c>
      <c r="F128" s="26" t="s">
        <v>70</v>
      </c>
      <c r="G128" s="24" t="s">
        <v>142</v>
      </c>
      <c r="H128" s="24" t="s">
        <v>358</v>
      </c>
      <c r="I128" s="24" t="s">
        <v>334</v>
      </c>
      <c r="J128" s="24" t="s">
        <v>70</v>
      </c>
      <c r="K128" s="24" t="s">
        <v>845</v>
      </c>
      <c r="L128" s="26" t="s">
        <v>415</v>
      </c>
      <c r="M128" s="26" t="s">
        <v>476</v>
      </c>
      <c r="N128" s="27" t="s">
        <v>587</v>
      </c>
      <c r="O128" s="25" t="s">
        <v>202</v>
      </c>
      <c r="P128" s="24" t="s">
        <v>6</v>
      </c>
      <c r="Q128" s="24"/>
      <c r="R128" s="24"/>
      <c r="S128" s="24"/>
      <c r="T128" s="24">
        <f>ROUND(IF(D128=Table!$C$3,V128*Table!$C$4/8,V128*Table!$D$4/8),3)</f>
        <v>26.244</v>
      </c>
      <c r="U128" s="24">
        <f t="shared" si="15"/>
        <v>26.244</v>
      </c>
      <c r="V128" s="24">
        <v>1.615</v>
      </c>
      <c r="W128" s="24">
        <v>1</v>
      </c>
      <c r="X128" s="24" t="s">
        <v>83</v>
      </c>
      <c r="Y128" s="28">
        <v>43910</v>
      </c>
      <c r="Z128" s="28">
        <v>43920</v>
      </c>
      <c r="AA128" s="28">
        <v>43916</v>
      </c>
      <c r="AB128" s="28">
        <v>43916</v>
      </c>
      <c r="AC128" s="28" t="s">
        <v>204</v>
      </c>
      <c r="AD128" s="121"/>
      <c r="AE128" s="121"/>
      <c r="AF128" s="55">
        <v>1</v>
      </c>
      <c r="AG128" s="55">
        <v>1</v>
      </c>
      <c r="AH128" s="55">
        <v>1</v>
      </c>
      <c r="AI128" s="24"/>
      <c r="AJ128" s="24"/>
      <c r="AK128" s="24"/>
    </row>
    <row r="129" spans="2:37" x14ac:dyDescent="0.25">
      <c r="B129" s="62">
        <v>85</v>
      </c>
      <c r="C129" s="25">
        <v>20200319</v>
      </c>
      <c r="D129" s="24" t="s">
        <v>2</v>
      </c>
      <c r="E129" s="24" t="s">
        <v>455</v>
      </c>
      <c r="F129" s="26" t="s">
        <v>70</v>
      </c>
      <c r="G129" s="24" t="s">
        <v>296</v>
      </c>
      <c r="H129" s="24" t="s">
        <v>359</v>
      </c>
      <c r="I129" s="24" t="s">
        <v>334</v>
      </c>
      <c r="J129" s="24" t="s">
        <v>70</v>
      </c>
      <c r="K129" s="24" t="s">
        <v>845</v>
      </c>
      <c r="L129" s="26" t="s">
        <v>415</v>
      </c>
      <c r="M129" s="26" t="s">
        <v>476</v>
      </c>
      <c r="N129" s="27" t="s">
        <v>588</v>
      </c>
      <c r="O129" s="25" t="s">
        <v>202</v>
      </c>
      <c r="P129" s="24" t="s">
        <v>6</v>
      </c>
      <c r="Q129" s="24"/>
      <c r="R129" s="24"/>
      <c r="S129" s="24"/>
      <c r="T129" s="24">
        <f>ROUND(IF(D129=Table!$C$3,V129*Table!$C$4/8,V129*Table!$D$4/8),3)</f>
        <v>26.244</v>
      </c>
      <c r="U129" s="24">
        <f t="shared" si="15"/>
        <v>26.244</v>
      </c>
      <c r="V129" s="24">
        <v>1.615</v>
      </c>
      <c r="W129" s="24">
        <v>1</v>
      </c>
      <c r="X129" s="24" t="s">
        <v>83</v>
      </c>
      <c r="Y129" s="28">
        <v>43910</v>
      </c>
      <c r="Z129" s="28">
        <v>43920</v>
      </c>
      <c r="AA129" s="28">
        <v>43916</v>
      </c>
      <c r="AB129" s="28">
        <v>43916</v>
      </c>
      <c r="AC129" s="28" t="s">
        <v>204</v>
      </c>
      <c r="AD129" s="121"/>
      <c r="AE129" s="121"/>
      <c r="AF129" s="55">
        <v>1</v>
      </c>
      <c r="AG129" s="55">
        <v>1</v>
      </c>
      <c r="AH129" s="55">
        <v>1</v>
      </c>
      <c r="AI129" s="24"/>
      <c r="AJ129" s="24"/>
      <c r="AK129" s="24"/>
    </row>
    <row r="130" spans="2:37" x14ac:dyDescent="0.25">
      <c r="B130" s="62">
        <v>86</v>
      </c>
      <c r="C130" s="25">
        <v>20200319</v>
      </c>
      <c r="D130" s="24" t="s">
        <v>2</v>
      </c>
      <c r="E130" s="24" t="s">
        <v>455</v>
      </c>
      <c r="F130" s="26" t="s">
        <v>70</v>
      </c>
      <c r="G130" s="24" t="s">
        <v>431</v>
      </c>
      <c r="H130" s="24" t="s">
        <v>360</v>
      </c>
      <c r="I130" s="24" t="s">
        <v>334</v>
      </c>
      <c r="J130" s="24" t="s">
        <v>70</v>
      </c>
      <c r="K130" s="24" t="s">
        <v>845</v>
      </c>
      <c r="L130" s="26" t="s">
        <v>415</v>
      </c>
      <c r="M130" s="26" t="s">
        <v>476</v>
      </c>
      <c r="N130" s="27" t="s">
        <v>589</v>
      </c>
      <c r="O130" s="25" t="s">
        <v>202</v>
      </c>
      <c r="P130" s="24" t="s">
        <v>6</v>
      </c>
      <c r="Q130" s="24"/>
      <c r="R130" s="24"/>
      <c r="S130" s="24"/>
      <c r="T130" s="24">
        <f>ROUND(IF(D130=Table!$C$3,V130*Table!$C$4/8,V130*Table!$D$4/8),3)</f>
        <v>37.293999999999997</v>
      </c>
      <c r="U130" s="24">
        <f t="shared" si="15"/>
        <v>37.293999999999997</v>
      </c>
      <c r="V130" s="24">
        <v>2.2949999999999999</v>
      </c>
      <c r="W130" s="24">
        <v>1</v>
      </c>
      <c r="X130" s="24" t="s">
        <v>83</v>
      </c>
      <c r="Y130" s="28">
        <v>43910</v>
      </c>
      <c r="Z130" s="28">
        <v>43920</v>
      </c>
      <c r="AA130" s="28">
        <v>43916</v>
      </c>
      <c r="AB130" s="28">
        <v>43916</v>
      </c>
      <c r="AC130" s="28" t="s">
        <v>204</v>
      </c>
      <c r="AD130" s="121"/>
      <c r="AE130" s="121"/>
      <c r="AF130" s="55">
        <v>0.94399999999999995</v>
      </c>
      <c r="AG130" s="55">
        <v>0.94699999999999995</v>
      </c>
      <c r="AH130" s="55" t="s">
        <v>219</v>
      </c>
      <c r="AI130" s="24" t="s">
        <v>655</v>
      </c>
      <c r="AJ130" s="24"/>
      <c r="AK130" s="24"/>
    </row>
    <row r="131" spans="2:37" x14ac:dyDescent="0.25">
      <c r="B131" s="62">
        <v>87</v>
      </c>
      <c r="C131" s="25">
        <v>20200319</v>
      </c>
      <c r="D131" s="24" t="s">
        <v>2</v>
      </c>
      <c r="E131" s="24" t="s">
        <v>455</v>
      </c>
      <c r="F131" s="26" t="s">
        <v>70</v>
      </c>
      <c r="G131" s="24" t="s">
        <v>143</v>
      </c>
      <c r="H131" s="24" t="s">
        <v>361</v>
      </c>
      <c r="I131" s="24" t="s">
        <v>335</v>
      </c>
      <c r="J131" s="24" t="s">
        <v>70</v>
      </c>
      <c r="K131" s="24" t="s">
        <v>845</v>
      </c>
      <c r="L131" s="26" t="s">
        <v>415</v>
      </c>
      <c r="M131" s="26" t="s">
        <v>476</v>
      </c>
      <c r="N131" s="27" t="s">
        <v>590</v>
      </c>
      <c r="O131" s="25" t="s">
        <v>202</v>
      </c>
      <c r="P131" s="24" t="s">
        <v>6</v>
      </c>
      <c r="Q131" s="24"/>
      <c r="R131" s="24"/>
      <c r="S131" s="24"/>
      <c r="T131" s="24">
        <f>ROUND(IF(D131=Table!$C$3,V131*Table!$C$4/8,V131*Table!$D$4/8),3)</f>
        <v>70.444000000000003</v>
      </c>
      <c r="U131" s="24">
        <f t="shared" si="15"/>
        <v>70.444000000000003</v>
      </c>
      <c r="V131" s="24">
        <v>4.335</v>
      </c>
      <c r="W131" s="24">
        <v>4</v>
      </c>
      <c r="X131" s="24" t="s">
        <v>83</v>
      </c>
      <c r="Y131" s="28">
        <v>43910</v>
      </c>
      <c r="Z131" s="28">
        <v>43920</v>
      </c>
      <c r="AA131" s="28">
        <v>43917</v>
      </c>
      <c r="AB131" s="28">
        <v>43917</v>
      </c>
      <c r="AC131" s="28" t="s">
        <v>205</v>
      </c>
      <c r="AD131" s="121"/>
      <c r="AE131" s="121"/>
      <c r="AF131" s="55">
        <v>0.88900000000000001</v>
      </c>
      <c r="AG131" s="55">
        <v>0.90800000000000003</v>
      </c>
      <c r="AH131" s="55">
        <v>1</v>
      </c>
      <c r="AI131" s="24" t="s">
        <v>659</v>
      </c>
      <c r="AJ131" s="24"/>
      <c r="AK131" s="24" t="s">
        <v>658</v>
      </c>
    </row>
    <row r="132" spans="2:37" x14ac:dyDescent="0.25">
      <c r="B132" s="62">
        <v>88</v>
      </c>
      <c r="C132" s="25">
        <v>20200319</v>
      </c>
      <c r="D132" s="24" t="s">
        <v>2</v>
      </c>
      <c r="E132" s="24" t="s">
        <v>455</v>
      </c>
      <c r="F132" s="26" t="s">
        <v>70</v>
      </c>
      <c r="G132" s="24" t="s">
        <v>297</v>
      </c>
      <c r="H132" s="24" t="s">
        <v>362</v>
      </c>
      <c r="I132" s="24" t="s">
        <v>334</v>
      </c>
      <c r="J132" s="24" t="s">
        <v>70</v>
      </c>
      <c r="K132" s="24" t="s">
        <v>845</v>
      </c>
      <c r="L132" s="26" t="s">
        <v>415</v>
      </c>
      <c r="M132" s="26" t="s">
        <v>476</v>
      </c>
      <c r="N132" s="27" t="s">
        <v>591</v>
      </c>
      <c r="O132" s="25" t="s">
        <v>202</v>
      </c>
      <c r="P132" s="24" t="s">
        <v>6</v>
      </c>
      <c r="Q132" s="24"/>
      <c r="R132" s="24"/>
      <c r="S132" s="24"/>
      <c r="T132" s="24">
        <f>ROUND(IF(D132=Table!$C$3,V132*Table!$C$4/8,V132*Table!$D$4/8),3)</f>
        <v>26.244</v>
      </c>
      <c r="U132" s="24">
        <f t="shared" si="15"/>
        <v>26.244</v>
      </c>
      <c r="V132" s="24">
        <v>1.615</v>
      </c>
      <c r="W132" s="24">
        <v>1</v>
      </c>
      <c r="X132" s="24" t="s">
        <v>83</v>
      </c>
      <c r="Y132" s="28">
        <v>43910</v>
      </c>
      <c r="Z132" s="28">
        <v>43920</v>
      </c>
      <c r="AA132" s="28">
        <v>43916</v>
      </c>
      <c r="AB132" s="28">
        <v>43916</v>
      </c>
      <c r="AC132" s="28" t="s">
        <v>204</v>
      </c>
      <c r="AD132" s="121"/>
      <c r="AE132" s="121"/>
      <c r="AF132" s="55">
        <v>0.83299999999999996</v>
      </c>
      <c r="AG132" s="55">
        <v>0.84599999999999997</v>
      </c>
      <c r="AH132" s="55">
        <v>1</v>
      </c>
      <c r="AI132" s="24" t="s">
        <v>656</v>
      </c>
      <c r="AJ132" s="24"/>
      <c r="AK132" s="24"/>
    </row>
    <row r="133" spans="2:37" x14ac:dyDescent="0.25">
      <c r="B133" s="62">
        <v>89</v>
      </c>
      <c r="C133" s="25">
        <v>20200319</v>
      </c>
      <c r="D133" s="24" t="s">
        <v>2</v>
      </c>
      <c r="E133" s="24" t="s">
        <v>455</v>
      </c>
      <c r="F133" s="26" t="s">
        <v>70</v>
      </c>
      <c r="G133" s="24" t="s">
        <v>298</v>
      </c>
      <c r="H133" s="24" t="s">
        <v>363</v>
      </c>
      <c r="I133" s="24" t="s">
        <v>334</v>
      </c>
      <c r="J133" s="24" t="s">
        <v>70</v>
      </c>
      <c r="K133" s="24" t="s">
        <v>845</v>
      </c>
      <c r="L133" s="26" t="s">
        <v>415</v>
      </c>
      <c r="M133" s="26" t="s">
        <v>476</v>
      </c>
      <c r="N133" s="27" t="s">
        <v>592</v>
      </c>
      <c r="O133" s="25" t="s">
        <v>201</v>
      </c>
      <c r="P133" s="24" t="s">
        <v>73</v>
      </c>
      <c r="Q133" s="24"/>
      <c r="R133" s="24"/>
      <c r="S133" s="24"/>
      <c r="T133" s="24">
        <f>ROUND(IF(D133=Table!$C$3,V133*Table!$C$4/8,V133*Table!$D$4/8),3)</f>
        <v>26.244</v>
      </c>
      <c r="U133" s="24">
        <f>T133</f>
        <v>26.244</v>
      </c>
      <c r="V133" s="24">
        <v>1.615</v>
      </c>
      <c r="W133" s="24">
        <v>2</v>
      </c>
      <c r="X133" s="24" t="s">
        <v>83</v>
      </c>
      <c r="Y133" s="28">
        <v>43910</v>
      </c>
      <c r="Z133" s="28">
        <v>43920</v>
      </c>
      <c r="AA133" s="28">
        <v>43910</v>
      </c>
      <c r="AB133" s="28">
        <v>43910</v>
      </c>
      <c r="AC133" s="28" t="s">
        <v>204</v>
      </c>
      <c r="AD133" s="121"/>
      <c r="AE133" s="121"/>
      <c r="AF133" s="55">
        <v>1</v>
      </c>
      <c r="AG133" s="55">
        <v>1</v>
      </c>
      <c r="AH133" s="55">
        <v>1</v>
      </c>
      <c r="AI133" s="24"/>
      <c r="AJ133" s="24"/>
      <c r="AK133" s="24"/>
    </row>
    <row r="134" spans="2:37" x14ac:dyDescent="0.25">
      <c r="B134" s="62">
        <v>90</v>
      </c>
      <c r="C134" s="25">
        <v>20200319</v>
      </c>
      <c r="D134" s="24" t="s">
        <v>2</v>
      </c>
      <c r="E134" s="24" t="s">
        <v>455</v>
      </c>
      <c r="F134" s="26" t="s">
        <v>70</v>
      </c>
      <c r="G134" s="24" t="s">
        <v>144</v>
      </c>
      <c r="H134" s="24" t="s">
        <v>364</v>
      </c>
      <c r="I134" s="24" t="s">
        <v>334</v>
      </c>
      <c r="J134" s="24" t="s">
        <v>70</v>
      </c>
      <c r="K134" s="24" t="s">
        <v>845</v>
      </c>
      <c r="L134" s="26" t="s">
        <v>415</v>
      </c>
      <c r="M134" s="26" t="s">
        <v>476</v>
      </c>
      <c r="N134" s="27" t="s">
        <v>593</v>
      </c>
      <c r="O134" s="25" t="s">
        <v>201</v>
      </c>
      <c r="P134" s="24" t="s">
        <v>73</v>
      </c>
      <c r="Q134" s="24"/>
      <c r="R134" s="24"/>
      <c r="S134" s="24"/>
      <c r="T134" s="24">
        <f>ROUND(IF(D134=Table!$C$3,V134*Table!$C$4/8,V134*Table!$D$4/8),3)</f>
        <v>37.293999999999997</v>
      </c>
      <c r="U134" s="24">
        <f>T134</f>
        <v>37.293999999999997</v>
      </c>
      <c r="V134" s="24">
        <v>2.2949999999999999</v>
      </c>
      <c r="W134" s="24">
        <v>2</v>
      </c>
      <c r="X134" s="24" t="s">
        <v>83</v>
      </c>
      <c r="Y134" s="28">
        <v>43910</v>
      </c>
      <c r="Z134" s="28">
        <v>43920</v>
      </c>
      <c r="AA134" s="28">
        <v>43913</v>
      </c>
      <c r="AB134" s="28">
        <v>43913</v>
      </c>
      <c r="AC134" s="28" t="s">
        <v>205</v>
      </c>
      <c r="AD134" s="121"/>
      <c r="AE134" s="121"/>
      <c r="AF134" s="55">
        <v>0.70299999999999996</v>
      </c>
      <c r="AG134" s="55">
        <v>0.70299999999999996</v>
      </c>
      <c r="AH134" s="55">
        <v>1</v>
      </c>
      <c r="AI134" s="24" t="s">
        <v>501</v>
      </c>
      <c r="AJ134" s="24"/>
      <c r="AK134" s="24"/>
    </row>
    <row r="135" spans="2:37" x14ac:dyDescent="0.25">
      <c r="B135" s="62">
        <v>91</v>
      </c>
      <c r="C135" s="25">
        <v>20200319</v>
      </c>
      <c r="D135" s="24" t="s">
        <v>2</v>
      </c>
      <c r="E135" s="24" t="s">
        <v>455</v>
      </c>
      <c r="F135" s="26" t="s">
        <v>70</v>
      </c>
      <c r="G135" s="24" t="s">
        <v>432</v>
      </c>
      <c r="H135" s="24" t="s">
        <v>365</v>
      </c>
      <c r="I135" s="24" t="s">
        <v>334</v>
      </c>
      <c r="J135" s="24" t="s">
        <v>70</v>
      </c>
      <c r="K135" s="24" t="s">
        <v>845</v>
      </c>
      <c r="L135" s="26" t="s">
        <v>416</v>
      </c>
      <c r="M135" s="26" t="s">
        <v>476</v>
      </c>
      <c r="N135" s="27" t="s">
        <v>594</v>
      </c>
      <c r="O135" s="25" t="s">
        <v>201</v>
      </c>
      <c r="P135" s="24" t="s">
        <v>73</v>
      </c>
      <c r="Q135" s="24"/>
      <c r="R135" s="24"/>
      <c r="S135" s="24"/>
      <c r="T135" s="24">
        <f>ROUND(IF(D135=Table!$C$3,V135*Table!$C$4/8,V135*Table!$D$4/8),3)</f>
        <v>26.244</v>
      </c>
      <c r="U135" s="24">
        <f>T135</f>
        <v>26.244</v>
      </c>
      <c r="V135" s="24">
        <v>1.615</v>
      </c>
      <c r="W135" s="24">
        <v>0.5</v>
      </c>
      <c r="X135" s="24" t="s">
        <v>83</v>
      </c>
      <c r="Y135" s="28">
        <v>43910</v>
      </c>
      <c r="Z135" s="28">
        <v>43920</v>
      </c>
      <c r="AA135" s="28">
        <v>43914</v>
      </c>
      <c r="AB135" s="28">
        <v>43914</v>
      </c>
      <c r="AC135" s="28" t="s">
        <v>204</v>
      </c>
      <c r="AD135" s="121"/>
      <c r="AE135" s="121"/>
      <c r="AF135" s="55">
        <v>1</v>
      </c>
      <c r="AG135" s="55">
        <v>1</v>
      </c>
      <c r="AH135" s="55">
        <v>1</v>
      </c>
      <c r="AI135" s="24"/>
      <c r="AJ135" s="24"/>
      <c r="AK135" s="24"/>
    </row>
    <row r="136" spans="2:37" x14ac:dyDescent="0.25">
      <c r="B136" s="62">
        <v>92</v>
      </c>
      <c r="C136" s="25">
        <v>20200319</v>
      </c>
      <c r="D136" s="24" t="s">
        <v>2</v>
      </c>
      <c r="E136" s="24" t="s">
        <v>455</v>
      </c>
      <c r="F136" s="26" t="s">
        <v>70</v>
      </c>
      <c r="G136" s="24" t="s">
        <v>145</v>
      </c>
      <c r="H136" s="24" t="s">
        <v>366</v>
      </c>
      <c r="I136" s="24" t="s">
        <v>334</v>
      </c>
      <c r="J136" s="24" t="s">
        <v>70</v>
      </c>
      <c r="K136" s="24" t="s">
        <v>845</v>
      </c>
      <c r="L136" s="26" t="s">
        <v>416</v>
      </c>
      <c r="M136" s="26" t="s">
        <v>476</v>
      </c>
      <c r="N136" s="27" t="s">
        <v>595</v>
      </c>
      <c r="O136" s="25" t="s">
        <v>201</v>
      </c>
      <c r="P136" s="24" t="s">
        <v>73</v>
      </c>
      <c r="Q136" s="24"/>
      <c r="R136" s="24"/>
      <c r="S136" s="24"/>
      <c r="T136" s="24">
        <f>ROUND(IF(D136=Table!$C$3,V136*Table!$C$4/8,V136*Table!$D$4/8),3)</f>
        <v>26.244</v>
      </c>
      <c r="U136" s="24">
        <f>T136</f>
        <v>26.244</v>
      </c>
      <c r="V136" s="24">
        <v>1.615</v>
      </c>
      <c r="W136" s="24">
        <v>1</v>
      </c>
      <c r="X136" s="24" t="s">
        <v>83</v>
      </c>
      <c r="Y136" s="28">
        <v>43910</v>
      </c>
      <c r="Z136" s="28">
        <v>43920</v>
      </c>
      <c r="AA136" s="28">
        <v>43913</v>
      </c>
      <c r="AB136" s="28">
        <v>43913</v>
      </c>
      <c r="AC136" s="28" t="s">
        <v>204</v>
      </c>
      <c r="AD136" s="121"/>
      <c r="AE136" s="121"/>
      <c r="AF136" s="55">
        <v>1</v>
      </c>
      <c r="AG136" s="55">
        <v>1</v>
      </c>
      <c r="AH136" s="55">
        <v>1</v>
      </c>
      <c r="AI136" s="24"/>
      <c r="AJ136" s="24"/>
      <c r="AK136" s="24"/>
    </row>
    <row r="137" spans="2:37" x14ac:dyDescent="0.25">
      <c r="B137" s="62">
        <v>93</v>
      </c>
      <c r="C137" s="25">
        <v>20200319</v>
      </c>
      <c r="D137" s="24" t="s">
        <v>2</v>
      </c>
      <c r="E137" s="24" t="s">
        <v>455</v>
      </c>
      <c r="F137" s="26" t="s">
        <v>70</v>
      </c>
      <c r="G137" s="24" t="s">
        <v>146</v>
      </c>
      <c r="H137" s="24" t="s">
        <v>367</v>
      </c>
      <c r="I137" s="24" t="s">
        <v>334</v>
      </c>
      <c r="J137" s="24" t="s">
        <v>70</v>
      </c>
      <c r="K137" s="24" t="s">
        <v>845</v>
      </c>
      <c r="L137" s="26" t="s">
        <v>416</v>
      </c>
      <c r="M137" s="26" t="s">
        <v>476</v>
      </c>
      <c r="N137" s="27" t="s">
        <v>596</v>
      </c>
      <c r="O137" s="25" t="s">
        <v>201</v>
      </c>
      <c r="P137" s="24" t="s">
        <v>73</v>
      </c>
      <c r="Q137" s="24"/>
      <c r="R137" s="24"/>
      <c r="S137" s="24"/>
      <c r="T137" s="24">
        <f>ROUND(IF(D137=Table!$C$3,V137*Table!$C$4/8,V137*Table!$D$4/8),3)</f>
        <v>26.244</v>
      </c>
      <c r="U137" s="24">
        <f t="shared" ref="U137:U150" si="16">T137</f>
        <v>26.244</v>
      </c>
      <c r="V137" s="24">
        <v>1.615</v>
      </c>
      <c r="W137" s="24">
        <v>1</v>
      </c>
      <c r="X137" s="24" t="s">
        <v>83</v>
      </c>
      <c r="Y137" s="28">
        <v>43910</v>
      </c>
      <c r="Z137" s="28">
        <v>43920</v>
      </c>
      <c r="AA137" s="28">
        <v>43913</v>
      </c>
      <c r="AB137" s="28">
        <v>43913</v>
      </c>
      <c r="AC137" s="28" t="s">
        <v>204</v>
      </c>
      <c r="AD137" s="121"/>
      <c r="AE137" s="121"/>
      <c r="AF137" s="55">
        <v>1</v>
      </c>
      <c r="AG137" s="55">
        <v>1</v>
      </c>
      <c r="AH137" s="55" t="s">
        <v>219</v>
      </c>
      <c r="AI137" s="24"/>
      <c r="AJ137" s="24"/>
      <c r="AK137" s="24"/>
    </row>
    <row r="138" spans="2:37" x14ac:dyDescent="0.25">
      <c r="B138" s="62">
        <v>94</v>
      </c>
      <c r="C138" s="25">
        <v>20200319</v>
      </c>
      <c r="D138" s="24" t="s">
        <v>2</v>
      </c>
      <c r="E138" s="24" t="s">
        <v>455</v>
      </c>
      <c r="F138" s="26" t="s">
        <v>70</v>
      </c>
      <c r="G138" s="24" t="s">
        <v>147</v>
      </c>
      <c r="H138" s="24" t="s">
        <v>368</v>
      </c>
      <c r="I138" s="24" t="s">
        <v>334</v>
      </c>
      <c r="J138" s="24" t="s">
        <v>70</v>
      </c>
      <c r="K138" s="24" t="s">
        <v>845</v>
      </c>
      <c r="L138" s="26" t="s">
        <v>415</v>
      </c>
      <c r="M138" s="26" t="s">
        <v>476</v>
      </c>
      <c r="N138" s="27" t="s">
        <v>597</v>
      </c>
      <c r="O138" s="25" t="s">
        <v>201</v>
      </c>
      <c r="P138" s="24" t="s">
        <v>73</v>
      </c>
      <c r="Q138" s="24"/>
      <c r="R138" s="24"/>
      <c r="S138" s="24"/>
      <c r="T138" s="24">
        <f>ROUND(IF(D138=Table!$C$3,V138*Table!$C$4/8,V138*Table!$D$4/8),3)</f>
        <v>26.244</v>
      </c>
      <c r="U138" s="24">
        <f t="shared" si="16"/>
        <v>26.244</v>
      </c>
      <c r="V138" s="24">
        <v>1.615</v>
      </c>
      <c r="W138" s="24">
        <v>2</v>
      </c>
      <c r="X138" s="24" t="s">
        <v>83</v>
      </c>
      <c r="Y138" s="28">
        <v>43910</v>
      </c>
      <c r="Z138" s="28">
        <v>43920</v>
      </c>
      <c r="AA138" s="28">
        <v>43913</v>
      </c>
      <c r="AB138" s="28">
        <v>43913</v>
      </c>
      <c r="AC138" s="28" t="s">
        <v>204</v>
      </c>
      <c r="AD138" s="121"/>
      <c r="AE138" s="121"/>
      <c r="AF138" s="55">
        <v>1</v>
      </c>
      <c r="AG138" s="55">
        <v>1</v>
      </c>
      <c r="AH138" s="55">
        <v>1</v>
      </c>
      <c r="AI138" s="24"/>
      <c r="AJ138" s="24"/>
      <c r="AK138" s="24"/>
    </row>
    <row r="139" spans="2:37" x14ac:dyDescent="0.25">
      <c r="B139" s="62">
        <v>95</v>
      </c>
      <c r="C139" s="25">
        <v>20200319</v>
      </c>
      <c r="D139" s="24" t="s">
        <v>2</v>
      </c>
      <c r="E139" s="24" t="s">
        <v>455</v>
      </c>
      <c r="F139" s="26" t="s">
        <v>70</v>
      </c>
      <c r="G139" s="24" t="s">
        <v>148</v>
      </c>
      <c r="H139" s="24" t="s">
        <v>369</v>
      </c>
      <c r="I139" s="24" t="s">
        <v>334</v>
      </c>
      <c r="J139" s="24" t="s">
        <v>70</v>
      </c>
      <c r="K139" s="24" t="s">
        <v>845</v>
      </c>
      <c r="L139" s="26" t="s">
        <v>416</v>
      </c>
      <c r="M139" s="26" t="s">
        <v>476</v>
      </c>
      <c r="N139" s="27" t="s">
        <v>598</v>
      </c>
      <c r="O139" s="25" t="s">
        <v>201</v>
      </c>
      <c r="P139" s="24" t="s">
        <v>73</v>
      </c>
      <c r="Q139" s="24"/>
      <c r="R139" s="24"/>
      <c r="S139" s="24"/>
      <c r="T139" s="24">
        <f>ROUND(IF(D139=Table!$C$3,V139*Table!$C$4/8,V139*Table!$D$4/8),3)</f>
        <v>26.244</v>
      </c>
      <c r="U139" s="24">
        <f t="shared" si="16"/>
        <v>26.244</v>
      </c>
      <c r="V139" s="24">
        <v>1.615</v>
      </c>
      <c r="W139" s="24">
        <v>2</v>
      </c>
      <c r="X139" s="24" t="s">
        <v>83</v>
      </c>
      <c r="Y139" s="28">
        <v>43910</v>
      </c>
      <c r="Z139" s="28">
        <v>43920</v>
      </c>
      <c r="AA139" s="28">
        <v>43913</v>
      </c>
      <c r="AB139" s="28">
        <v>43913</v>
      </c>
      <c r="AC139" s="28" t="s">
        <v>204</v>
      </c>
      <c r="AD139" s="121"/>
      <c r="AE139" s="121"/>
      <c r="AF139" s="55">
        <v>1</v>
      </c>
      <c r="AG139" s="55">
        <v>1</v>
      </c>
      <c r="AH139" s="55" t="s">
        <v>219</v>
      </c>
      <c r="AI139" s="24"/>
      <c r="AJ139" s="24"/>
      <c r="AK139" s="24"/>
    </row>
    <row r="140" spans="2:37" x14ac:dyDescent="0.25">
      <c r="B140" s="62">
        <v>96</v>
      </c>
      <c r="C140" s="25">
        <v>20200319</v>
      </c>
      <c r="D140" s="24" t="s">
        <v>2</v>
      </c>
      <c r="E140" s="24" t="s">
        <v>455</v>
      </c>
      <c r="F140" s="26" t="s">
        <v>70</v>
      </c>
      <c r="G140" s="24" t="s">
        <v>149</v>
      </c>
      <c r="H140" s="24" t="s">
        <v>370</v>
      </c>
      <c r="I140" s="24" t="s">
        <v>334</v>
      </c>
      <c r="J140" s="24" t="s">
        <v>70</v>
      </c>
      <c r="K140" s="24" t="s">
        <v>845</v>
      </c>
      <c r="L140" s="26" t="s">
        <v>415</v>
      </c>
      <c r="M140" s="26" t="s">
        <v>476</v>
      </c>
      <c r="N140" s="27" t="s">
        <v>599</v>
      </c>
      <c r="O140" s="25" t="s">
        <v>201</v>
      </c>
      <c r="P140" s="24" t="s">
        <v>73</v>
      </c>
      <c r="Q140" s="24"/>
      <c r="R140" s="24"/>
      <c r="S140" s="24"/>
      <c r="T140" s="24">
        <f>ROUND(IF(D140=Table!$C$3,V140*Table!$C$4/8,V140*Table!$D$4/8),3)</f>
        <v>26.244</v>
      </c>
      <c r="U140" s="24">
        <f t="shared" si="16"/>
        <v>26.244</v>
      </c>
      <c r="V140" s="24">
        <v>1.615</v>
      </c>
      <c r="W140" s="24">
        <v>2</v>
      </c>
      <c r="X140" s="24" t="s">
        <v>83</v>
      </c>
      <c r="Y140" s="28">
        <v>43910</v>
      </c>
      <c r="Z140" s="28">
        <v>43920</v>
      </c>
      <c r="AA140" s="28">
        <v>43913</v>
      </c>
      <c r="AB140" s="28">
        <v>43913</v>
      </c>
      <c r="AC140" s="28" t="s">
        <v>205</v>
      </c>
      <c r="AD140" s="121"/>
      <c r="AE140" s="121"/>
      <c r="AF140" s="55">
        <v>0.94599999999999995</v>
      </c>
      <c r="AG140" s="55">
        <v>0.95199999999999996</v>
      </c>
      <c r="AH140" s="55">
        <v>1</v>
      </c>
      <c r="AI140" s="24" t="s">
        <v>502</v>
      </c>
      <c r="AJ140" s="24"/>
      <c r="AK140" s="24"/>
    </row>
    <row r="141" spans="2:37" x14ac:dyDescent="0.25">
      <c r="B141" s="62">
        <v>97</v>
      </c>
      <c r="C141" s="25">
        <v>20200319</v>
      </c>
      <c r="D141" s="24" t="s">
        <v>2</v>
      </c>
      <c r="E141" s="24" t="s">
        <v>455</v>
      </c>
      <c r="F141" s="26" t="s">
        <v>70</v>
      </c>
      <c r="G141" s="24" t="s">
        <v>150</v>
      </c>
      <c r="H141" s="24" t="s">
        <v>371</v>
      </c>
      <c r="I141" s="24" t="s">
        <v>334</v>
      </c>
      <c r="J141" s="24" t="s">
        <v>70</v>
      </c>
      <c r="K141" s="24" t="s">
        <v>845</v>
      </c>
      <c r="L141" s="26" t="s">
        <v>415</v>
      </c>
      <c r="M141" s="26" t="s">
        <v>476</v>
      </c>
      <c r="N141" s="27" t="s">
        <v>600</v>
      </c>
      <c r="O141" s="25" t="s">
        <v>201</v>
      </c>
      <c r="P141" s="24" t="s">
        <v>73</v>
      </c>
      <c r="Q141" s="24"/>
      <c r="R141" s="24"/>
      <c r="S141" s="24"/>
      <c r="T141" s="24">
        <f>ROUND(IF(D141=Table!$C$3,V141*Table!$C$4/8,V141*Table!$D$4/8),3)</f>
        <v>37.293999999999997</v>
      </c>
      <c r="U141" s="24">
        <f t="shared" si="16"/>
        <v>37.293999999999997</v>
      </c>
      <c r="V141" s="24">
        <v>2.2949999999999999</v>
      </c>
      <c r="W141" s="24">
        <v>2</v>
      </c>
      <c r="X141" s="24" t="s">
        <v>83</v>
      </c>
      <c r="Y141" s="28">
        <v>43910</v>
      </c>
      <c r="Z141" s="28">
        <v>43920</v>
      </c>
      <c r="AA141" s="28">
        <v>43913</v>
      </c>
      <c r="AB141" s="28">
        <v>43913</v>
      </c>
      <c r="AC141" s="28" t="s">
        <v>205</v>
      </c>
      <c r="AD141" s="121"/>
      <c r="AE141" s="121"/>
      <c r="AF141" s="55">
        <v>0.84599999999999997</v>
      </c>
      <c r="AG141" s="55">
        <v>0.85699999999999998</v>
      </c>
      <c r="AH141" s="55" t="s">
        <v>219</v>
      </c>
      <c r="AI141" s="24" t="s">
        <v>503</v>
      </c>
      <c r="AJ141" s="24"/>
      <c r="AK141" s="24"/>
    </row>
    <row r="142" spans="2:37" x14ac:dyDescent="0.25">
      <c r="B142" s="62">
        <v>98</v>
      </c>
      <c r="C142" s="25">
        <v>20200319</v>
      </c>
      <c r="D142" s="24" t="s">
        <v>2</v>
      </c>
      <c r="E142" s="24" t="s">
        <v>455</v>
      </c>
      <c r="F142" s="26" t="s">
        <v>70</v>
      </c>
      <c r="G142" s="24" t="s">
        <v>151</v>
      </c>
      <c r="H142" s="24" t="s">
        <v>372</v>
      </c>
      <c r="I142" s="24" t="s">
        <v>334</v>
      </c>
      <c r="J142" s="24" t="s">
        <v>70</v>
      </c>
      <c r="K142" s="24" t="s">
        <v>845</v>
      </c>
      <c r="L142" s="26" t="s">
        <v>417</v>
      </c>
      <c r="M142" s="26" t="s">
        <v>476</v>
      </c>
      <c r="N142" s="27" t="s">
        <v>601</v>
      </c>
      <c r="O142" s="25" t="s">
        <v>201</v>
      </c>
      <c r="P142" s="24" t="s">
        <v>73</v>
      </c>
      <c r="Q142" s="24"/>
      <c r="R142" s="24"/>
      <c r="S142" s="24"/>
      <c r="T142" s="24">
        <f>ROUND(IF(D142=Table!$C$3,V142*Table!$C$4/8,V142*Table!$D$4/8),3)</f>
        <v>70.444000000000003</v>
      </c>
      <c r="U142" s="24">
        <f t="shared" si="16"/>
        <v>70.444000000000003</v>
      </c>
      <c r="V142" s="24">
        <v>4.335</v>
      </c>
      <c r="W142" s="24">
        <v>4</v>
      </c>
      <c r="X142" s="24" t="s">
        <v>83</v>
      </c>
      <c r="Y142" s="28">
        <v>43910</v>
      </c>
      <c r="Z142" s="28">
        <v>43920</v>
      </c>
      <c r="AA142" s="28">
        <v>43915</v>
      </c>
      <c r="AB142" s="28">
        <v>43915</v>
      </c>
      <c r="AC142" s="28" t="s">
        <v>204</v>
      </c>
      <c r="AD142" s="121"/>
      <c r="AE142" s="121"/>
      <c r="AF142" s="55">
        <v>1</v>
      </c>
      <c r="AG142" s="55">
        <v>1</v>
      </c>
      <c r="AH142" s="55">
        <v>1</v>
      </c>
      <c r="AI142" s="24"/>
      <c r="AJ142" s="24"/>
      <c r="AK142" s="24"/>
    </row>
    <row r="143" spans="2:37" x14ac:dyDescent="0.25">
      <c r="B143" s="62">
        <v>99</v>
      </c>
      <c r="C143" s="25">
        <v>20200319</v>
      </c>
      <c r="D143" s="24" t="s">
        <v>2</v>
      </c>
      <c r="E143" s="24" t="s">
        <v>455</v>
      </c>
      <c r="F143" s="26" t="s">
        <v>70</v>
      </c>
      <c r="G143" s="24" t="s">
        <v>152</v>
      </c>
      <c r="H143" s="24" t="s">
        <v>373</v>
      </c>
      <c r="I143" s="24" t="s">
        <v>334</v>
      </c>
      <c r="J143" s="24" t="s">
        <v>70</v>
      </c>
      <c r="K143" s="24" t="s">
        <v>845</v>
      </c>
      <c r="L143" s="26" t="s">
        <v>416</v>
      </c>
      <c r="M143" s="26" t="s">
        <v>476</v>
      </c>
      <c r="N143" s="27" t="s">
        <v>602</v>
      </c>
      <c r="O143" s="25" t="s">
        <v>201</v>
      </c>
      <c r="P143" s="24" t="s">
        <v>73</v>
      </c>
      <c r="Q143" s="24"/>
      <c r="R143" s="24"/>
      <c r="S143" s="24"/>
      <c r="T143" s="24">
        <f>ROUND(IF(D143=Table!$C$3,V143*Table!$C$4/8,V143*Table!$D$4/8),3)</f>
        <v>26.244</v>
      </c>
      <c r="U143" s="24">
        <f t="shared" si="16"/>
        <v>26.244</v>
      </c>
      <c r="V143" s="24">
        <v>1.615</v>
      </c>
      <c r="W143" s="24">
        <v>2</v>
      </c>
      <c r="X143" s="24" t="s">
        <v>83</v>
      </c>
      <c r="Y143" s="28">
        <v>43910</v>
      </c>
      <c r="Z143" s="28">
        <v>43920</v>
      </c>
      <c r="AA143" s="28">
        <v>43913</v>
      </c>
      <c r="AB143" s="28">
        <v>43913</v>
      </c>
      <c r="AC143" s="28" t="s">
        <v>204</v>
      </c>
      <c r="AD143" s="121"/>
      <c r="AE143" s="121"/>
      <c r="AF143" s="55">
        <v>1</v>
      </c>
      <c r="AG143" s="55">
        <v>1</v>
      </c>
      <c r="AH143" s="55" t="s">
        <v>219</v>
      </c>
      <c r="AI143" s="24"/>
      <c r="AJ143" s="24"/>
      <c r="AK143" s="24"/>
    </row>
    <row r="144" spans="2:37" x14ac:dyDescent="0.25">
      <c r="B144" s="62">
        <v>100</v>
      </c>
      <c r="C144" s="25">
        <v>20200319</v>
      </c>
      <c r="D144" s="24" t="s">
        <v>2</v>
      </c>
      <c r="E144" s="24" t="s">
        <v>455</v>
      </c>
      <c r="F144" s="26" t="s">
        <v>70</v>
      </c>
      <c r="G144" s="24" t="s">
        <v>153</v>
      </c>
      <c r="H144" s="24" t="s">
        <v>374</v>
      </c>
      <c r="I144" s="24" t="s">
        <v>334</v>
      </c>
      <c r="J144" s="24" t="s">
        <v>70</v>
      </c>
      <c r="K144" s="24" t="s">
        <v>845</v>
      </c>
      <c r="L144" s="26" t="s">
        <v>416</v>
      </c>
      <c r="M144" s="26" t="s">
        <v>476</v>
      </c>
      <c r="N144" s="27" t="s">
        <v>603</v>
      </c>
      <c r="O144" s="25" t="s">
        <v>201</v>
      </c>
      <c r="P144" s="24" t="s">
        <v>73</v>
      </c>
      <c r="Q144" s="24"/>
      <c r="R144" s="24"/>
      <c r="S144" s="24"/>
      <c r="T144" s="24">
        <f>ROUND(IF(D144=Table!$C$3,V144*Table!$C$4/8,V144*Table!$D$4/8),3)</f>
        <v>48.344000000000001</v>
      </c>
      <c r="U144" s="24">
        <f t="shared" si="16"/>
        <v>48.344000000000001</v>
      </c>
      <c r="V144" s="24">
        <v>2.9750000000000001</v>
      </c>
      <c r="W144" s="24">
        <v>1</v>
      </c>
      <c r="X144" s="24" t="s">
        <v>83</v>
      </c>
      <c r="Y144" s="28">
        <v>43910</v>
      </c>
      <c r="Z144" s="28">
        <v>43920</v>
      </c>
      <c r="AA144" s="28">
        <v>43914</v>
      </c>
      <c r="AB144" s="28">
        <v>43914</v>
      </c>
      <c r="AC144" s="81" t="s">
        <v>204</v>
      </c>
      <c r="AD144" s="121"/>
      <c r="AE144" s="121"/>
      <c r="AF144" s="55">
        <v>1</v>
      </c>
      <c r="AG144" s="55">
        <v>1</v>
      </c>
      <c r="AH144" s="55">
        <v>1</v>
      </c>
      <c r="AI144" s="24"/>
      <c r="AJ144" s="24"/>
      <c r="AK144" s="24"/>
    </row>
    <row r="145" spans="2:37" x14ac:dyDescent="0.25">
      <c r="B145" s="62">
        <v>101</v>
      </c>
      <c r="C145" s="25">
        <v>20200319</v>
      </c>
      <c r="D145" s="24" t="s">
        <v>2</v>
      </c>
      <c r="E145" s="24" t="s">
        <v>455</v>
      </c>
      <c r="F145" s="26" t="s">
        <v>70</v>
      </c>
      <c r="G145" s="24" t="s">
        <v>154</v>
      </c>
      <c r="H145" s="24" t="s">
        <v>375</v>
      </c>
      <c r="I145" s="24" t="s">
        <v>334</v>
      </c>
      <c r="J145" s="24" t="s">
        <v>70</v>
      </c>
      <c r="K145" s="24" t="s">
        <v>845</v>
      </c>
      <c r="L145" s="26" t="s">
        <v>415</v>
      </c>
      <c r="M145" s="26" t="s">
        <v>476</v>
      </c>
      <c r="N145" s="27" t="s">
        <v>604</v>
      </c>
      <c r="O145" s="25" t="s">
        <v>201</v>
      </c>
      <c r="P145" s="24" t="s">
        <v>73</v>
      </c>
      <c r="Q145" s="24"/>
      <c r="R145" s="24"/>
      <c r="S145" s="24"/>
      <c r="T145" s="24">
        <f>ROUND(IF(D145=Table!$C$3,V145*Table!$C$4/8,V145*Table!$D$4/8),3)</f>
        <v>26.244</v>
      </c>
      <c r="U145" s="24">
        <f t="shared" si="16"/>
        <v>26.244</v>
      </c>
      <c r="V145" s="24">
        <v>1.615</v>
      </c>
      <c r="W145" s="24">
        <v>0.5</v>
      </c>
      <c r="X145" s="24" t="s">
        <v>83</v>
      </c>
      <c r="Y145" s="28">
        <v>43910</v>
      </c>
      <c r="Z145" s="28">
        <v>43920</v>
      </c>
      <c r="AA145" s="28">
        <v>43914</v>
      </c>
      <c r="AB145" s="28">
        <v>43914</v>
      </c>
      <c r="AC145" s="81" t="s">
        <v>204</v>
      </c>
      <c r="AD145" s="121"/>
      <c r="AE145" s="121"/>
      <c r="AF145" s="55">
        <v>1</v>
      </c>
      <c r="AG145" s="55">
        <v>1</v>
      </c>
      <c r="AH145" s="55">
        <v>1</v>
      </c>
      <c r="AI145" s="24"/>
      <c r="AJ145" s="24"/>
      <c r="AK145" s="24"/>
    </row>
    <row r="146" spans="2:37" x14ac:dyDescent="0.25">
      <c r="B146" s="62">
        <v>102</v>
      </c>
      <c r="C146" s="25">
        <v>20200319</v>
      </c>
      <c r="D146" s="24" t="s">
        <v>2</v>
      </c>
      <c r="E146" s="24" t="s">
        <v>455</v>
      </c>
      <c r="F146" s="26" t="s">
        <v>70</v>
      </c>
      <c r="G146" s="24" t="s">
        <v>155</v>
      </c>
      <c r="H146" s="24" t="s">
        <v>376</v>
      </c>
      <c r="I146" s="24" t="s">
        <v>334</v>
      </c>
      <c r="J146" s="24" t="s">
        <v>70</v>
      </c>
      <c r="K146" s="24" t="s">
        <v>845</v>
      </c>
      <c r="L146" s="26" t="s">
        <v>415</v>
      </c>
      <c r="M146" s="26" t="s">
        <v>476</v>
      </c>
      <c r="N146" s="27" t="s">
        <v>605</v>
      </c>
      <c r="O146" s="25" t="s">
        <v>201</v>
      </c>
      <c r="P146" s="24" t="s">
        <v>73</v>
      </c>
      <c r="Q146" s="24"/>
      <c r="R146" s="24"/>
      <c r="S146" s="24"/>
      <c r="T146" s="24">
        <f>ROUND(IF(D146=Table!$C$3,V146*Table!$C$4/8,V146*Table!$D$4/8),3)</f>
        <v>26.244</v>
      </c>
      <c r="U146" s="24">
        <f t="shared" si="16"/>
        <v>26.244</v>
      </c>
      <c r="V146" s="24">
        <v>1.615</v>
      </c>
      <c r="W146" s="24">
        <v>0.5</v>
      </c>
      <c r="X146" s="24" t="s">
        <v>83</v>
      </c>
      <c r="Y146" s="28">
        <v>43910</v>
      </c>
      <c r="Z146" s="28">
        <v>43920</v>
      </c>
      <c r="AA146" s="28">
        <v>43914</v>
      </c>
      <c r="AB146" s="28">
        <v>43914</v>
      </c>
      <c r="AC146" s="81" t="s">
        <v>205</v>
      </c>
      <c r="AD146" s="121"/>
      <c r="AE146" s="121"/>
      <c r="AF146" s="55">
        <v>1</v>
      </c>
      <c r="AG146" s="55">
        <v>1</v>
      </c>
      <c r="AH146" s="55">
        <v>0.875</v>
      </c>
      <c r="AI146" s="24" t="s">
        <v>643</v>
      </c>
      <c r="AJ146" s="24"/>
      <c r="AK146" s="24"/>
    </row>
    <row r="147" spans="2:37" x14ac:dyDescent="0.25">
      <c r="B147" s="62">
        <v>103</v>
      </c>
      <c r="C147" s="25">
        <v>20200319</v>
      </c>
      <c r="D147" s="24" t="s">
        <v>2</v>
      </c>
      <c r="E147" s="24" t="s">
        <v>455</v>
      </c>
      <c r="F147" s="26" t="s">
        <v>70</v>
      </c>
      <c r="G147" s="24" t="s">
        <v>156</v>
      </c>
      <c r="H147" s="24" t="s">
        <v>377</v>
      </c>
      <c r="I147" s="24" t="s">
        <v>334</v>
      </c>
      <c r="J147" s="24" t="s">
        <v>70</v>
      </c>
      <c r="K147" s="24" t="s">
        <v>845</v>
      </c>
      <c r="L147" s="26" t="s">
        <v>417</v>
      </c>
      <c r="M147" s="26" t="s">
        <v>476</v>
      </c>
      <c r="N147" s="27" t="s">
        <v>606</v>
      </c>
      <c r="O147" s="25" t="s">
        <v>201</v>
      </c>
      <c r="P147" s="24" t="s">
        <v>73</v>
      </c>
      <c r="Q147" s="24"/>
      <c r="R147" s="24"/>
      <c r="S147" s="24"/>
      <c r="T147" s="24">
        <f>ROUND(IF(D147=Table!$C$3,V147*Table!$C$4/8,V147*Table!$D$4/8),3)</f>
        <v>26.244</v>
      </c>
      <c r="U147" s="24">
        <f t="shared" si="16"/>
        <v>26.244</v>
      </c>
      <c r="V147" s="24">
        <v>1.615</v>
      </c>
      <c r="W147" s="24">
        <v>0.5</v>
      </c>
      <c r="X147" s="24" t="s">
        <v>83</v>
      </c>
      <c r="Y147" s="28">
        <v>43910</v>
      </c>
      <c r="Z147" s="28">
        <v>43920</v>
      </c>
      <c r="AA147" s="28">
        <v>43914</v>
      </c>
      <c r="AB147" s="28">
        <v>43914</v>
      </c>
      <c r="AC147" s="81" t="s">
        <v>205</v>
      </c>
      <c r="AD147" s="121"/>
      <c r="AE147" s="121"/>
      <c r="AF147" s="55">
        <v>0.77300000000000002</v>
      </c>
      <c r="AG147" s="55">
        <v>0.77300000000000002</v>
      </c>
      <c r="AH147" s="55" t="s">
        <v>219</v>
      </c>
      <c r="AI147" s="24" t="s">
        <v>644</v>
      </c>
      <c r="AJ147" s="24"/>
      <c r="AK147" s="24"/>
    </row>
    <row r="148" spans="2:37" x14ac:dyDescent="0.25">
      <c r="B148" s="62">
        <v>104</v>
      </c>
      <c r="C148" s="25">
        <v>20200319</v>
      </c>
      <c r="D148" s="24" t="s">
        <v>2</v>
      </c>
      <c r="E148" s="24" t="s">
        <v>455</v>
      </c>
      <c r="F148" s="26" t="s">
        <v>70</v>
      </c>
      <c r="G148" s="24" t="s">
        <v>157</v>
      </c>
      <c r="H148" s="24" t="s">
        <v>378</v>
      </c>
      <c r="I148" s="24" t="s">
        <v>334</v>
      </c>
      <c r="J148" s="24" t="s">
        <v>70</v>
      </c>
      <c r="K148" s="24" t="s">
        <v>845</v>
      </c>
      <c r="L148" s="26" t="s">
        <v>415</v>
      </c>
      <c r="M148" s="26" t="s">
        <v>476</v>
      </c>
      <c r="N148" s="27" t="s">
        <v>607</v>
      </c>
      <c r="O148" s="25" t="s">
        <v>201</v>
      </c>
      <c r="P148" s="24" t="s">
        <v>73</v>
      </c>
      <c r="Q148" s="24"/>
      <c r="R148" s="24"/>
      <c r="S148" s="24"/>
      <c r="T148" s="24">
        <f>ROUND(IF(D148=Table!$C$3,V148*Table!$C$4/8,V148*Table!$D$4/8),3)</f>
        <v>26.244</v>
      </c>
      <c r="U148" s="24">
        <f t="shared" si="16"/>
        <v>26.244</v>
      </c>
      <c r="V148" s="24">
        <v>1.615</v>
      </c>
      <c r="W148" s="24">
        <v>1</v>
      </c>
      <c r="X148" s="24" t="s">
        <v>83</v>
      </c>
      <c r="Y148" s="28">
        <v>43910</v>
      </c>
      <c r="Z148" s="28">
        <v>43920</v>
      </c>
      <c r="AA148" s="28">
        <v>43914</v>
      </c>
      <c r="AB148" s="28">
        <v>43914</v>
      </c>
      <c r="AC148" s="81" t="s">
        <v>205</v>
      </c>
      <c r="AD148" s="121"/>
      <c r="AE148" s="121"/>
      <c r="AF148" s="55">
        <v>0.8</v>
      </c>
      <c r="AG148" s="55">
        <v>0.81799999999999995</v>
      </c>
      <c r="AH148" s="55">
        <v>1</v>
      </c>
      <c r="AI148" s="24" t="s">
        <v>645</v>
      </c>
      <c r="AJ148" s="24"/>
      <c r="AK148" s="24"/>
    </row>
    <row r="149" spans="2:37" x14ac:dyDescent="0.25">
      <c r="B149" s="62">
        <v>105</v>
      </c>
      <c r="C149" s="25">
        <v>20200319</v>
      </c>
      <c r="D149" s="24" t="s">
        <v>2</v>
      </c>
      <c r="E149" s="24" t="s">
        <v>455</v>
      </c>
      <c r="F149" s="26" t="s">
        <v>70</v>
      </c>
      <c r="G149" s="24" t="s">
        <v>299</v>
      </c>
      <c r="H149" s="24" t="s">
        <v>379</v>
      </c>
      <c r="I149" s="24" t="s">
        <v>334</v>
      </c>
      <c r="J149" s="24" t="s">
        <v>70</v>
      </c>
      <c r="K149" s="24" t="s">
        <v>845</v>
      </c>
      <c r="L149" s="26" t="s">
        <v>415</v>
      </c>
      <c r="M149" s="26" t="s">
        <v>476</v>
      </c>
      <c r="N149" s="27" t="s">
        <v>608</v>
      </c>
      <c r="O149" s="25" t="s">
        <v>201</v>
      </c>
      <c r="P149" s="24" t="s">
        <v>73</v>
      </c>
      <c r="Q149" s="24"/>
      <c r="R149" s="24"/>
      <c r="S149" s="24"/>
      <c r="T149" s="24">
        <f>ROUND(IF(D149=Table!$C$3,V149*Table!$C$4/8,V149*Table!$D$4/8),3)</f>
        <v>26.244</v>
      </c>
      <c r="U149" s="24">
        <f t="shared" si="16"/>
        <v>26.244</v>
      </c>
      <c r="V149" s="24">
        <v>1.615</v>
      </c>
      <c r="W149" s="24">
        <v>1</v>
      </c>
      <c r="X149" s="24" t="s">
        <v>83</v>
      </c>
      <c r="Y149" s="28">
        <v>43910</v>
      </c>
      <c r="Z149" s="28">
        <v>43920</v>
      </c>
      <c r="AA149" s="28">
        <v>43914</v>
      </c>
      <c r="AB149" s="28">
        <v>43914</v>
      </c>
      <c r="AC149" s="81" t="s">
        <v>204</v>
      </c>
      <c r="AD149" s="121"/>
      <c r="AE149" s="121"/>
      <c r="AF149" s="55">
        <v>1</v>
      </c>
      <c r="AG149" s="55">
        <v>1</v>
      </c>
      <c r="AH149" s="55">
        <v>1</v>
      </c>
      <c r="AI149" s="24"/>
      <c r="AJ149" s="24"/>
      <c r="AK149" s="24"/>
    </row>
    <row r="150" spans="2:37" x14ac:dyDescent="0.25">
      <c r="B150" s="62">
        <v>106</v>
      </c>
      <c r="C150" s="25">
        <v>20200319</v>
      </c>
      <c r="D150" s="24" t="s">
        <v>2</v>
      </c>
      <c r="E150" s="24" t="s">
        <v>455</v>
      </c>
      <c r="F150" s="26" t="s">
        <v>70</v>
      </c>
      <c r="G150" s="24" t="s">
        <v>158</v>
      </c>
      <c r="H150" s="24" t="s">
        <v>380</v>
      </c>
      <c r="I150" s="24" t="s">
        <v>334</v>
      </c>
      <c r="J150" s="24" t="s">
        <v>70</v>
      </c>
      <c r="K150" s="24" t="s">
        <v>845</v>
      </c>
      <c r="L150" s="26" t="s">
        <v>415</v>
      </c>
      <c r="M150" s="26" t="s">
        <v>476</v>
      </c>
      <c r="N150" s="27" t="s">
        <v>609</v>
      </c>
      <c r="O150" s="25" t="s">
        <v>201</v>
      </c>
      <c r="P150" s="24" t="s">
        <v>73</v>
      </c>
      <c r="Q150" s="24"/>
      <c r="R150" s="24"/>
      <c r="S150" s="24"/>
      <c r="T150" s="24">
        <f>ROUND(IF(D150=Table!$C$3,V150*Table!$C$4/8,V150*Table!$D$4/8),3)</f>
        <v>64.918999999999997</v>
      </c>
      <c r="U150" s="24">
        <f t="shared" si="16"/>
        <v>64.918999999999997</v>
      </c>
      <c r="V150" s="24">
        <v>3.9950000000000001</v>
      </c>
      <c r="W150" s="24">
        <v>2</v>
      </c>
      <c r="X150" s="24" t="s">
        <v>102</v>
      </c>
      <c r="Y150" s="28">
        <v>43910</v>
      </c>
      <c r="Z150" s="28">
        <v>43920</v>
      </c>
      <c r="AA150" s="28">
        <v>43916</v>
      </c>
      <c r="AB150" s="28">
        <v>43916</v>
      </c>
      <c r="AC150" s="28" t="s">
        <v>205</v>
      </c>
      <c r="AD150" s="121"/>
      <c r="AE150" s="121"/>
      <c r="AF150" s="55">
        <v>1</v>
      </c>
      <c r="AG150" s="55">
        <v>1</v>
      </c>
      <c r="AH150" s="55">
        <v>1</v>
      </c>
      <c r="AI150" s="24" t="s">
        <v>653</v>
      </c>
      <c r="AJ150" s="24"/>
      <c r="AK150" s="24"/>
    </row>
    <row r="151" spans="2:37" x14ac:dyDescent="0.25">
      <c r="B151" s="62">
        <v>107</v>
      </c>
      <c r="C151" s="25">
        <v>20200319</v>
      </c>
      <c r="D151" s="24" t="s">
        <v>2</v>
      </c>
      <c r="E151" s="24" t="s">
        <v>455</v>
      </c>
      <c r="F151" s="26" t="s">
        <v>70</v>
      </c>
      <c r="G151" s="24" t="s">
        <v>159</v>
      </c>
      <c r="H151" s="24" t="s">
        <v>381</v>
      </c>
      <c r="I151" s="24" t="s">
        <v>334</v>
      </c>
      <c r="J151" s="24" t="s">
        <v>70</v>
      </c>
      <c r="K151" s="24" t="s">
        <v>845</v>
      </c>
      <c r="L151" s="26" t="s">
        <v>415</v>
      </c>
      <c r="M151" s="26" t="s">
        <v>476</v>
      </c>
      <c r="N151" s="27" t="s">
        <v>610</v>
      </c>
      <c r="O151" s="25" t="s">
        <v>201</v>
      </c>
      <c r="P151" s="24" t="s">
        <v>73</v>
      </c>
      <c r="Q151" s="24"/>
      <c r="R151" s="24"/>
      <c r="S151" s="24"/>
      <c r="T151" s="24">
        <f>ROUND(IF(D151=Table!$C$3,V151*Table!$C$4/8,V151*Table!$D$4/8),3)</f>
        <v>103.59399999999999</v>
      </c>
      <c r="U151" s="24">
        <f>T151</f>
        <v>103.59399999999999</v>
      </c>
      <c r="V151" s="24">
        <v>6.375</v>
      </c>
      <c r="W151" s="24">
        <v>1</v>
      </c>
      <c r="X151" s="24" t="s">
        <v>83</v>
      </c>
      <c r="Y151" s="28">
        <v>43910</v>
      </c>
      <c r="Z151" s="28">
        <v>43920</v>
      </c>
      <c r="AA151" s="28">
        <v>43914</v>
      </c>
      <c r="AB151" s="28">
        <v>43914</v>
      </c>
      <c r="AC151" s="81" t="s">
        <v>205</v>
      </c>
      <c r="AD151" s="121"/>
      <c r="AE151" s="121"/>
      <c r="AF151" s="55">
        <v>0.94599999999999995</v>
      </c>
      <c r="AG151" s="55">
        <v>0.95199999999999996</v>
      </c>
      <c r="AH151" s="55">
        <v>1</v>
      </c>
      <c r="AI151" s="24" t="s">
        <v>646</v>
      </c>
      <c r="AJ151" s="24"/>
      <c r="AK151" s="24"/>
    </row>
    <row r="152" spans="2:37" x14ac:dyDescent="0.25">
      <c r="B152" s="62">
        <v>108</v>
      </c>
      <c r="C152" s="25">
        <v>20200319</v>
      </c>
      <c r="D152" s="24" t="s">
        <v>2</v>
      </c>
      <c r="E152" s="24" t="s">
        <v>455</v>
      </c>
      <c r="F152" s="26" t="s">
        <v>70</v>
      </c>
      <c r="G152" s="24" t="s">
        <v>160</v>
      </c>
      <c r="H152" s="24" t="s">
        <v>382</v>
      </c>
      <c r="I152" s="24" t="s">
        <v>334</v>
      </c>
      <c r="J152" s="24" t="s">
        <v>70</v>
      </c>
      <c r="K152" s="24" t="s">
        <v>845</v>
      </c>
      <c r="L152" s="26" t="s">
        <v>415</v>
      </c>
      <c r="M152" s="26" t="s">
        <v>476</v>
      </c>
      <c r="N152" s="27" t="s">
        <v>611</v>
      </c>
      <c r="O152" s="25" t="s">
        <v>201</v>
      </c>
      <c r="P152" s="24" t="s">
        <v>73</v>
      </c>
      <c r="Q152" s="24"/>
      <c r="R152" s="24"/>
      <c r="S152" s="24"/>
      <c r="T152" s="24">
        <f>ROUND(IF(D152=Table!$C$3,V152*Table!$C$4/8,V152*Table!$D$4/8),3)</f>
        <v>26.244</v>
      </c>
      <c r="U152" s="24">
        <f>T152</f>
        <v>26.244</v>
      </c>
      <c r="V152" s="24">
        <v>1.615</v>
      </c>
      <c r="W152" s="24">
        <v>1</v>
      </c>
      <c r="X152" s="24" t="s">
        <v>83</v>
      </c>
      <c r="Y152" s="28">
        <v>43910</v>
      </c>
      <c r="Z152" s="28">
        <v>43920</v>
      </c>
      <c r="AA152" s="28">
        <v>43914</v>
      </c>
      <c r="AB152" s="28">
        <v>43914</v>
      </c>
      <c r="AC152" s="81" t="s">
        <v>204</v>
      </c>
      <c r="AD152" s="121"/>
      <c r="AE152" s="121"/>
      <c r="AF152" s="55">
        <v>1</v>
      </c>
      <c r="AG152" s="55">
        <v>1</v>
      </c>
      <c r="AH152" s="55">
        <v>1</v>
      </c>
      <c r="AI152" s="24"/>
      <c r="AJ152" s="24"/>
      <c r="AK152" s="24"/>
    </row>
    <row r="153" spans="2:37" x14ac:dyDescent="0.25">
      <c r="B153" s="62">
        <v>109</v>
      </c>
      <c r="C153" s="25">
        <v>20200319</v>
      </c>
      <c r="D153" s="24" t="s">
        <v>2</v>
      </c>
      <c r="E153" s="24" t="s">
        <v>455</v>
      </c>
      <c r="F153" s="26" t="s">
        <v>70</v>
      </c>
      <c r="G153" s="24" t="s">
        <v>300</v>
      </c>
      <c r="H153" s="24" t="s">
        <v>383</v>
      </c>
      <c r="I153" s="24" t="s">
        <v>335</v>
      </c>
      <c r="J153" s="24" t="s">
        <v>70</v>
      </c>
      <c r="K153" s="24" t="s">
        <v>845</v>
      </c>
      <c r="L153" s="26" t="s">
        <v>415</v>
      </c>
      <c r="M153" s="26" t="s">
        <v>476</v>
      </c>
      <c r="N153" s="27" t="s">
        <v>612</v>
      </c>
      <c r="O153" s="25" t="s">
        <v>201</v>
      </c>
      <c r="P153" s="24" t="s">
        <v>73</v>
      </c>
      <c r="Q153" s="24"/>
      <c r="R153" s="24"/>
      <c r="S153" s="24"/>
      <c r="T153" s="24">
        <f>ROUND(IF(D153=Table!$C$3,V153*Table!$C$4/8,V153*Table!$D$4/8),3)</f>
        <v>48.344000000000001</v>
      </c>
      <c r="U153" s="24">
        <f t="shared" ref="U153:U154" si="17">T153</f>
        <v>48.344000000000001</v>
      </c>
      <c r="V153" s="24">
        <v>2.9750000000000001</v>
      </c>
      <c r="W153" s="24">
        <v>2</v>
      </c>
      <c r="X153" s="24" t="s">
        <v>83</v>
      </c>
      <c r="Y153" s="28">
        <v>43910</v>
      </c>
      <c r="Z153" s="28">
        <v>43920</v>
      </c>
      <c r="AA153" s="28">
        <v>43916</v>
      </c>
      <c r="AB153" s="28">
        <v>43916</v>
      </c>
      <c r="AC153" s="28" t="s">
        <v>205</v>
      </c>
      <c r="AD153" s="121"/>
      <c r="AE153" s="121"/>
      <c r="AF153" s="55">
        <v>0.879</v>
      </c>
      <c r="AG153" s="55">
        <v>0.89700000000000002</v>
      </c>
      <c r="AH153" s="55">
        <v>1</v>
      </c>
      <c r="AI153" s="24" t="s">
        <v>651</v>
      </c>
      <c r="AJ153" s="24"/>
      <c r="AK153" s="24"/>
    </row>
    <row r="154" spans="2:37" x14ac:dyDescent="0.25">
      <c r="B154" s="62">
        <v>110</v>
      </c>
      <c r="C154" s="25">
        <v>20200319</v>
      </c>
      <c r="D154" s="24" t="s">
        <v>2</v>
      </c>
      <c r="E154" s="24" t="s">
        <v>455</v>
      </c>
      <c r="F154" s="26" t="s">
        <v>70</v>
      </c>
      <c r="G154" s="24" t="s">
        <v>433</v>
      </c>
      <c r="H154" s="24" t="s">
        <v>384</v>
      </c>
      <c r="I154" s="24" t="s">
        <v>334</v>
      </c>
      <c r="J154" s="24" t="s">
        <v>70</v>
      </c>
      <c r="K154" s="24" t="s">
        <v>845</v>
      </c>
      <c r="L154" s="26" t="s">
        <v>415</v>
      </c>
      <c r="M154" s="26" t="s">
        <v>476</v>
      </c>
      <c r="N154" s="27" t="s">
        <v>613</v>
      </c>
      <c r="O154" s="25" t="s">
        <v>201</v>
      </c>
      <c r="P154" s="24" t="s">
        <v>73</v>
      </c>
      <c r="Q154" s="24"/>
      <c r="R154" s="24"/>
      <c r="S154" s="24"/>
      <c r="T154" s="24">
        <f>ROUND(IF(D154=Table!$C$3,V154*Table!$C$4/8,V154*Table!$D$4/8),3)</f>
        <v>81.494</v>
      </c>
      <c r="U154" s="24">
        <f t="shared" si="17"/>
        <v>81.494</v>
      </c>
      <c r="V154" s="24">
        <v>5.0150000000000006</v>
      </c>
      <c r="W154" s="24">
        <v>4</v>
      </c>
      <c r="X154" s="24" t="s">
        <v>83</v>
      </c>
      <c r="Y154" s="28">
        <v>43910</v>
      </c>
      <c r="Z154" s="28">
        <v>43920</v>
      </c>
      <c r="AA154" s="28">
        <v>43915</v>
      </c>
      <c r="AB154" s="28">
        <v>43915</v>
      </c>
      <c r="AC154" s="28" t="s">
        <v>205</v>
      </c>
      <c r="AD154" s="121"/>
      <c r="AE154" s="121"/>
      <c r="AF154" s="55">
        <v>0.879</v>
      </c>
      <c r="AG154" s="55">
        <v>0.88900000000000001</v>
      </c>
      <c r="AH154" s="55">
        <v>1</v>
      </c>
      <c r="AI154" s="24" t="s">
        <v>652</v>
      </c>
      <c r="AJ154" s="24"/>
      <c r="AK154" s="24"/>
    </row>
    <row r="155" spans="2:37" x14ac:dyDescent="0.25">
      <c r="B155" s="62">
        <v>111</v>
      </c>
      <c r="C155" s="25">
        <v>20200319</v>
      </c>
      <c r="D155" s="24" t="s">
        <v>2</v>
      </c>
      <c r="E155" s="24" t="s">
        <v>455</v>
      </c>
      <c r="F155" s="26" t="s">
        <v>70</v>
      </c>
      <c r="G155" s="24" t="s">
        <v>161</v>
      </c>
      <c r="H155" s="24" t="s">
        <v>385</v>
      </c>
      <c r="I155" s="24" t="s">
        <v>334</v>
      </c>
      <c r="J155" s="24" t="s">
        <v>70</v>
      </c>
      <c r="K155" s="24" t="s">
        <v>845</v>
      </c>
      <c r="L155" s="26" t="s">
        <v>415</v>
      </c>
      <c r="M155" s="26" t="s">
        <v>476</v>
      </c>
      <c r="N155" s="27" t="s">
        <v>614</v>
      </c>
      <c r="O155" s="25" t="s">
        <v>201</v>
      </c>
      <c r="P155" s="24" t="s">
        <v>73</v>
      </c>
      <c r="Q155" s="24"/>
      <c r="R155" s="24"/>
      <c r="S155" s="24"/>
      <c r="T155" s="24">
        <f>ROUND(IF(D155=Table!$C$3,V155*Table!$C$4/8,V155*Table!$D$4/8),3)</f>
        <v>26.244</v>
      </c>
      <c r="U155" s="24">
        <f>T155</f>
        <v>26.244</v>
      </c>
      <c r="V155" s="24">
        <v>1.615</v>
      </c>
      <c r="W155" s="24">
        <v>1</v>
      </c>
      <c r="X155" s="24" t="s">
        <v>83</v>
      </c>
      <c r="Y155" s="28">
        <v>43910</v>
      </c>
      <c r="Z155" s="28">
        <v>43920</v>
      </c>
      <c r="AA155" s="28">
        <v>43914</v>
      </c>
      <c r="AB155" s="28">
        <v>43914</v>
      </c>
      <c r="AC155" s="81" t="s">
        <v>204</v>
      </c>
      <c r="AD155" s="121"/>
      <c r="AE155" s="121"/>
      <c r="AF155" s="55">
        <v>1</v>
      </c>
      <c r="AG155" s="55">
        <v>1</v>
      </c>
      <c r="AH155" s="55">
        <v>1</v>
      </c>
      <c r="AI155" s="24"/>
      <c r="AJ155" s="24"/>
      <c r="AK155" s="24"/>
    </row>
    <row r="156" spans="2:37" x14ac:dyDescent="0.25">
      <c r="B156" s="62">
        <v>112</v>
      </c>
      <c r="C156" s="25">
        <v>20200319</v>
      </c>
      <c r="D156" s="24" t="s">
        <v>2</v>
      </c>
      <c r="E156" s="24" t="s">
        <v>455</v>
      </c>
      <c r="F156" s="26" t="s">
        <v>70</v>
      </c>
      <c r="G156" s="24" t="s">
        <v>434</v>
      </c>
      <c r="H156" s="24" t="s">
        <v>386</v>
      </c>
      <c r="I156" s="24" t="s">
        <v>334</v>
      </c>
      <c r="J156" s="24" t="s">
        <v>70</v>
      </c>
      <c r="K156" s="24" t="s">
        <v>845</v>
      </c>
      <c r="L156" s="26" t="s">
        <v>418</v>
      </c>
      <c r="M156" s="26" t="s">
        <v>476</v>
      </c>
      <c r="N156" s="27" t="s">
        <v>615</v>
      </c>
      <c r="O156" s="25" t="s">
        <v>203</v>
      </c>
      <c r="P156" s="24" t="s">
        <v>75</v>
      </c>
      <c r="Q156" s="24"/>
      <c r="R156" s="24"/>
      <c r="S156" s="24"/>
      <c r="T156" s="24">
        <f>ROUND(IF(D156=Table!$C$3,V156*Table!$C$4/8,V156*Table!$D$4/8),3)</f>
        <v>26.244</v>
      </c>
      <c r="U156" s="24">
        <f>T156</f>
        <v>26.244</v>
      </c>
      <c r="V156" s="24">
        <v>1.615</v>
      </c>
      <c r="W156" s="24">
        <v>1</v>
      </c>
      <c r="X156" s="24" t="s">
        <v>83</v>
      </c>
      <c r="Y156" s="28">
        <v>43910</v>
      </c>
      <c r="Z156" s="28">
        <v>43920</v>
      </c>
      <c r="AA156" s="28">
        <v>43917</v>
      </c>
      <c r="AB156" s="28">
        <v>43917</v>
      </c>
      <c r="AC156" s="28" t="s">
        <v>204</v>
      </c>
      <c r="AD156" s="121"/>
      <c r="AE156" s="121"/>
      <c r="AF156" s="55">
        <v>1</v>
      </c>
      <c r="AG156" s="55">
        <v>1</v>
      </c>
      <c r="AH156" s="55">
        <v>1</v>
      </c>
      <c r="AI156" s="24"/>
      <c r="AJ156" s="24"/>
      <c r="AK156" s="24"/>
    </row>
    <row r="157" spans="2:37" x14ac:dyDescent="0.25">
      <c r="B157" s="62">
        <v>113</v>
      </c>
      <c r="C157" s="25">
        <v>20200319</v>
      </c>
      <c r="D157" s="24" t="s">
        <v>2</v>
      </c>
      <c r="E157" s="24" t="s">
        <v>455</v>
      </c>
      <c r="F157" s="26" t="s">
        <v>70</v>
      </c>
      <c r="G157" s="24" t="s">
        <v>301</v>
      </c>
      <c r="H157" s="24" t="s">
        <v>387</v>
      </c>
      <c r="I157" s="24" t="s">
        <v>334</v>
      </c>
      <c r="J157" s="24" t="s">
        <v>70</v>
      </c>
      <c r="K157" s="24" t="s">
        <v>845</v>
      </c>
      <c r="L157" s="26" t="s">
        <v>415</v>
      </c>
      <c r="M157" s="26" t="s">
        <v>476</v>
      </c>
      <c r="N157" s="27" t="s">
        <v>616</v>
      </c>
      <c r="O157" s="25" t="s">
        <v>203</v>
      </c>
      <c r="P157" s="24" t="s">
        <v>75</v>
      </c>
      <c r="Q157" s="24"/>
      <c r="R157" s="24"/>
      <c r="S157" s="24"/>
      <c r="T157" s="24">
        <f>ROUND(IF(D157=Table!$C$3,V157*Table!$C$4/8,V157*Table!$D$4/8),3)</f>
        <v>26.244</v>
      </c>
      <c r="U157" s="24">
        <f t="shared" ref="U157:U160" si="18">T157</f>
        <v>26.244</v>
      </c>
      <c r="V157" s="24">
        <v>1.615</v>
      </c>
      <c r="W157" s="24">
        <v>1</v>
      </c>
      <c r="X157" s="24" t="s">
        <v>83</v>
      </c>
      <c r="Y157" s="28">
        <v>43910</v>
      </c>
      <c r="Z157" s="28">
        <v>43920</v>
      </c>
      <c r="AA157" s="28">
        <v>43917</v>
      </c>
      <c r="AB157" s="28">
        <v>43917</v>
      </c>
      <c r="AC157" s="28" t="s">
        <v>204</v>
      </c>
      <c r="AD157" s="121"/>
      <c r="AE157" s="121"/>
      <c r="AF157" s="55">
        <v>1</v>
      </c>
      <c r="AG157" s="55">
        <v>1</v>
      </c>
      <c r="AH157" s="55">
        <v>1</v>
      </c>
      <c r="AI157" s="24"/>
      <c r="AJ157" s="24"/>
      <c r="AK157" s="24"/>
    </row>
    <row r="158" spans="2:37" x14ac:dyDescent="0.25">
      <c r="B158" s="62">
        <v>114</v>
      </c>
      <c r="C158" s="25">
        <v>20200319</v>
      </c>
      <c r="D158" s="24" t="s">
        <v>2</v>
      </c>
      <c r="E158" s="24" t="s">
        <v>455</v>
      </c>
      <c r="F158" s="26" t="s">
        <v>70</v>
      </c>
      <c r="G158" s="24" t="s">
        <v>302</v>
      </c>
      <c r="H158" s="24" t="s">
        <v>388</v>
      </c>
      <c r="I158" s="24" t="s">
        <v>334</v>
      </c>
      <c r="J158" s="24" t="s">
        <v>70</v>
      </c>
      <c r="K158" s="24" t="s">
        <v>845</v>
      </c>
      <c r="L158" s="26" t="s">
        <v>415</v>
      </c>
      <c r="M158" s="26" t="s">
        <v>476</v>
      </c>
      <c r="N158" s="27" t="s">
        <v>617</v>
      </c>
      <c r="O158" s="25" t="s">
        <v>203</v>
      </c>
      <c r="P158" s="24" t="s">
        <v>75</v>
      </c>
      <c r="Q158" s="24"/>
      <c r="R158" s="24"/>
      <c r="S158" s="24"/>
      <c r="T158" s="24">
        <f>ROUND(IF(D158=Table!$C$3,V158*Table!$C$4/8,V158*Table!$D$4/8),3)</f>
        <v>53.869</v>
      </c>
      <c r="U158" s="24">
        <f t="shared" si="18"/>
        <v>53.869</v>
      </c>
      <c r="V158" s="24">
        <v>3.3150000000000004</v>
      </c>
      <c r="W158" s="24">
        <v>1</v>
      </c>
      <c r="X158" s="24" t="s">
        <v>83</v>
      </c>
      <c r="Y158" s="28">
        <v>43910</v>
      </c>
      <c r="Z158" s="28">
        <v>43920</v>
      </c>
      <c r="AA158" s="28">
        <v>43917</v>
      </c>
      <c r="AB158" s="28">
        <v>43917</v>
      </c>
      <c r="AC158" s="28" t="s">
        <v>204</v>
      </c>
      <c r="AD158" s="121"/>
      <c r="AE158" s="121"/>
      <c r="AF158" s="55">
        <v>1</v>
      </c>
      <c r="AG158" s="55">
        <v>1</v>
      </c>
      <c r="AH158" s="55">
        <v>1</v>
      </c>
      <c r="AI158" s="24"/>
      <c r="AJ158" s="24"/>
      <c r="AK158" s="24"/>
    </row>
    <row r="159" spans="2:37" x14ac:dyDescent="0.25">
      <c r="B159" s="62">
        <v>115</v>
      </c>
      <c r="C159" s="25">
        <v>20200319</v>
      </c>
      <c r="D159" s="24" t="s">
        <v>2</v>
      </c>
      <c r="E159" s="24" t="s">
        <v>455</v>
      </c>
      <c r="F159" s="26" t="s">
        <v>70</v>
      </c>
      <c r="G159" s="24" t="s">
        <v>435</v>
      </c>
      <c r="H159" s="24" t="s">
        <v>389</v>
      </c>
      <c r="I159" s="24" t="s">
        <v>334</v>
      </c>
      <c r="J159" s="24" t="s">
        <v>70</v>
      </c>
      <c r="K159" s="24" t="s">
        <v>845</v>
      </c>
      <c r="L159" s="26" t="s">
        <v>415</v>
      </c>
      <c r="M159" s="26" t="s">
        <v>476</v>
      </c>
      <c r="N159" s="27" t="s">
        <v>618</v>
      </c>
      <c r="O159" s="25" t="s">
        <v>203</v>
      </c>
      <c r="P159" s="24" t="s">
        <v>75</v>
      </c>
      <c r="Q159" s="24"/>
      <c r="R159" s="24"/>
      <c r="S159" s="24"/>
      <c r="T159" s="24">
        <f>ROUND(IF(D159=Table!$C$3,V159*Table!$C$4/8,V159*Table!$D$4/8),3)</f>
        <v>26.244</v>
      </c>
      <c r="U159" s="24">
        <f t="shared" si="18"/>
        <v>26.244</v>
      </c>
      <c r="V159" s="24">
        <v>1.615</v>
      </c>
      <c r="W159" s="24">
        <v>1</v>
      </c>
      <c r="X159" s="24" t="s">
        <v>83</v>
      </c>
      <c r="Y159" s="28">
        <v>43910</v>
      </c>
      <c r="Z159" s="28">
        <v>43920</v>
      </c>
      <c r="AA159" s="28">
        <v>43917</v>
      </c>
      <c r="AB159" s="28">
        <v>43917</v>
      </c>
      <c r="AC159" s="28" t="s">
        <v>204</v>
      </c>
      <c r="AD159" s="121"/>
      <c r="AE159" s="121"/>
      <c r="AF159" s="55">
        <v>1</v>
      </c>
      <c r="AG159" s="55">
        <v>1</v>
      </c>
      <c r="AH159" s="55">
        <v>1</v>
      </c>
      <c r="AI159" s="24"/>
      <c r="AJ159" s="24"/>
      <c r="AK159" s="24"/>
    </row>
    <row r="160" spans="2:37" x14ac:dyDescent="0.25">
      <c r="B160" s="62">
        <v>116</v>
      </c>
      <c r="C160" s="25">
        <v>20200319</v>
      </c>
      <c r="D160" s="24" t="s">
        <v>2</v>
      </c>
      <c r="E160" s="24" t="s">
        <v>455</v>
      </c>
      <c r="F160" s="26" t="s">
        <v>70</v>
      </c>
      <c r="G160" s="24" t="s">
        <v>436</v>
      </c>
      <c r="H160" s="24" t="s">
        <v>390</v>
      </c>
      <c r="I160" s="24" t="s">
        <v>334</v>
      </c>
      <c r="J160" s="24" t="s">
        <v>70</v>
      </c>
      <c r="K160" s="24" t="s">
        <v>845</v>
      </c>
      <c r="L160" s="26" t="s">
        <v>416</v>
      </c>
      <c r="M160" s="26" t="s">
        <v>476</v>
      </c>
      <c r="N160" s="27" t="s">
        <v>619</v>
      </c>
      <c r="O160" s="25" t="s">
        <v>203</v>
      </c>
      <c r="P160" s="24" t="s">
        <v>75</v>
      </c>
      <c r="Q160" s="24"/>
      <c r="R160" s="24"/>
      <c r="S160" s="24"/>
      <c r="T160" s="24">
        <f>ROUND(IF(D160=Table!$C$3,V160*Table!$C$4/8,V160*Table!$D$4/8),3)</f>
        <v>26.244</v>
      </c>
      <c r="U160" s="24">
        <f t="shared" si="18"/>
        <v>26.244</v>
      </c>
      <c r="V160" s="24">
        <v>1.615</v>
      </c>
      <c r="W160" s="24">
        <v>1</v>
      </c>
      <c r="X160" s="24" t="s">
        <v>83</v>
      </c>
      <c r="Y160" s="28">
        <v>43910</v>
      </c>
      <c r="Z160" s="28">
        <v>43920</v>
      </c>
      <c r="AA160" s="28">
        <v>43917</v>
      </c>
      <c r="AB160" s="28">
        <v>43917</v>
      </c>
      <c r="AC160" s="28" t="s">
        <v>204</v>
      </c>
      <c r="AD160" s="121"/>
      <c r="AE160" s="121"/>
      <c r="AF160" s="55">
        <v>1</v>
      </c>
      <c r="AG160" s="55">
        <v>1</v>
      </c>
      <c r="AH160" s="55">
        <v>1</v>
      </c>
      <c r="AI160" s="24"/>
      <c r="AJ160" s="24"/>
      <c r="AK160" s="24"/>
    </row>
    <row r="161" spans="2:37" x14ac:dyDescent="0.25">
      <c r="B161" s="62">
        <v>117</v>
      </c>
      <c r="C161" s="25">
        <v>20200319</v>
      </c>
      <c r="D161" s="24" t="s">
        <v>2</v>
      </c>
      <c r="E161" s="24" t="s">
        <v>455</v>
      </c>
      <c r="F161" s="26" t="s">
        <v>70</v>
      </c>
      <c r="G161" s="24" t="s">
        <v>303</v>
      </c>
      <c r="H161" s="24" t="s">
        <v>391</v>
      </c>
      <c r="I161" s="24" t="s">
        <v>334</v>
      </c>
      <c r="J161" s="24" t="s">
        <v>70</v>
      </c>
      <c r="K161" s="24" t="s">
        <v>845</v>
      </c>
      <c r="L161" s="26" t="s">
        <v>415</v>
      </c>
      <c r="M161" s="26" t="s">
        <v>476</v>
      </c>
      <c r="N161" s="27" t="s">
        <v>620</v>
      </c>
      <c r="O161" s="25" t="s">
        <v>203</v>
      </c>
      <c r="P161" s="24" t="s">
        <v>75</v>
      </c>
      <c r="Q161" s="24"/>
      <c r="R161" s="24"/>
      <c r="S161" s="24"/>
      <c r="T161" s="24">
        <f>ROUND(IF(D161=Table!$C$3,V161*Table!$C$4/8,V161*Table!$D$4/8),3)</f>
        <v>59.393999999999998</v>
      </c>
      <c r="U161" s="24">
        <f>T161</f>
        <v>59.393999999999998</v>
      </c>
      <c r="V161" s="24">
        <v>3.6549999999999998</v>
      </c>
      <c r="W161" s="24">
        <v>5</v>
      </c>
      <c r="X161" s="24" t="s">
        <v>83</v>
      </c>
      <c r="Y161" s="28">
        <v>43910</v>
      </c>
      <c r="Z161" s="28">
        <v>43920</v>
      </c>
      <c r="AA161" s="28">
        <v>43914</v>
      </c>
      <c r="AB161" s="28">
        <v>43914</v>
      </c>
      <c r="AC161" s="28" t="s">
        <v>204</v>
      </c>
      <c r="AD161" s="121"/>
      <c r="AE161" s="121"/>
      <c r="AF161" s="55">
        <v>1</v>
      </c>
      <c r="AG161" s="55">
        <v>1</v>
      </c>
      <c r="AH161" s="55" t="s">
        <v>219</v>
      </c>
      <c r="AI161" s="24"/>
      <c r="AJ161" s="24"/>
      <c r="AK161" s="24"/>
    </row>
    <row r="162" spans="2:37" x14ac:dyDescent="0.25">
      <c r="B162" s="62">
        <v>118</v>
      </c>
      <c r="C162" s="25">
        <v>20200319</v>
      </c>
      <c r="D162" s="24" t="s">
        <v>2</v>
      </c>
      <c r="E162" s="24" t="s">
        <v>455</v>
      </c>
      <c r="F162" s="26" t="s">
        <v>70</v>
      </c>
      <c r="G162" s="24" t="s">
        <v>304</v>
      </c>
      <c r="H162" s="24" t="s">
        <v>392</v>
      </c>
      <c r="I162" s="24" t="s">
        <v>427</v>
      </c>
      <c r="J162" s="24" t="s">
        <v>70</v>
      </c>
      <c r="K162" s="24" t="s">
        <v>845</v>
      </c>
      <c r="L162" s="26" t="s">
        <v>419</v>
      </c>
      <c r="M162" s="26" t="s">
        <v>476</v>
      </c>
      <c r="N162" s="27" t="s">
        <v>621</v>
      </c>
      <c r="O162" s="25" t="s">
        <v>203</v>
      </c>
      <c r="P162" s="24" t="s">
        <v>75</v>
      </c>
      <c r="Q162" s="24"/>
      <c r="R162" s="24"/>
      <c r="S162" s="24"/>
      <c r="T162" s="24">
        <f>ROUND(IF(D162=Table!$C$3,V162*Table!$C$4/8,V162*Table!$D$4/8),3)</f>
        <v>158.84399999999999</v>
      </c>
      <c r="U162" s="24">
        <f t="shared" ref="U162:U163" si="19">T162</f>
        <v>158.84399999999999</v>
      </c>
      <c r="V162" s="24">
        <v>9.7750000000000004</v>
      </c>
      <c r="W162" s="24">
        <v>2</v>
      </c>
      <c r="X162" s="24" t="s">
        <v>83</v>
      </c>
      <c r="Y162" s="28">
        <v>43910</v>
      </c>
      <c r="Z162" s="28">
        <v>43920</v>
      </c>
      <c r="AA162" s="28">
        <v>43917</v>
      </c>
      <c r="AB162" s="28">
        <v>43917</v>
      </c>
      <c r="AC162" s="28" t="s">
        <v>204</v>
      </c>
      <c r="AD162" s="121"/>
      <c r="AE162" s="121"/>
      <c r="AF162" s="55">
        <v>1</v>
      </c>
      <c r="AG162" s="55">
        <v>1</v>
      </c>
      <c r="AH162" s="55">
        <v>1</v>
      </c>
      <c r="AI162" s="24"/>
      <c r="AJ162" s="24"/>
      <c r="AK162" s="24"/>
    </row>
    <row r="163" spans="2:37" x14ac:dyDescent="0.25">
      <c r="B163" s="62">
        <v>119</v>
      </c>
      <c r="C163" s="25">
        <v>20200319</v>
      </c>
      <c r="D163" s="24" t="s">
        <v>2</v>
      </c>
      <c r="E163" s="24" t="s">
        <v>455</v>
      </c>
      <c r="F163" s="26" t="s">
        <v>70</v>
      </c>
      <c r="G163" s="24" t="s">
        <v>305</v>
      </c>
      <c r="H163" s="24" t="s">
        <v>393</v>
      </c>
      <c r="I163" s="24" t="s">
        <v>334</v>
      </c>
      <c r="J163" s="24" t="s">
        <v>70</v>
      </c>
      <c r="K163" s="24" t="s">
        <v>845</v>
      </c>
      <c r="L163" s="26" t="s">
        <v>420</v>
      </c>
      <c r="M163" s="26" t="s">
        <v>476</v>
      </c>
      <c r="N163" s="27" t="s">
        <v>622</v>
      </c>
      <c r="O163" s="25" t="s">
        <v>203</v>
      </c>
      <c r="P163" s="24" t="s">
        <v>75</v>
      </c>
      <c r="Q163" s="24"/>
      <c r="R163" s="24"/>
      <c r="S163" s="24"/>
      <c r="T163" s="24">
        <f>ROUND(IF(D163=Table!$C$3,V163*Table!$C$4/8,V163*Table!$D$4/8),3)</f>
        <v>26.244</v>
      </c>
      <c r="U163" s="24">
        <f t="shared" si="19"/>
        <v>26.244</v>
      </c>
      <c r="V163" s="24">
        <v>1.615</v>
      </c>
      <c r="W163" s="24">
        <v>1</v>
      </c>
      <c r="X163" s="24" t="s">
        <v>83</v>
      </c>
      <c r="Y163" s="28">
        <v>43910</v>
      </c>
      <c r="Z163" s="28">
        <v>43920</v>
      </c>
      <c r="AA163" s="28">
        <v>43917</v>
      </c>
      <c r="AB163" s="28">
        <v>43917</v>
      </c>
      <c r="AC163" s="28" t="s">
        <v>204</v>
      </c>
      <c r="AD163" s="121"/>
      <c r="AE163" s="121"/>
      <c r="AF163" s="55">
        <v>1</v>
      </c>
      <c r="AG163" s="55">
        <v>1</v>
      </c>
      <c r="AH163" s="55">
        <v>1</v>
      </c>
      <c r="AI163" s="24"/>
      <c r="AJ163" s="24"/>
      <c r="AK163" s="24"/>
    </row>
    <row r="164" spans="2:37" x14ac:dyDescent="0.25">
      <c r="B164" s="62">
        <v>120</v>
      </c>
      <c r="C164" s="25">
        <v>20200319</v>
      </c>
      <c r="D164" s="24" t="s">
        <v>2</v>
      </c>
      <c r="E164" s="24" t="s">
        <v>455</v>
      </c>
      <c r="F164" s="26" t="s">
        <v>70</v>
      </c>
      <c r="G164" s="24" t="s">
        <v>306</v>
      </c>
      <c r="H164" s="24" t="s">
        <v>394</v>
      </c>
      <c r="I164" s="24" t="s">
        <v>334</v>
      </c>
      <c r="J164" s="24" t="s">
        <v>70</v>
      </c>
      <c r="K164" s="24" t="s">
        <v>845</v>
      </c>
      <c r="L164" s="26" t="s">
        <v>420</v>
      </c>
      <c r="M164" s="26" t="s">
        <v>476</v>
      </c>
      <c r="N164" s="27" t="s">
        <v>623</v>
      </c>
      <c r="O164" s="25" t="s">
        <v>203</v>
      </c>
      <c r="P164" s="24" t="s">
        <v>75</v>
      </c>
      <c r="Q164" s="24"/>
      <c r="R164" s="24"/>
      <c r="S164" s="24"/>
      <c r="T164" s="24">
        <f>ROUND(IF(D164=Table!$C$3,V164*Table!$C$4/8,V164*Table!$D$4/8),3)</f>
        <v>114.64400000000001</v>
      </c>
      <c r="U164" s="24">
        <f>T164</f>
        <v>114.64400000000001</v>
      </c>
      <c r="V164" s="24">
        <v>7.0550000000000006</v>
      </c>
      <c r="W164" s="24">
        <v>6</v>
      </c>
      <c r="X164" s="24" t="s">
        <v>83</v>
      </c>
      <c r="Y164" s="28">
        <v>43910</v>
      </c>
      <c r="Z164" s="28">
        <v>43920</v>
      </c>
      <c r="AA164" s="28">
        <v>43914</v>
      </c>
      <c r="AB164" s="28">
        <v>43914</v>
      </c>
      <c r="AC164" s="28" t="s">
        <v>204</v>
      </c>
      <c r="AD164" s="121"/>
      <c r="AE164" s="121"/>
      <c r="AF164" s="55">
        <v>1</v>
      </c>
      <c r="AG164" s="55">
        <v>1</v>
      </c>
      <c r="AH164" s="55" t="s">
        <v>219</v>
      </c>
      <c r="AI164" s="24"/>
      <c r="AJ164" s="24"/>
      <c r="AK164" s="24"/>
    </row>
    <row r="165" spans="2:37" x14ac:dyDescent="0.25">
      <c r="B165" s="62">
        <v>121</v>
      </c>
      <c r="C165" s="25">
        <v>20200319</v>
      </c>
      <c r="D165" s="24" t="s">
        <v>2</v>
      </c>
      <c r="E165" s="24" t="s">
        <v>455</v>
      </c>
      <c r="F165" s="26" t="s">
        <v>70</v>
      </c>
      <c r="G165" s="24" t="s">
        <v>307</v>
      </c>
      <c r="H165" s="24" t="s">
        <v>395</v>
      </c>
      <c r="I165" s="24" t="s">
        <v>334</v>
      </c>
      <c r="J165" s="24" t="s">
        <v>70</v>
      </c>
      <c r="K165" s="24" t="s">
        <v>845</v>
      </c>
      <c r="L165" s="26" t="s">
        <v>421</v>
      </c>
      <c r="M165" s="26" t="s">
        <v>476</v>
      </c>
      <c r="N165" s="27" t="s">
        <v>624</v>
      </c>
      <c r="O165" s="25" t="s">
        <v>203</v>
      </c>
      <c r="P165" s="24" t="s">
        <v>75</v>
      </c>
      <c r="Q165" s="24"/>
      <c r="R165" s="24"/>
      <c r="S165" s="24"/>
      <c r="T165" s="24">
        <f>ROUND(IF(D165=Table!$C$3,V165*Table!$C$4/8,V165*Table!$D$4/8),3)</f>
        <v>114.64400000000001</v>
      </c>
      <c r="U165" s="24">
        <f>T165</f>
        <v>114.64400000000001</v>
      </c>
      <c r="V165" s="24">
        <v>7.0550000000000006</v>
      </c>
      <c r="W165" s="24">
        <v>6</v>
      </c>
      <c r="X165" s="24" t="s">
        <v>83</v>
      </c>
      <c r="Y165" s="28">
        <v>43910</v>
      </c>
      <c r="Z165" s="28">
        <v>43920</v>
      </c>
      <c r="AA165" s="28">
        <v>43914</v>
      </c>
      <c r="AB165" s="28">
        <v>43914</v>
      </c>
      <c r="AC165" s="28" t="s">
        <v>204</v>
      </c>
      <c r="AD165" s="121"/>
      <c r="AE165" s="121"/>
      <c r="AF165" s="55">
        <v>1</v>
      </c>
      <c r="AG165" s="55">
        <v>1</v>
      </c>
      <c r="AH165" s="55" t="s">
        <v>219</v>
      </c>
      <c r="AI165" s="24"/>
      <c r="AJ165" s="24"/>
      <c r="AK165" s="24"/>
    </row>
    <row r="166" spans="2:37" x14ac:dyDescent="0.25">
      <c r="B166" s="62">
        <v>122</v>
      </c>
      <c r="C166" s="25">
        <v>20200319</v>
      </c>
      <c r="D166" s="24" t="s">
        <v>2</v>
      </c>
      <c r="E166" s="24" t="s">
        <v>455</v>
      </c>
      <c r="F166" s="26" t="s">
        <v>70</v>
      </c>
      <c r="G166" s="24" t="s">
        <v>437</v>
      </c>
      <c r="H166" s="24" t="s">
        <v>396</v>
      </c>
      <c r="I166" s="24" t="s">
        <v>334</v>
      </c>
      <c r="J166" s="24" t="s">
        <v>70</v>
      </c>
      <c r="K166" s="24" t="s">
        <v>845</v>
      </c>
      <c r="L166" s="26" t="s">
        <v>420</v>
      </c>
      <c r="M166" s="26" t="s">
        <v>476</v>
      </c>
      <c r="N166" s="27" t="s">
        <v>625</v>
      </c>
      <c r="O166" s="25" t="s">
        <v>203</v>
      </c>
      <c r="P166" s="24" t="s">
        <v>75</v>
      </c>
      <c r="Q166" s="24"/>
      <c r="R166" s="24"/>
      <c r="S166" s="24"/>
      <c r="T166" s="24">
        <f>ROUND(IF(D166=Table!$C$3,V166*Table!$C$4/8,V166*Table!$D$4/8),3)</f>
        <v>48.344000000000001</v>
      </c>
      <c r="U166" s="24">
        <f t="shared" ref="U166:U209" si="20">T166</f>
        <v>48.344000000000001</v>
      </c>
      <c r="V166" s="24">
        <v>2.9750000000000001</v>
      </c>
      <c r="W166" s="24">
        <v>1</v>
      </c>
      <c r="X166" s="24" t="s">
        <v>83</v>
      </c>
      <c r="Y166" s="28">
        <v>43910</v>
      </c>
      <c r="Z166" s="28">
        <v>43920</v>
      </c>
      <c r="AA166" s="28">
        <v>43917</v>
      </c>
      <c r="AB166" s="28">
        <v>43917</v>
      </c>
      <c r="AC166" s="28" t="s">
        <v>204</v>
      </c>
      <c r="AD166" s="121"/>
      <c r="AE166" s="121"/>
      <c r="AF166" s="55">
        <v>1</v>
      </c>
      <c r="AG166" s="55">
        <v>1</v>
      </c>
      <c r="AH166" s="55">
        <v>1</v>
      </c>
      <c r="AI166" s="24"/>
      <c r="AJ166" s="24"/>
      <c r="AK166" s="24"/>
    </row>
    <row r="167" spans="2:37" x14ac:dyDescent="0.25">
      <c r="B167" s="62">
        <v>123</v>
      </c>
      <c r="C167" s="25">
        <v>20200319</v>
      </c>
      <c r="D167" s="24" t="s">
        <v>2</v>
      </c>
      <c r="E167" s="24" t="s">
        <v>455</v>
      </c>
      <c r="F167" s="26" t="s">
        <v>70</v>
      </c>
      <c r="G167" s="24" t="s">
        <v>438</v>
      </c>
      <c r="H167" s="24" t="s">
        <v>397</v>
      </c>
      <c r="I167" s="24" t="s">
        <v>334</v>
      </c>
      <c r="J167" s="24" t="s">
        <v>70</v>
      </c>
      <c r="K167" s="24" t="s">
        <v>845</v>
      </c>
      <c r="L167" s="26" t="s">
        <v>420</v>
      </c>
      <c r="M167" s="26" t="s">
        <v>476</v>
      </c>
      <c r="N167" s="27" t="s">
        <v>626</v>
      </c>
      <c r="O167" s="25" t="s">
        <v>203</v>
      </c>
      <c r="P167" s="24" t="s">
        <v>75</v>
      </c>
      <c r="Q167" s="24"/>
      <c r="R167" s="24"/>
      <c r="S167" s="24"/>
      <c r="T167" s="24">
        <f>ROUND(IF(D167=Table!$C$3,V167*Table!$C$4/8,V167*Table!$D$4/8),3)</f>
        <v>114.64400000000001</v>
      </c>
      <c r="U167" s="24">
        <f t="shared" si="20"/>
        <v>114.64400000000001</v>
      </c>
      <c r="V167" s="24">
        <v>7.0550000000000006</v>
      </c>
      <c r="W167" s="24">
        <v>2</v>
      </c>
      <c r="X167" s="24" t="s">
        <v>83</v>
      </c>
      <c r="Y167" s="28">
        <v>43910</v>
      </c>
      <c r="Z167" s="28">
        <v>43920</v>
      </c>
      <c r="AA167" s="28">
        <v>43917</v>
      </c>
      <c r="AB167" s="28">
        <v>43917</v>
      </c>
      <c r="AC167" s="28" t="s">
        <v>204</v>
      </c>
      <c r="AD167" s="121"/>
      <c r="AE167" s="121"/>
      <c r="AF167" s="55">
        <v>1</v>
      </c>
      <c r="AG167" s="55">
        <v>1</v>
      </c>
      <c r="AH167" s="55">
        <v>1</v>
      </c>
      <c r="AI167" s="24"/>
      <c r="AJ167" s="24"/>
      <c r="AK167" s="24"/>
    </row>
    <row r="168" spans="2:37" x14ac:dyDescent="0.25">
      <c r="B168" s="62">
        <v>124</v>
      </c>
      <c r="C168" s="25">
        <v>20200319</v>
      </c>
      <c r="D168" s="24" t="s">
        <v>2</v>
      </c>
      <c r="E168" s="24" t="s">
        <v>455</v>
      </c>
      <c r="F168" s="26" t="s">
        <v>70</v>
      </c>
      <c r="G168" s="24" t="s">
        <v>439</v>
      </c>
      <c r="H168" s="24" t="s">
        <v>398</v>
      </c>
      <c r="I168" s="24" t="s">
        <v>334</v>
      </c>
      <c r="J168" s="24" t="s">
        <v>70</v>
      </c>
      <c r="K168" s="24" t="s">
        <v>845</v>
      </c>
      <c r="L168" s="26" t="s">
        <v>420</v>
      </c>
      <c r="M168" s="26" t="s">
        <v>476</v>
      </c>
      <c r="N168" s="27" t="s">
        <v>627</v>
      </c>
      <c r="O168" s="25" t="s">
        <v>203</v>
      </c>
      <c r="P168" s="24" t="s">
        <v>75</v>
      </c>
      <c r="Q168" s="24"/>
      <c r="R168" s="24"/>
      <c r="S168" s="24"/>
      <c r="T168" s="24">
        <f>ROUND(IF(D168=Table!$C$3,V168*Table!$C$4/8,V168*Table!$D$4/8),3)</f>
        <v>26.244</v>
      </c>
      <c r="U168" s="24">
        <f t="shared" si="20"/>
        <v>26.244</v>
      </c>
      <c r="V168" s="24">
        <v>1.615</v>
      </c>
      <c r="W168" s="24">
        <v>2</v>
      </c>
      <c r="X168" s="24" t="s">
        <v>83</v>
      </c>
      <c r="Y168" s="28">
        <v>43910</v>
      </c>
      <c r="Z168" s="28">
        <v>43920</v>
      </c>
      <c r="AA168" s="28">
        <v>43917</v>
      </c>
      <c r="AB168" s="28">
        <v>43917</v>
      </c>
      <c r="AC168" s="28" t="s">
        <v>204</v>
      </c>
      <c r="AD168" s="121"/>
      <c r="AE168" s="121"/>
      <c r="AF168" s="55">
        <v>1</v>
      </c>
      <c r="AG168" s="55">
        <v>1</v>
      </c>
      <c r="AH168" s="55">
        <v>1</v>
      </c>
      <c r="AI168" s="24"/>
      <c r="AJ168" s="24"/>
      <c r="AK168" s="24"/>
    </row>
    <row r="169" spans="2:37" x14ac:dyDescent="0.25">
      <c r="B169" s="62">
        <v>125</v>
      </c>
      <c r="C169" s="25">
        <v>20200319</v>
      </c>
      <c r="D169" s="24" t="s">
        <v>2</v>
      </c>
      <c r="E169" s="24" t="s">
        <v>455</v>
      </c>
      <c r="F169" s="26" t="s">
        <v>70</v>
      </c>
      <c r="G169" s="24" t="s">
        <v>440</v>
      </c>
      <c r="H169" s="24" t="s">
        <v>399</v>
      </c>
      <c r="I169" s="24" t="s">
        <v>334</v>
      </c>
      <c r="J169" s="24" t="s">
        <v>70</v>
      </c>
      <c r="K169" s="24" t="s">
        <v>845</v>
      </c>
      <c r="L169" s="26" t="s">
        <v>420</v>
      </c>
      <c r="M169" s="26" t="s">
        <v>476</v>
      </c>
      <c r="N169" s="27" t="s">
        <v>628</v>
      </c>
      <c r="O169" s="25" t="s">
        <v>203</v>
      </c>
      <c r="P169" s="24" t="s">
        <v>75</v>
      </c>
      <c r="Q169" s="24"/>
      <c r="R169" s="24"/>
      <c r="S169" s="24"/>
      <c r="T169" s="24">
        <f>ROUND(IF(D169=Table!$C$3,V169*Table!$C$4/8,V169*Table!$D$4/8),3)</f>
        <v>26.244</v>
      </c>
      <c r="U169" s="24">
        <f t="shared" si="20"/>
        <v>26.244</v>
      </c>
      <c r="V169" s="24">
        <v>1.615</v>
      </c>
      <c r="W169" s="24">
        <v>1</v>
      </c>
      <c r="X169" s="24" t="s">
        <v>83</v>
      </c>
      <c r="Y169" s="28">
        <v>43910</v>
      </c>
      <c r="Z169" s="28">
        <v>43920</v>
      </c>
      <c r="AA169" s="28">
        <v>43917</v>
      </c>
      <c r="AB169" s="28">
        <v>43917</v>
      </c>
      <c r="AC169" s="28" t="s">
        <v>204</v>
      </c>
      <c r="AD169" s="121"/>
      <c r="AE169" s="121"/>
      <c r="AF169" s="55">
        <v>1</v>
      </c>
      <c r="AG169" s="55">
        <v>1</v>
      </c>
      <c r="AH169" s="55">
        <v>1</v>
      </c>
      <c r="AI169" s="24"/>
      <c r="AJ169" s="24"/>
      <c r="AK169" s="24"/>
    </row>
    <row r="170" spans="2:37" x14ac:dyDescent="0.25">
      <c r="B170" s="62">
        <v>126</v>
      </c>
      <c r="C170" s="25">
        <v>20200319</v>
      </c>
      <c r="D170" s="24" t="s">
        <v>2</v>
      </c>
      <c r="E170" s="24" t="s">
        <v>455</v>
      </c>
      <c r="F170" s="26" t="s">
        <v>70</v>
      </c>
      <c r="G170" s="24" t="s">
        <v>441</v>
      </c>
      <c r="H170" s="24" t="s">
        <v>400</v>
      </c>
      <c r="I170" s="24" t="s">
        <v>334</v>
      </c>
      <c r="J170" s="24" t="s">
        <v>70</v>
      </c>
      <c r="K170" s="24" t="s">
        <v>845</v>
      </c>
      <c r="L170" s="26" t="s">
        <v>420</v>
      </c>
      <c r="M170" s="26" t="s">
        <v>476</v>
      </c>
      <c r="N170" s="27" t="s">
        <v>629</v>
      </c>
      <c r="O170" s="25" t="s">
        <v>654</v>
      </c>
      <c r="P170" s="24" t="s">
        <v>74</v>
      </c>
      <c r="Q170" s="24"/>
      <c r="R170" s="24"/>
      <c r="S170" s="24"/>
      <c r="T170" s="24">
        <f>ROUND(IF(D170=Table!$C$3,V170*Table!$C$4/8,V170*Table!$D$4/8),3)</f>
        <v>81.494</v>
      </c>
      <c r="U170" s="24">
        <f t="shared" si="20"/>
        <v>81.494</v>
      </c>
      <c r="V170" s="24">
        <v>5.0150000000000006</v>
      </c>
      <c r="W170" s="24">
        <v>10</v>
      </c>
      <c r="X170" s="24" t="s">
        <v>82</v>
      </c>
      <c r="Y170" s="28">
        <v>43910</v>
      </c>
      <c r="Z170" s="28">
        <v>43920</v>
      </c>
      <c r="AA170" s="28">
        <v>43914</v>
      </c>
      <c r="AB170" s="28">
        <v>43914</v>
      </c>
      <c r="AC170" s="28" t="s">
        <v>205</v>
      </c>
      <c r="AD170" s="121"/>
      <c r="AE170" s="121"/>
      <c r="AF170" s="80">
        <v>1</v>
      </c>
      <c r="AG170" s="80">
        <v>1</v>
      </c>
      <c r="AH170" s="55">
        <v>1</v>
      </c>
      <c r="AI170" s="24" t="s">
        <v>219</v>
      </c>
      <c r="AJ170" s="24"/>
      <c r="AK170" s="24" t="s">
        <v>219</v>
      </c>
    </row>
    <row r="171" spans="2:37" x14ac:dyDescent="0.25">
      <c r="B171" s="62">
        <v>127</v>
      </c>
      <c r="C171" s="25">
        <v>20200319</v>
      </c>
      <c r="D171" s="24" t="s">
        <v>2</v>
      </c>
      <c r="E171" s="24" t="s">
        <v>455</v>
      </c>
      <c r="F171" s="26" t="s">
        <v>70</v>
      </c>
      <c r="G171" s="24" t="s">
        <v>442</v>
      </c>
      <c r="H171" s="24" t="s">
        <v>401</v>
      </c>
      <c r="I171" s="24" t="s">
        <v>334</v>
      </c>
      <c r="J171" s="24" t="s">
        <v>70</v>
      </c>
      <c r="K171" s="24" t="s">
        <v>845</v>
      </c>
      <c r="L171" s="26" t="s">
        <v>420</v>
      </c>
      <c r="M171" s="26" t="s">
        <v>476</v>
      </c>
      <c r="N171" s="27" t="s">
        <v>630</v>
      </c>
      <c r="O171" s="25" t="s">
        <v>654</v>
      </c>
      <c r="P171" s="24" t="s">
        <v>74</v>
      </c>
      <c r="Q171" s="24"/>
      <c r="R171" s="24"/>
      <c r="S171" s="24"/>
      <c r="T171" s="24">
        <f>ROUND(IF(D171=Table!$C$3,V171*Table!$C$4/8,V171*Table!$D$4/8),3)</f>
        <v>59.393999999999998</v>
      </c>
      <c r="U171" s="24">
        <f t="shared" si="20"/>
        <v>59.393999999999998</v>
      </c>
      <c r="V171" s="24">
        <v>3.6549999999999998</v>
      </c>
      <c r="W171" s="24">
        <v>3</v>
      </c>
      <c r="X171" s="24" t="s">
        <v>82</v>
      </c>
      <c r="Y171" s="28">
        <v>43910</v>
      </c>
      <c r="Z171" s="28">
        <v>43920</v>
      </c>
      <c r="AA171" s="28">
        <v>43914</v>
      </c>
      <c r="AB171" s="28">
        <v>43914</v>
      </c>
      <c r="AC171" s="28" t="s">
        <v>204</v>
      </c>
      <c r="AD171" s="121"/>
      <c r="AE171" s="121"/>
      <c r="AF171" s="80">
        <v>0.82899999999999996</v>
      </c>
      <c r="AG171" s="80">
        <v>0.84599999999999997</v>
      </c>
      <c r="AH171" s="55">
        <v>1</v>
      </c>
      <c r="AI171" s="24" t="s">
        <v>735</v>
      </c>
      <c r="AJ171" s="24"/>
      <c r="AK171" s="24" t="s">
        <v>219</v>
      </c>
    </row>
    <row r="172" spans="2:37" x14ac:dyDescent="0.25">
      <c r="B172" s="62">
        <v>128</v>
      </c>
      <c r="C172" s="25">
        <v>20200319</v>
      </c>
      <c r="D172" s="24" t="s">
        <v>2</v>
      </c>
      <c r="E172" s="24" t="s">
        <v>455</v>
      </c>
      <c r="F172" s="26" t="s">
        <v>70</v>
      </c>
      <c r="G172" s="24" t="s">
        <v>443</v>
      </c>
      <c r="H172" s="24" t="s">
        <v>402</v>
      </c>
      <c r="I172" s="24" t="s">
        <v>334</v>
      </c>
      <c r="J172" s="24" t="s">
        <v>70</v>
      </c>
      <c r="K172" s="24" t="s">
        <v>845</v>
      </c>
      <c r="L172" s="26" t="s">
        <v>420</v>
      </c>
      <c r="M172" s="26" t="s">
        <v>476</v>
      </c>
      <c r="N172" s="27" t="s">
        <v>631</v>
      </c>
      <c r="O172" s="25" t="s">
        <v>654</v>
      </c>
      <c r="P172" s="24" t="s">
        <v>74</v>
      </c>
      <c r="Q172" s="24"/>
      <c r="R172" s="24"/>
      <c r="S172" s="24"/>
      <c r="T172" s="24">
        <f>ROUND(IF(D172=Table!$C$3,V172*Table!$C$4/8,V172*Table!$D$4/8),3)</f>
        <v>53.869</v>
      </c>
      <c r="U172" s="24">
        <f t="shared" si="20"/>
        <v>53.869</v>
      </c>
      <c r="V172" s="24">
        <v>3.3150000000000004</v>
      </c>
      <c r="W172" s="24">
        <v>4</v>
      </c>
      <c r="X172" s="24" t="s">
        <v>82</v>
      </c>
      <c r="Y172" s="28">
        <v>43910</v>
      </c>
      <c r="Z172" s="28">
        <v>43920</v>
      </c>
      <c r="AA172" s="28">
        <v>43915</v>
      </c>
      <c r="AB172" s="28">
        <v>43915</v>
      </c>
      <c r="AC172" s="28" t="s">
        <v>204</v>
      </c>
      <c r="AD172" s="121"/>
      <c r="AE172" s="121"/>
      <c r="AF172" s="55">
        <v>0.78800000000000003</v>
      </c>
      <c r="AG172" s="55">
        <v>0.78800000000000003</v>
      </c>
      <c r="AH172" s="55">
        <v>0.93300000000000005</v>
      </c>
      <c r="AI172" s="24" t="s">
        <v>736</v>
      </c>
      <c r="AJ172" s="24"/>
      <c r="AK172" s="24" t="s">
        <v>219</v>
      </c>
    </row>
    <row r="173" spans="2:37" x14ac:dyDescent="0.25">
      <c r="B173" s="62">
        <v>129</v>
      </c>
      <c r="C173" s="25">
        <v>20200319</v>
      </c>
      <c r="D173" s="24" t="s">
        <v>2</v>
      </c>
      <c r="E173" s="24" t="s">
        <v>455</v>
      </c>
      <c r="F173" s="26" t="s">
        <v>70</v>
      </c>
      <c r="G173" s="24" t="s">
        <v>444</v>
      </c>
      <c r="H173" s="24" t="s">
        <v>403</v>
      </c>
      <c r="I173" s="24" t="s">
        <v>334</v>
      </c>
      <c r="J173" s="24" t="s">
        <v>70</v>
      </c>
      <c r="K173" s="24" t="s">
        <v>845</v>
      </c>
      <c r="L173" s="26" t="s">
        <v>420</v>
      </c>
      <c r="M173" s="26" t="s">
        <v>476</v>
      </c>
      <c r="N173" s="27" t="s">
        <v>632</v>
      </c>
      <c r="O173" s="25" t="s">
        <v>654</v>
      </c>
      <c r="P173" s="24" t="s">
        <v>74</v>
      </c>
      <c r="Q173" s="24"/>
      <c r="R173" s="24"/>
      <c r="S173" s="24"/>
      <c r="T173" s="24">
        <f>ROUND(IF(D173=Table!$C$3,V173*Table!$C$4/8,V173*Table!$D$4/8),3)</f>
        <v>26.244</v>
      </c>
      <c r="U173" s="24">
        <f t="shared" si="20"/>
        <v>26.244</v>
      </c>
      <c r="V173" s="24">
        <v>1.615</v>
      </c>
      <c r="W173" s="24">
        <v>5</v>
      </c>
      <c r="X173" s="24" t="s">
        <v>82</v>
      </c>
      <c r="Y173" s="28">
        <v>43910</v>
      </c>
      <c r="Z173" s="28">
        <v>43920</v>
      </c>
      <c r="AA173" s="28">
        <v>43915</v>
      </c>
      <c r="AB173" s="28">
        <v>43915</v>
      </c>
      <c r="AC173" s="28" t="s">
        <v>204</v>
      </c>
      <c r="AD173" s="121"/>
      <c r="AE173" s="121"/>
      <c r="AF173" s="55">
        <v>0.81</v>
      </c>
      <c r="AG173" s="55">
        <v>0.81</v>
      </c>
      <c r="AH173" s="55">
        <v>1</v>
      </c>
      <c r="AI173" s="24" t="s">
        <v>737</v>
      </c>
      <c r="AJ173" s="24"/>
      <c r="AK173" s="24" t="s">
        <v>219</v>
      </c>
    </row>
    <row r="174" spans="2:37" x14ac:dyDescent="0.25">
      <c r="B174" s="62">
        <v>130</v>
      </c>
      <c r="C174" s="25">
        <v>20200319</v>
      </c>
      <c r="D174" s="24" t="s">
        <v>2</v>
      </c>
      <c r="E174" s="24" t="s">
        <v>455</v>
      </c>
      <c r="F174" s="26" t="s">
        <v>70</v>
      </c>
      <c r="G174" s="24" t="s">
        <v>445</v>
      </c>
      <c r="H174" s="24" t="s">
        <v>404</v>
      </c>
      <c r="I174" s="24" t="s">
        <v>334</v>
      </c>
      <c r="J174" s="24" t="s">
        <v>70</v>
      </c>
      <c r="K174" s="24" t="s">
        <v>845</v>
      </c>
      <c r="L174" s="26" t="s">
        <v>420</v>
      </c>
      <c r="M174" s="26" t="s">
        <v>476</v>
      </c>
      <c r="N174" s="27" t="s">
        <v>633</v>
      </c>
      <c r="O174" s="25" t="s">
        <v>654</v>
      </c>
      <c r="P174" s="24" t="s">
        <v>74</v>
      </c>
      <c r="Q174" s="24"/>
      <c r="R174" s="24"/>
      <c r="S174" s="24"/>
      <c r="T174" s="24">
        <f>ROUND(IF(D174=Table!$C$3,V174*Table!$C$4/8,V174*Table!$D$4/8),3)</f>
        <v>203.04400000000001</v>
      </c>
      <c r="U174" s="24">
        <f t="shared" si="20"/>
        <v>203.04400000000001</v>
      </c>
      <c r="V174" s="24">
        <v>12.494999999999999</v>
      </c>
      <c r="W174" s="24">
        <v>8</v>
      </c>
      <c r="X174" s="24" t="s">
        <v>82</v>
      </c>
      <c r="Y174" s="28">
        <v>43910</v>
      </c>
      <c r="Z174" s="28">
        <v>43920</v>
      </c>
      <c r="AA174" s="28">
        <v>43921</v>
      </c>
      <c r="AB174" s="28">
        <v>43921</v>
      </c>
      <c r="AC174" s="28" t="s">
        <v>205</v>
      </c>
      <c r="AD174" s="121"/>
      <c r="AE174" s="121"/>
      <c r="AF174" s="55">
        <v>0.754</v>
      </c>
      <c r="AG174" s="55">
        <v>0.754</v>
      </c>
      <c r="AH174" s="55">
        <v>0.32700000000000001</v>
      </c>
      <c r="AI174" s="24" t="s">
        <v>738</v>
      </c>
      <c r="AJ174" s="24"/>
      <c r="AK174" s="24" t="s">
        <v>219</v>
      </c>
    </row>
    <row r="175" spans="2:37" x14ac:dyDescent="0.25">
      <c r="B175" s="62">
        <v>131</v>
      </c>
      <c r="C175" s="25">
        <v>20200319</v>
      </c>
      <c r="D175" s="24" t="s">
        <v>2</v>
      </c>
      <c r="E175" s="24" t="s">
        <v>455</v>
      </c>
      <c r="F175" s="26" t="s">
        <v>70</v>
      </c>
      <c r="G175" s="24" t="s">
        <v>446</v>
      </c>
      <c r="H175" s="24" t="s">
        <v>405</v>
      </c>
      <c r="I175" s="24" t="s">
        <v>334</v>
      </c>
      <c r="J175" s="24" t="s">
        <v>70</v>
      </c>
      <c r="K175" s="24" t="s">
        <v>845</v>
      </c>
      <c r="L175" s="26" t="s">
        <v>416</v>
      </c>
      <c r="M175" s="26" t="s">
        <v>476</v>
      </c>
      <c r="N175" s="27" t="s">
        <v>634</v>
      </c>
      <c r="O175" s="25" t="s">
        <v>654</v>
      </c>
      <c r="P175" s="24" t="s">
        <v>74</v>
      </c>
      <c r="Q175" s="24"/>
      <c r="R175" s="24"/>
      <c r="S175" s="24"/>
      <c r="T175" s="24">
        <f>ROUND(IF(D175=Table!$C$3,V175*Table!$C$4/8,V175*Table!$D$4/8),3)</f>
        <v>64.918999999999997</v>
      </c>
      <c r="U175" s="24">
        <f t="shared" si="20"/>
        <v>64.918999999999997</v>
      </c>
      <c r="V175" s="24">
        <v>3.9950000000000001</v>
      </c>
      <c r="W175" s="24">
        <v>3</v>
      </c>
      <c r="X175" s="24" t="s">
        <v>82</v>
      </c>
      <c r="Y175" s="28">
        <v>43910</v>
      </c>
      <c r="Z175" s="28">
        <v>43920</v>
      </c>
      <c r="AA175" s="28">
        <v>43920</v>
      </c>
      <c r="AB175" s="28">
        <v>43920</v>
      </c>
      <c r="AC175" s="28" t="s">
        <v>204</v>
      </c>
      <c r="AD175" s="121"/>
      <c r="AE175" s="121"/>
      <c r="AF175" s="55">
        <v>0.86399999999999999</v>
      </c>
      <c r="AG175" s="55">
        <v>0.86399999999999999</v>
      </c>
      <c r="AH175" s="55">
        <v>0.5</v>
      </c>
      <c r="AI175" s="24" t="s">
        <v>733</v>
      </c>
      <c r="AJ175" s="24"/>
      <c r="AK175" s="24"/>
    </row>
    <row r="176" spans="2:37" x14ac:dyDescent="0.25">
      <c r="B176" s="62">
        <v>132</v>
      </c>
      <c r="C176" s="25">
        <v>20200319</v>
      </c>
      <c r="D176" s="24" t="s">
        <v>2</v>
      </c>
      <c r="E176" s="24" t="s">
        <v>455</v>
      </c>
      <c r="F176" s="26" t="s">
        <v>70</v>
      </c>
      <c r="G176" s="24" t="s">
        <v>447</v>
      </c>
      <c r="H176" s="24" t="s">
        <v>406</v>
      </c>
      <c r="I176" s="24" t="s">
        <v>334</v>
      </c>
      <c r="J176" s="24" t="s">
        <v>70</v>
      </c>
      <c r="K176" s="24" t="s">
        <v>845</v>
      </c>
      <c r="L176" s="26" t="s">
        <v>422</v>
      </c>
      <c r="M176" s="26" t="s">
        <v>476</v>
      </c>
      <c r="N176" s="27" t="s">
        <v>635</v>
      </c>
      <c r="O176" s="25" t="s">
        <v>654</v>
      </c>
      <c r="P176" s="24" t="s">
        <v>74</v>
      </c>
      <c r="Q176" s="24"/>
      <c r="R176" s="24"/>
      <c r="S176" s="24"/>
      <c r="T176" s="24">
        <f>ROUND(IF(D176=Table!$C$3,V176*Table!$C$4/8,V176*Table!$D$4/8),3)</f>
        <v>37.293999999999997</v>
      </c>
      <c r="U176" s="24">
        <f t="shared" si="20"/>
        <v>37.293999999999997</v>
      </c>
      <c r="V176" s="24">
        <v>2.2949999999999999</v>
      </c>
      <c r="W176" s="24">
        <v>6</v>
      </c>
      <c r="X176" s="24" t="s">
        <v>82</v>
      </c>
      <c r="Y176" s="28">
        <v>43910</v>
      </c>
      <c r="Z176" s="28">
        <v>43920</v>
      </c>
      <c r="AA176" s="28">
        <v>43916</v>
      </c>
      <c r="AB176" s="28">
        <v>43916</v>
      </c>
      <c r="AC176" s="28" t="s">
        <v>204</v>
      </c>
      <c r="AD176" s="121"/>
      <c r="AE176" s="121"/>
      <c r="AF176" s="55">
        <v>1</v>
      </c>
      <c r="AG176" s="55">
        <v>1</v>
      </c>
      <c r="AH176" s="55">
        <v>1</v>
      </c>
      <c r="AI176" s="24" t="s">
        <v>219</v>
      </c>
      <c r="AJ176" s="24"/>
      <c r="AK176" s="24" t="s">
        <v>219</v>
      </c>
    </row>
    <row r="177" spans="2:37" x14ac:dyDescent="0.25">
      <c r="B177" s="62">
        <v>133</v>
      </c>
      <c r="C177" s="25">
        <v>20200319</v>
      </c>
      <c r="D177" s="24" t="s">
        <v>2</v>
      </c>
      <c r="E177" s="24" t="s">
        <v>455</v>
      </c>
      <c r="F177" s="26" t="s">
        <v>70</v>
      </c>
      <c r="G177" s="24" t="s">
        <v>448</v>
      </c>
      <c r="H177" s="24" t="s">
        <v>407</v>
      </c>
      <c r="I177" s="24" t="s">
        <v>334</v>
      </c>
      <c r="J177" s="24" t="s">
        <v>70</v>
      </c>
      <c r="K177" s="24" t="s">
        <v>845</v>
      </c>
      <c r="L177" s="26" t="s">
        <v>423</v>
      </c>
      <c r="M177" s="26" t="s">
        <v>476</v>
      </c>
      <c r="N177" s="27" t="s">
        <v>636</v>
      </c>
      <c r="O177" s="25" t="s">
        <v>654</v>
      </c>
      <c r="P177" s="24" t="s">
        <v>74</v>
      </c>
      <c r="Q177" s="24"/>
      <c r="R177" s="24"/>
      <c r="S177" s="24"/>
      <c r="T177" s="24">
        <f>ROUND(IF(D177=Table!$C$3,V177*Table!$C$4/8,V177*Table!$D$4/8),3)</f>
        <v>26.244</v>
      </c>
      <c r="U177" s="24">
        <f t="shared" si="20"/>
        <v>26.244</v>
      </c>
      <c r="V177" s="24">
        <v>1.615</v>
      </c>
      <c r="W177" s="24">
        <v>3</v>
      </c>
      <c r="X177" s="24" t="s">
        <v>102</v>
      </c>
      <c r="Y177" s="28">
        <v>43910</v>
      </c>
      <c r="Z177" s="28">
        <v>43920</v>
      </c>
      <c r="AA177" s="28">
        <v>43916</v>
      </c>
      <c r="AB177" s="28">
        <v>43916</v>
      </c>
      <c r="AC177" s="28" t="s">
        <v>204</v>
      </c>
      <c r="AD177" s="121"/>
      <c r="AE177" s="121"/>
      <c r="AF177" s="55">
        <v>0.83299999999999996</v>
      </c>
      <c r="AG177" s="55">
        <v>0.83299999999999996</v>
      </c>
      <c r="AH177" s="55" t="s">
        <v>219</v>
      </c>
      <c r="AI177" s="24" t="s">
        <v>739</v>
      </c>
      <c r="AJ177" s="24"/>
      <c r="AK177" s="24" t="s">
        <v>219</v>
      </c>
    </row>
    <row r="178" spans="2:37" x14ac:dyDescent="0.25">
      <c r="B178" s="62">
        <v>134</v>
      </c>
      <c r="C178" s="25">
        <v>20200319</v>
      </c>
      <c r="D178" s="24" t="s">
        <v>2</v>
      </c>
      <c r="E178" s="24" t="s">
        <v>455</v>
      </c>
      <c r="F178" s="26" t="s">
        <v>70</v>
      </c>
      <c r="G178" s="24" t="s">
        <v>449</v>
      </c>
      <c r="H178" s="24" t="s">
        <v>408</v>
      </c>
      <c r="I178" s="24" t="s">
        <v>334</v>
      </c>
      <c r="J178" s="24" t="s">
        <v>70</v>
      </c>
      <c r="K178" s="24" t="s">
        <v>845</v>
      </c>
      <c r="L178" s="26" t="s">
        <v>424</v>
      </c>
      <c r="M178" s="26" t="s">
        <v>476</v>
      </c>
      <c r="N178" s="27" t="s">
        <v>637</v>
      </c>
      <c r="O178" s="25" t="s">
        <v>654</v>
      </c>
      <c r="P178" s="24" t="s">
        <v>74</v>
      </c>
      <c r="Q178" s="24"/>
      <c r="R178" s="24"/>
      <c r="S178" s="24"/>
      <c r="T178" s="24">
        <f>ROUND(IF(D178=Table!$C$3,V178*Table!$C$4/8,V178*Table!$D$4/8),3)</f>
        <v>26.244</v>
      </c>
      <c r="U178" s="24">
        <f t="shared" si="20"/>
        <v>26.244</v>
      </c>
      <c r="V178" s="24">
        <v>1.615</v>
      </c>
      <c r="W178" s="24">
        <v>4</v>
      </c>
      <c r="X178" s="24" t="s">
        <v>82</v>
      </c>
      <c r="Y178" s="28">
        <v>43910</v>
      </c>
      <c r="Z178" s="28">
        <v>43920</v>
      </c>
      <c r="AA178" s="28">
        <v>43917</v>
      </c>
      <c r="AB178" s="28">
        <v>43917</v>
      </c>
      <c r="AC178" s="28" t="s">
        <v>204</v>
      </c>
      <c r="AD178" s="121"/>
      <c r="AE178" s="121"/>
      <c r="AF178" s="55">
        <v>0.77300000000000002</v>
      </c>
      <c r="AG178" s="55">
        <v>0.77300000000000002</v>
      </c>
      <c r="AH178" s="55" t="s">
        <v>219</v>
      </c>
      <c r="AI178" s="24" t="s">
        <v>740</v>
      </c>
      <c r="AJ178" s="24"/>
      <c r="AK178" s="24" t="s">
        <v>219</v>
      </c>
    </row>
    <row r="179" spans="2:37" x14ac:dyDescent="0.25">
      <c r="B179" s="62">
        <v>135</v>
      </c>
      <c r="C179" s="25">
        <v>20200319</v>
      </c>
      <c r="D179" s="24" t="s">
        <v>2</v>
      </c>
      <c r="E179" s="24" t="s">
        <v>455</v>
      </c>
      <c r="F179" s="26" t="s">
        <v>70</v>
      </c>
      <c r="G179" s="24" t="s">
        <v>450</v>
      </c>
      <c r="H179" s="24" t="s">
        <v>409</v>
      </c>
      <c r="I179" s="24" t="s">
        <v>334</v>
      </c>
      <c r="J179" s="24" t="s">
        <v>70</v>
      </c>
      <c r="K179" s="24" t="s">
        <v>845</v>
      </c>
      <c r="L179" s="26" t="s">
        <v>422</v>
      </c>
      <c r="M179" s="26" t="s">
        <v>476</v>
      </c>
      <c r="N179" s="27" t="s">
        <v>638</v>
      </c>
      <c r="O179" s="25" t="s">
        <v>654</v>
      </c>
      <c r="P179" s="24" t="s">
        <v>74</v>
      </c>
      <c r="Q179" s="24"/>
      <c r="R179" s="24"/>
      <c r="S179" s="24"/>
      <c r="T179" s="24">
        <f>ROUND(IF(D179=Table!$C$3,V179*Table!$C$4/8,V179*Table!$D$4/8),3)</f>
        <v>59.393999999999998</v>
      </c>
      <c r="U179" s="24">
        <f t="shared" si="20"/>
        <v>59.393999999999998</v>
      </c>
      <c r="V179" s="24">
        <v>3.6549999999999998</v>
      </c>
      <c r="W179" s="24">
        <v>4</v>
      </c>
      <c r="X179" s="24" t="s">
        <v>82</v>
      </c>
      <c r="Y179" s="28">
        <v>43910</v>
      </c>
      <c r="Z179" s="28">
        <v>43920</v>
      </c>
      <c r="AA179" s="28">
        <v>43917</v>
      </c>
      <c r="AB179" s="28">
        <v>43917</v>
      </c>
      <c r="AC179" s="28" t="s">
        <v>204</v>
      </c>
      <c r="AD179" s="121"/>
      <c r="AE179" s="121"/>
      <c r="AF179" s="55">
        <v>0.75800000000000001</v>
      </c>
      <c r="AG179" s="55">
        <v>0.75800000000000001</v>
      </c>
      <c r="AH179" s="55" t="s">
        <v>219</v>
      </c>
      <c r="AI179" s="24" t="s">
        <v>741</v>
      </c>
      <c r="AJ179" s="24"/>
      <c r="AK179" s="24" t="s">
        <v>219</v>
      </c>
    </row>
    <row r="180" spans="2:37" x14ac:dyDescent="0.25">
      <c r="B180" s="62">
        <v>136</v>
      </c>
      <c r="C180" s="25">
        <v>20200319</v>
      </c>
      <c r="D180" s="24" t="s">
        <v>2</v>
      </c>
      <c r="E180" s="24" t="s">
        <v>455</v>
      </c>
      <c r="F180" s="26" t="s">
        <v>70</v>
      </c>
      <c r="G180" s="24" t="s">
        <v>451</v>
      </c>
      <c r="H180" s="24" t="s">
        <v>410</v>
      </c>
      <c r="I180" s="24" t="s">
        <v>334</v>
      </c>
      <c r="J180" s="24" t="s">
        <v>70</v>
      </c>
      <c r="K180" s="24" t="s">
        <v>845</v>
      </c>
      <c r="L180" s="26" t="s">
        <v>422</v>
      </c>
      <c r="M180" s="26" t="s">
        <v>476</v>
      </c>
      <c r="N180" s="27" t="s">
        <v>639</v>
      </c>
      <c r="O180" s="25" t="s">
        <v>654</v>
      </c>
      <c r="P180" s="24" t="s">
        <v>74</v>
      </c>
      <c r="Q180" s="24"/>
      <c r="R180" s="24"/>
      <c r="S180" s="24"/>
      <c r="T180" s="24">
        <f>ROUND(IF(D180=Table!$C$3,V180*Table!$C$4/8,V180*Table!$D$4/8),3)</f>
        <v>48.344000000000001</v>
      </c>
      <c r="U180" s="24">
        <f t="shared" si="20"/>
        <v>48.344000000000001</v>
      </c>
      <c r="V180" s="24">
        <v>2.9750000000000001</v>
      </c>
      <c r="W180" s="24">
        <v>4</v>
      </c>
      <c r="X180" s="24" t="s">
        <v>82</v>
      </c>
      <c r="Y180" s="28">
        <v>43910</v>
      </c>
      <c r="Z180" s="28">
        <v>43920</v>
      </c>
      <c r="AA180" s="28">
        <v>43920</v>
      </c>
      <c r="AB180" s="28">
        <v>43920</v>
      </c>
      <c r="AC180" s="28" t="s">
        <v>204</v>
      </c>
      <c r="AD180" s="121"/>
      <c r="AE180" s="121"/>
      <c r="AF180" s="55">
        <v>0.84</v>
      </c>
      <c r="AG180" s="55">
        <v>0.84</v>
      </c>
      <c r="AH180" s="55">
        <v>0.64</v>
      </c>
      <c r="AI180" s="24"/>
      <c r="AJ180" s="24"/>
      <c r="AK180" s="24"/>
    </row>
    <row r="181" spans="2:37" x14ac:dyDescent="0.25">
      <c r="B181" s="62">
        <v>137</v>
      </c>
      <c r="C181" s="25">
        <v>20200319</v>
      </c>
      <c r="D181" s="24" t="s">
        <v>2</v>
      </c>
      <c r="E181" s="24" t="s">
        <v>455</v>
      </c>
      <c r="F181" s="26" t="s">
        <v>70</v>
      </c>
      <c r="G181" s="24" t="s">
        <v>452</v>
      </c>
      <c r="H181" s="24" t="s">
        <v>411</v>
      </c>
      <c r="I181" s="24" t="s">
        <v>334</v>
      </c>
      <c r="J181" s="24" t="s">
        <v>70</v>
      </c>
      <c r="K181" s="24" t="s">
        <v>845</v>
      </c>
      <c r="L181" s="26" t="s">
        <v>422</v>
      </c>
      <c r="M181" s="26" t="s">
        <v>476</v>
      </c>
      <c r="N181" s="27" t="s">
        <v>640</v>
      </c>
      <c r="O181" s="25" t="s">
        <v>654</v>
      </c>
      <c r="P181" s="24" t="s">
        <v>74</v>
      </c>
      <c r="Q181" s="24"/>
      <c r="R181" s="24"/>
      <c r="S181" s="24"/>
      <c r="T181" s="24">
        <f>ROUND(IF(D181=Table!$C$3,V181*Table!$C$4/8,V181*Table!$D$4/8),3)</f>
        <v>48.344000000000001</v>
      </c>
      <c r="U181" s="24">
        <f t="shared" si="20"/>
        <v>48.344000000000001</v>
      </c>
      <c r="V181" s="24">
        <v>2.9750000000000001</v>
      </c>
      <c r="W181" s="24">
        <v>4</v>
      </c>
      <c r="X181" s="24" t="s">
        <v>82</v>
      </c>
      <c r="Y181" s="28">
        <v>43910</v>
      </c>
      <c r="Z181" s="28">
        <v>43920</v>
      </c>
      <c r="AA181" s="28">
        <v>43920</v>
      </c>
      <c r="AB181" s="28">
        <v>43920</v>
      </c>
      <c r="AC181" s="28" t="s">
        <v>204</v>
      </c>
      <c r="AD181" s="121"/>
      <c r="AE181" s="121"/>
      <c r="AF181" s="55">
        <v>0.91700000000000004</v>
      </c>
      <c r="AG181" s="55">
        <v>0.91700000000000004</v>
      </c>
      <c r="AH181" s="55" t="s">
        <v>219</v>
      </c>
      <c r="AI181" s="24" t="s">
        <v>742</v>
      </c>
      <c r="AJ181" s="24"/>
      <c r="AK181" s="24" t="s">
        <v>219</v>
      </c>
    </row>
    <row r="182" spans="2:37" x14ac:dyDescent="0.25">
      <c r="B182" s="62">
        <v>138</v>
      </c>
      <c r="C182" s="25">
        <v>20200319</v>
      </c>
      <c r="D182" s="24" t="s">
        <v>2</v>
      </c>
      <c r="E182" s="24" t="s">
        <v>455</v>
      </c>
      <c r="F182" s="26" t="s">
        <v>70</v>
      </c>
      <c r="G182" s="24" t="s">
        <v>453</v>
      </c>
      <c r="H182" s="24" t="s">
        <v>412</v>
      </c>
      <c r="I182" s="24" t="s">
        <v>334</v>
      </c>
      <c r="J182" s="24" t="s">
        <v>70</v>
      </c>
      <c r="K182" s="24" t="s">
        <v>845</v>
      </c>
      <c r="L182" s="26" t="s">
        <v>425</v>
      </c>
      <c r="M182" s="26" t="s">
        <v>476</v>
      </c>
      <c r="N182" s="27" t="s">
        <v>641</v>
      </c>
      <c r="O182" s="25" t="s">
        <v>654</v>
      </c>
      <c r="P182" s="24" t="s">
        <v>74</v>
      </c>
      <c r="Q182" s="24"/>
      <c r="R182" s="24"/>
      <c r="S182" s="24"/>
      <c r="T182" s="24">
        <f>ROUND(IF(D182=Table!$C$3,V182*Table!$C$4/8,V182*Table!$D$4/8),3)</f>
        <v>59.393999999999998</v>
      </c>
      <c r="U182" s="24">
        <f t="shared" si="20"/>
        <v>59.393999999999998</v>
      </c>
      <c r="V182" s="24">
        <v>3.6549999999999998</v>
      </c>
      <c r="W182" s="24">
        <v>4</v>
      </c>
      <c r="X182" s="24" t="s">
        <v>82</v>
      </c>
      <c r="Y182" s="28">
        <v>43910</v>
      </c>
      <c r="Z182" s="28">
        <v>43920</v>
      </c>
      <c r="AA182" s="28">
        <v>43917</v>
      </c>
      <c r="AB182" s="28">
        <v>43917</v>
      </c>
      <c r="AC182" s="28" t="s">
        <v>204</v>
      </c>
      <c r="AD182" s="121"/>
      <c r="AE182" s="121"/>
      <c r="AF182" s="55">
        <v>1</v>
      </c>
      <c r="AG182" s="55">
        <v>1</v>
      </c>
      <c r="AH182" s="55" t="s">
        <v>219</v>
      </c>
      <c r="AI182" s="24"/>
      <c r="AJ182" s="24"/>
      <c r="AK182" s="24"/>
    </row>
    <row r="183" spans="2:37" x14ac:dyDescent="0.25">
      <c r="B183" s="62">
        <v>139</v>
      </c>
      <c r="C183" s="25">
        <v>20200319</v>
      </c>
      <c r="D183" s="24" t="s">
        <v>2</v>
      </c>
      <c r="E183" s="24" t="s">
        <v>455</v>
      </c>
      <c r="F183" s="26" t="s">
        <v>70</v>
      </c>
      <c r="G183" s="24" t="s">
        <v>454</v>
      </c>
      <c r="H183" s="24" t="s">
        <v>413</v>
      </c>
      <c r="I183" s="24" t="s">
        <v>334</v>
      </c>
      <c r="J183" s="24" t="s">
        <v>70</v>
      </c>
      <c r="K183" s="24" t="s">
        <v>845</v>
      </c>
      <c r="L183" s="26" t="s">
        <v>426</v>
      </c>
      <c r="M183" s="26" t="s">
        <v>476</v>
      </c>
      <c r="N183" s="27" t="s">
        <v>642</v>
      </c>
      <c r="O183" s="25" t="s">
        <v>654</v>
      </c>
      <c r="P183" s="24" t="s">
        <v>74</v>
      </c>
      <c r="Q183" s="24"/>
      <c r="R183" s="24"/>
      <c r="S183" s="24"/>
      <c r="T183" s="24">
        <f>ROUND(IF(D183=Table!$C$3,V183*Table!$C$4/8,V183*Table!$D$4/8),3)</f>
        <v>59.393999999999998</v>
      </c>
      <c r="U183" s="24">
        <f t="shared" si="20"/>
        <v>59.393999999999998</v>
      </c>
      <c r="V183" s="24">
        <v>3.6549999999999998</v>
      </c>
      <c r="W183" s="24">
        <v>4</v>
      </c>
      <c r="X183" s="24" t="s">
        <v>82</v>
      </c>
      <c r="Y183" s="28">
        <v>43910</v>
      </c>
      <c r="Z183" s="28">
        <v>43920</v>
      </c>
      <c r="AA183" s="28">
        <v>43916</v>
      </c>
      <c r="AB183" s="28">
        <v>43916</v>
      </c>
      <c r="AC183" s="28" t="s">
        <v>204</v>
      </c>
      <c r="AD183" s="121"/>
      <c r="AE183" s="121"/>
      <c r="AF183" s="55">
        <v>1</v>
      </c>
      <c r="AG183" s="55">
        <v>1</v>
      </c>
      <c r="AH183" s="55">
        <v>1</v>
      </c>
      <c r="AI183" s="24"/>
      <c r="AJ183" s="24"/>
      <c r="AK183" s="24"/>
    </row>
    <row r="184" spans="2:37" x14ac:dyDescent="0.25">
      <c r="B184" s="47">
        <v>140</v>
      </c>
      <c r="C184" s="85">
        <v>20200330</v>
      </c>
      <c r="D184" s="24" t="s">
        <v>3</v>
      </c>
      <c r="E184" s="24" t="s">
        <v>676</v>
      </c>
      <c r="F184" s="26" t="s">
        <v>70</v>
      </c>
      <c r="G184" s="24" t="s">
        <v>677</v>
      </c>
      <c r="H184" s="24" t="s">
        <v>661</v>
      </c>
      <c r="I184" s="24" t="s">
        <v>334</v>
      </c>
      <c r="J184" s="24" t="s">
        <v>70</v>
      </c>
      <c r="K184" s="24" t="s">
        <v>846</v>
      </c>
      <c r="L184" s="26" t="s">
        <v>714</v>
      </c>
      <c r="M184" s="26" t="s">
        <v>698</v>
      </c>
      <c r="N184" s="27" t="s">
        <v>699</v>
      </c>
      <c r="O184" s="25" t="s">
        <v>323</v>
      </c>
      <c r="P184" s="24" t="s">
        <v>6</v>
      </c>
      <c r="Q184" s="24"/>
      <c r="R184" s="24"/>
      <c r="S184" s="24">
        <v>47</v>
      </c>
      <c r="T184" s="24">
        <f>ROUND(IF(D184=Table!$C$3,V184*Table!$C$4/8,V184*Table!$D$4/8),3)</f>
        <v>90</v>
      </c>
      <c r="U184" s="24">
        <f t="shared" si="20"/>
        <v>90</v>
      </c>
      <c r="V184" s="24">
        <v>1.6</v>
      </c>
      <c r="W184" s="24">
        <v>8</v>
      </c>
      <c r="X184" s="24" t="s">
        <v>83</v>
      </c>
      <c r="Y184" s="28">
        <v>43920</v>
      </c>
      <c r="Z184" s="28">
        <v>43924</v>
      </c>
      <c r="AA184" s="28">
        <v>43920</v>
      </c>
      <c r="AB184" s="28">
        <v>43920</v>
      </c>
      <c r="AC184" s="28" t="s">
        <v>204</v>
      </c>
      <c r="AD184" s="121"/>
      <c r="AE184" s="121"/>
      <c r="AF184" s="55">
        <v>1</v>
      </c>
      <c r="AG184" s="55">
        <v>1</v>
      </c>
      <c r="AH184" s="55">
        <v>1</v>
      </c>
      <c r="AI184" s="24"/>
      <c r="AJ184" s="24"/>
      <c r="AK184" s="24" t="s">
        <v>683</v>
      </c>
    </row>
    <row r="185" spans="2:37" x14ac:dyDescent="0.25">
      <c r="B185" s="47">
        <v>141</v>
      </c>
      <c r="C185" s="85">
        <v>20200330</v>
      </c>
      <c r="D185" s="24" t="s">
        <v>3</v>
      </c>
      <c r="E185" s="24" t="s">
        <v>676</v>
      </c>
      <c r="F185" s="26" t="s">
        <v>70</v>
      </c>
      <c r="G185" s="24" t="s">
        <v>210</v>
      </c>
      <c r="H185" s="24" t="s">
        <v>662</v>
      </c>
      <c r="I185" s="24" t="s">
        <v>335</v>
      </c>
      <c r="J185" s="24" t="s">
        <v>70</v>
      </c>
      <c r="K185" s="24" t="s">
        <v>846</v>
      </c>
      <c r="L185" s="26" t="s">
        <v>715</v>
      </c>
      <c r="M185" s="26" t="s">
        <v>698</v>
      </c>
      <c r="N185" s="27" t="s">
        <v>700</v>
      </c>
      <c r="O185" s="25" t="s">
        <v>323</v>
      </c>
      <c r="P185" s="24" t="s">
        <v>6</v>
      </c>
      <c r="Q185" s="24"/>
      <c r="R185" s="24"/>
      <c r="S185" s="24">
        <v>1823</v>
      </c>
      <c r="T185" s="24">
        <f>ROUND(IF(D185=Table!$C$3,V185*Table!$C$4/8,V185*Table!$D$4/8),3)</f>
        <v>225</v>
      </c>
      <c r="U185" s="24">
        <f t="shared" si="20"/>
        <v>225</v>
      </c>
      <c r="V185" s="24">
        <v>4</v>
      </c>
      <c r="W185" s="24">
        <v>8</v>
      </c>
      <c r="X185" s="24" t="s">
        <v>83</v>
      </c>
      <c r="Y185" s="28">
        <v>43920</v>
      </c>
      <c r="Z185" s="28">
        <v>43924</v>
      </c>
      <c r="AA185" s="28">
        <v>43921</v>
      </c>
      <c r="AB185" s="28">
        <v>43921</v>
      </c>
      <c r="AC185" s="28" t="s">
        <v>204</v>
      </c>
      <c r="AD185" s="121"/>
      <c r="AE185" s="121"/>
      <c r="AF185" s="55">
        <v>1</v>
      </c>
      <c r="AG185" s="55">
        <v>0.83</v>
      </c>
      <c r="AH185" s="55">
        <v>0</v>
      </c>
      <c r="AI185" s="24" t="s">
        <v>754</v>
      </c>
      <c r="AJ185" s="86"/>
      <c r="AK185" s="24" t="s">
        <v>684</v>
      </c>
    </row>
    <row r="186" spans="2:37" x14ac:dyDescent="0.25">
      <c r="B186" s="47">
        <v>142</v>
      </c>
      <c r="C186" s="85">
        <v>20200330</v>
      </c>
      <c r="D186" s="24" t="s">
        <v>3</v>
      </c>
      <c r="E186" s="24" t="s">
        <v>676</v>
      </c>
      <c r="F186" s="26" t="s">
        <v>70</v>
      </c>
      <c r="G186" s="24" t="s">
        <v>678</v>
      </c>
      <c r="H186" s="24" t="s">
        <v>663</v>
      </c>
      <c r="I186" s="24" t="s">
        <v>335</v>
      </c>
      <c r="J186" s="24" t="s">
        <v>70</v>
      </c>
      <c r="K186" s="24" t="s">
        <v>846</v>
      </c>
      <c r="L186" s="26" t="s">
        <v>716</v>
      </c>
      <c r="M186" s="26" t="s">
        <v>698</v>
      </c>
      <c r="N186" s="27" t="s">
        <v>701</v>
      </c>
      <c r="O186" s="25" t="s">
        <v>324</v>
      </c>
      <c r="P186" s="24" t="s">
        <v>73</v>
      </c>
      <c r="Q186" s="24"/>
      <c r="R186" s="24"/>
      <c r="S186" s="24">
        <v>83</v>
      </c>
      <c r="T186" s="24">
        <f>ROUND(IF(D186=Table!$C$3,V186*Table!$C$4/8,V186*Table!$D$4/8),3)</f>
        <v>90</v>
      </c>
      <c r="U186" s="24">
        <f t="shared" si="20"/>
        <v>90</v>
      </c>
      <c r="V186" s="24">
        <v>1.6</v>
      </c>
      <c r="W186" s="24">
        <v>4</v>
      </c>
      <c r="X186" s="24" t="s">
        <v>83</v>
      </c>
      <c r="Y186" s="28">
        <v>43920</v>
      </c>
      <c r="Z186" s="28">
        <v>43921</v>
      </c>
      <c r="AA186" s="28">
        <v>43920</v>
      </c>
      <c r="AB186" s="28">
        <v>43920</v>
      </c>
      <c r="AC186" s="28" t="s">
        <v>204</v>
      </c>
      <c r="AD186" s="121"/>
      <c r="AE186" s="121"/>
      <c r="AF186" s="55">
        <v>1</v>
      </c>
      <c r="AG186" s="55">
        <v>1</v>
      </c>
      <c r="AH186" s="55">
        <v>0.83</v>
      </c>
      <c r="AI186" s="24"/>
      <c r="AJ186" s="24"/>
      <c r="AK186" s="24" t="s">
        <v>685</v>
      </c>
    </row>
    <row r="187" spans="2:37" x14ac:dyDescent="0.25">
      <c r="B187" s="47">
        <v>143</v>
      </c>
      <c r="C187" s="85">
        <v>20200330</v>
      </c>
      <c r="D187" s="24" t="s">
        <v>3</v>
      </c>
      <c r="E187" s="24" t="s">
        <v>676</v>
      </c>
      <c r="F187" s="26" t="s">
        <v>70</v>
      </c>
      <c r="G187" s="24" t="s">
        <v>679</v>
      </c>
      <c r="H187" s="24" t="s">
        <v>664</v>
      </c>
      <c r="I187" s="24" t="s">
        <v>335</v>
      </c>
      <c r="J187" s="24" t="s">
        <v>70</v>
      </c>
      <c r="K187" s="24" t="s">
        <v>846</v>
      </c>
      <c r="L187" s="26" t="s">
        <v>717</v>
      </c>
      <c r="M187" s="26" t="s">
        <v>698</v>
      </c>
      <c r="N187" s="27" t="s">
        <v>702</v>
      </c>
      <c r="O187" s="25" t="s">
        <v>324</v>
      </c>
      <c r="P187" s="24" t="s">
        <v>73</v>
      </c>
      <c r="Q187" s="24"/>
      <c r="R187" s="24"/>
      <c r="S187" s="24">
        <v>765</v>
      </c>
      <c r="T187" s="24">
        <f>ROUND(IF(D187=Table!$C$3,V187*Table!$C$4/8,V187*Table!$D$4/8),3)</f>
        <v>135</v>
      </c>
      <c r="U187" s="24">
        <f t="shared" si="20"/>
        <v>135</v>
      </c>
      <c r="V187" s="24">
        <v>2.4</v>
      </c>
      <c r="W187" s="24">
        <v>4</v>
      </c>
      <c r="X187" s="24" t="s">
        <v>83</v>
      </c>
      <c r="Y187" s="28">
        <v>43920</v>
      </c>
      <c r="Z187" s="28">
        <v>43921</v>
      </c>
      <c r="AA187" s="28">
        <v>43920</v>
      </c>
      <c r="AB187" s="28">
        <v>43920</v>
      </c>
      <c r="AC187" s="28" t="s">
        <v>204</v>
      </c>
      <c r="AD187" s="121"/>
      <c r="AE187" s="121"/>
      <c r="AF187" s="55">
        <v>1</v>
      </c>
      <c r="AG187" s="55">
        <v>1</v>
      </c>
      <c r="AH187" s="55">
        <v>1</v>
      </c>
      <c r="AI187" s="24"/>
      <c r="AJ187" s="24"/>
      <c r="AK187" s="24" t="s">
        <v>686</v>
      </c>
    </row>
    <row r="188" spans="2:37" x14ac:dyDescent="0.25">
      <c r="B188" s="47">
        <v>144</v>
      </c>
      <c r="C188" s="85">
        <v>20200330</v>
      </c>
      <c r="D188" s="24" t="s">
        <v>3</v>
      </c>
      <c r="E188" s="24" t="s">
        <v>676</v>
      </c>
      <c r="F188" s="26" t="s">
        <v>70</v>
      </c>
      <c r="G188" s="24" t="s">
        <v>124</v>
      </c>
      <c r="H188" s="24" t="s">
        <v>665</v>
      </c>
      <c r="I188" s="24" t="s">
        <v>335</v>
      </c>
      <c r="J188" s="24" t="s">
        <v>70</v>
      </c>
      <c r="K188" s="24" t="s">
        <v>846</v>
      </c>
      <c r="L188" s="26" t="s">
        <v>718</v>
      </c>
      <c r="M188" s="26" t="s">
        <v>698</v>
      </c>
      <c r="N188" s="27" t="s">
        <v>703</v>
      </c>
      <c r="O188" s="25" t="s">
        <v>325</v>
      </c>
      <c r="P188" s="24" t="s">
        <v>75</v>
      </c>
      <c r="Q188" s="24"/>
      <c r="R188" s="24"/>
      <c r="S188" s="24">
        <v>128</v>
      </c>
      <c r="T188" s="24">
        <f>ROUND(IF(D188=Table!$C$3,V188*Table!$C$4/8,V188*Table!$D$4/8),3)</f>
        <v>90</v>
      </c>
      <c r="U188" s="24">
        <f t="shared" si="20"/>
        <v>90</v>
      </c>
      <c r="V188" s="24">
        <v>1.6</v>
      </c>
      <c r="W188" s="24">
        <v>4</v>
      </c>
      <c r="X188" s="24" t="s">
        <v>83</v>
      </c>
      <c r="Y188" s="28">
        <v>43920</v>
      </c>
      <c r="Z188" s="28">
        <v>43924</v>
      </c>
      <c r="AA188" s="28">
        <v>43924</v>
      </c>
      <c r="AB188" s="28">
        <v>43924</v>
      </c>
      <c r="AC188" s="28" t="s">
        <v>204</v>
      </c>
      <c r="AD188" s="121"/>
      <c r="AE188" s="121"/>
      <c r="AF188" s="55">
        <v>1</v>
      </c>
      <c r="AG188" s="55">
        <v>1</v>
      </c>
      <c r="AH188" s="55">
        <v>1</v>
      </c>
      <c r="AI188" s="24"/>
      <c r="AJ188" s="24"/>
      <c r="AK188" s="24" t="s">
        <v>687</v>
      </c>
    </row>
    <row r="189" spans="2:37" x14ac:dyDescent="0.25">
      <c r="B189" s="47">
        <v>145</v>
      </c>
      <c r="C189" s="85">
        <v>20200330</v>
      </c>
      <c r="D189" s="24" t="s">
        <v>3</v>
      </c>
      <c r="E189" s="24" t="s">
        <v>676</v>
      </c>
      <c r="F189" s="26" t="s">
        <v>70</v>
      </c>
      <c r="G189" s="24" t="s">
        <v>680</v>
      </c>
      <c r="H189" s="24" t="s">
        <v>666</v>
      </c>
      <c r="I189" s="24" t="s">
        <v>335</v>
      </c>
      <c r="J189" s="24" t="s">
        <v>70</v>
      </c>
      <c r="K189" s="24" t="s">
        <v>846</v>
      </c>
      <c r="L189" s="26" t="s">
        <v>719</v>
      </c>
      <c r="M189" s="26" t="s">
        <v>698</v>
      </c>
      <c r="N189" s="27" t="s">
        <v>704</v>
      </c>
      <c r="O189" s="25" t="s">
        <v>325</v>
      </c>
      <c r="P189" s="24" t="s">
        <v>75</v>
      </c>
      <c r="Q189" s="24"/>
      <c r="R189" s="24"/>
      <c r="S189" s="24">
        <v>283</v>
      </c>
      <c r="T189" s="24">
        <f>ROUND(IF(D189=Table!$C$3,V189*Table!$C$4/8,V189*Table!$D$4/8),3)</f>
        <v>90</v>
      </c>
      <c r="U189" s="24">
        <f t="shared" si="20"/>
        <v>90</v>
      </c>
      <c r="V189" s="24">
        <v>1.6</v>
      </c>
      <c r="W189" s="24">
        <v>4</v>
      </c>
      <c r="X189" s="24" t="s">
        <v>83</v>
      </c>
      <c r="Y189" s="28">
        <v>43920</v>
      </c>
      <c r="Z189" s="28">
        <v>43924</v>
      </c>
      <c r="AA189" s="28">
        <v>43924</v>
      </c>
      <c r="AB189" s="28">
        <v>43924</v>
      </c>
      <c r="AC189" s="28" t="s">
        <v>204</v>
      </c>
      <c r="AD189" s="121"/>
      <c r="AE189" s="121"/>
      <c r="AF189" s="55">
        <v>1</v>
      </c>
      <c r="AG189" s="55">
        <v>1</v>
      </c>
      <c r="AH189" s="55">
        <v>1</v>
      </c>
      <c r="AI189" s="24"/>
      <c r="AJ189" s="24"/>
      <c r="AK189" s="24" t="s">
        <v>688</v>
      </c>
    </row>
    <row r="190" spans="2:37" x14ac:dyDescent="0.25">
      <c r="B190" s="47">
        <v>146</v>
      </c>
      <c r="C190" s="85">
        <v>20200330</v>
      </c>
      <c r="D190" s="24" t="s">
        <v>3</v>
      </c>
      <c r="E190" s="24" t="s">
        <v>676</v>
      </c>
      <c r="F190" s="26" t="s">
        <v>70</v>
      </c>
      <c r="G190" s="24" t="s">
        <v>127</v>
      </c>
      <c r="H190" s="24" t="s">
        <v>667</v>
      </c>
      <c r="I190" s="24" t="s">
        <v>335</v>
      </c>
      <c r="J190" s="24" t="s">
        <v>70</v>
      </c>
      <c r="K190" s="24" t="s">
        <v>846</v>
      </c>
      <c r="L190" s="26" t="s">
        <v>720</v>
      </c>
      <c r="M190" s="26" t="s">
        <v>698</v>
      </c>
      <c r="N190" s="27" t="s">
        <v>705</v>
      </c>
      <c r="O190" s="25" t="s">
        <v>325</v>
      </c>
      <c r="P190" s="24" t="s">
        <v>75</v>
      </c>
      <c r="Q190" s="24"/>
      <c r="R190" s="24"/>
      <c r="S190" s="24">
        <v>1998</v>
      </c>
      <c r="T190" s="24">
        <f>ROUND(IF(D190=Table!$C$3,V190*Table!$C$4/8,V190*Table!$D$4/8),3)</f>
        <v>135</v>
      </c>
      <c r="U190" s="24">
        <f t="shared" si="20"/>
        <v>135</v>
      </c>
      <c r="V190" s="24">
        <v>2.4</v>
      </c>
      <c r="W190" s="24">
        <v>4</v>
      </c>
      <c r="X190" s="24" t="s">
        <v>83</v>
      </c>
      <c r="Y190" s="28">
        <v>43920</v>
      </c>
      <c r="Z190" s="28">
        <v>43924</v>
      </c>
      <c r="AA190" s="28">
        <v>43924</v>
      </c>
      <c r="AB190" s="28">
        <v>43924</v>
      </c>
      <c r="AC190" s="28" t="s">
        <v>204</v>
      </c>
      <c r="AD190" s="121"/>
      <c r="AE190" s="121"/>
      <c r="AF190" s="55">
        <v>1</v>
      </c>
      <c r="AG190" s="55">
        <v>1</v>
      </c>
      <c r="AH190" s="55">
        <v>1</v>
      </c>
      <c r="AI190" s="24"/>
      <c r="AJ190" s="24"/>
      <c r="AK190" s="24" t="s">
        <v>689</v>
      </c>
    </row>
    <row r="191" spans="2:37" x14ac:dyDescent="0.25">
      <c r="B191" s="47">
        <v>147</v>
      </c>
      <c r="C191" s="85">
        <v>20200330</v>
      </c>
      <c r="D191" s="24" t="s">
        <v>3</v>
      </c>
      <c r="E191" s="24" t="s">
        <v>676</v>
      </c>
      <c r="F191" s="26" t="s">
        <v>70</v>
      </c>
      <c r="G191" s="24" t="s">
        <v>129</v>
      </c>
      <c r="H191" s="24" t="s">
        <v>668</v>
      </c>
      <c r="I191" s="24" t="s">
        <v>335</v>
      </c>
      <c r="J191" s="24" t="s">
        <v>70</v>
      </c>
      <c r="K191" s="24" t="s">
        <v>846</v>
      </c>
      <c r="L191" s="26" t="s">
        <v>721</v>
      </c>
      <c r="M191" s="26" t="s">
        <v>698</v>
      </c>
      <c r="N191" s="27" t="s">
        <v>706</v>
      </c>
      <c r="O191" s="25" t="s">
        <v>326</v>
      </c>
      <c r="P191" s="24" t="s">
        <v>74</v>
      </c>
      <c r="Q191" s="24"/>
      <c r="R191" s="24"/>
      <c r="S191" s="24">
        <v>191</v>
      </c>
      <c r="T191" s="24">
        <f>ROUND(IF(D191=Table!$C$3,V191*Table!$C$4/8,V191*Table!$D$4/8),3)</f>
        <v>360</v>
      </c>
      <c r="U191" s="24">
        <f t="shared" si="20"/>
        <v>360</v>
      </c>
      <c r="V191" s="24">
        <v>6.4</v>
      </c>
      <c r="W191" s="24">
        <v>4</v>
      </c>
      <c r="X191" s="24" t="s">
        <v>83</v>
      </c>
      <c r="Y191" s="28">
        <v>43920</v>
      </c>
      <c r="Z191" s="28">
        <v>43924</v>
      </c>
      <c r="AA191" s="28">
        <v>43924</v>
      </c>
      <c r="AB191" s="28">
        <v>43924</v>
      </c>
      <c r="AC191" s="28" t="s">
        <v>204</v>
      </c>
      <c r="AD191" s="121"/>
      <c r="AE191" s="121"/>
      <c r="AF191" s="55">
        <v>1</v>
      </c>
      <c r="AG191" s="55">
        <v>1</v>
      </c>
      <c r="AH191" s="55">
        <v>1</v>
      </c>
      <c r="AI191" s="24"/>
      <c r="AJ191" s="24"/>
      <c r="AK191" s="24" t="s">
        <v>690</v>
      </c>
    </row>
    <row r="192" spans="2:37" x14ac:dyDescent="0.25">
      <c r="B192" s="47">
        <v>148</v>
      </c>
      <c r="C192" s="85">
        <v>20200330</v>
      </c>
      <c r="D192" s="24" t="s">
        <v>3</v>
      </c>
      <c r="E192" s="24" t="s">
        <v>676</v>
      </c>
      <c r="F192" s="26" t="s">
        <v>70</v>
      </c>
      <c r="G192" s="24" t="s">
        <v>681</v>
      </c>
      <c r="H192" s="24" t="s">
        <v>669</v>
      </c>
      <c r="I192" s="24" t="s">
        <v>335</v>
      </c>
      <c r="J192" s="24" t="s">
        <v>70</v>
      </c>
      <c r="K192" s="24" t="s">
        <v>846</v>
      </c>
      <c r="L192" s="26" t="s">
        <v>722</v>
      </c>
      <c r="M192" s="26" t="s">
        <v>698</v>
      </c>
      <c r="N192" s="27" t="s">
        <v>707</v>
      </c>
      <c r="O192" s="25" t="s">
        <v>326</v>
      </c>
      <c r="P192" s="24" t="s">
        <v>74</v>
      </c>
      <c r="Q192" s="24"/>
      <c r="R192" s="24"/>
      <c r="S192" s="24">
        <v>1379</v>
      </c>
      <c r="T192" s="24">
        <f>ROUND(IF(D192=Table!$C$3,V192*Table!$C$4/8,V192*Table!$D$4/8),3)</f>
        <v>900</v>
      </c>
      <c r="U192" s="24">
        <f t="shared" si="20"/>
        <v>900</v>
      </c>
      <c r="V192" s="24">
        <v>16</v>
      </c>
      <c r="W192" s="24">
        <v>4</v>
      </c>
      <c r="X192" s="24" t="s">
        <v>83</v>
      </c>
      <c r="Y192" s="28">
        <v>43920</v>
      </c>
      <c r="Z192" s="28">
        <v>43924</v>
      </c>
      <c r="AA192" s="28">
        <v>43924</v>
      </c>
      <c r="AB192" s="28">
        <v>43924</v>
      </c>
      <c r="AC192" s="28" t="s">
        <v>204</v>
      </c>
      <c r="AD192" s="121"/>
      <c r="AE192" s="121"/>
      <c r="AF192" s="55">
        <v>1</v>
      </c>
      <c r="AG192" s="55">
        <v>1</v>
      </c>
      <c r="AH192" s="55">
        <v>1</v>
      </c>
      <c r="AI192" s="24"/>
      <c r="AJ192" s="24"/>
      <c r="AK192" s="24" t="s">
        <v>691</v>
      </c>
    </row>
    <row r="193" spans="2:37" x14ac:dyDescent="0.25">
      <c r="B193" s="47">
        <v>149</v>
      </c>
      <c r="C193" s="85">
        <v>20200330</v>
      </c>
      <c r="D193" s="24" t="s">
        <v>3</v>
      </c>
      <c r="E193" s="24" t="s">
        <v>676</v>
      </c>
      <c r="F193" s="26" t="s">
        <v>70</v>
      </c>
      <c r="G193" s="24" t="s">
        <v>130</v>
      </c>
      <c r="H193" s="24" t="s">
        <v>670</v>
      </c>
      <c r="I193" s="24" t="s">
        <v>335</v>
      </c>
      <c r="J193" s="24" t="s">
        <v>70</v>
      </c>
      <c r="K193" s="24" t="s">
        <v>846</v>
      </c>
      <c r="L193" s="26" t="s">
        <v>723</v>
      </c>
      <c r="M193" s="26" t="s">
        <v>698</v>
      </c>
      <c r="N193" s="27" t="s">
        <v>708</v>
      </c>
      <c r="O193" s="25" t="s">
        <v>325</v>
      </c>
      <c r="P193" s="24" t="s">
        <v>75</v>
      </c>
      <c r="Q193" s="24"/>
      <c r="R193" s="24"/>
      <c r="S193" s="24">
        <v>1395</v>
      </c>
      <c r="T193" s="24">
        <f>ROUND(IF(D193=Table!$C$3,V193*Table!$C$4/8,V193*Table!$D$4/8),3)</f>
        <v>900</v>
      </c>
      <c r="U193" s="24">
        <f t="shared" si="20"/>
        <v>900</v>
      </c>
      <c r="V193" s="24">
        <v>16</v>
      </c>
      <c r="W193" s="24">
        <v>4</v>
      </c>
      <c r="X193" s="24" t="s">
        <v>83</v>
      </c>
      <c r="Y193" s="28">
        <v>43920</v>
      </c>
      <c r="Z193" s="28">
        <v>43924</v>
      </c>
      <c r="AA193" s="28">
        <v>43924</v>
      </c>
      <c r="AB193" s="28">
        <v>43924</v>
      </c>
      <c r="AC193" s="28" t="s">
        <v>204</v>
      </c>
      <c r="AD193" s="121"/>
      <c r="AE193" s="121"/>
      <c r="AF193" s="55">
        <v>1</v>
      </c>
      <c r="AG193" s="55">
        <v>1</v>
      </c>
      <c r="AH193" s="55">
        <v>1</v>
      </c>
      <c r="AI193" s="24"/>
      <c r="AJ193" s="24"/>
      <c r="AK193" s="24" t="s">
        <v>692</v>
      </c>
    </row>
    <row r="194" spans="2:37" x14ac:dyDescent="0.25">
      <c r="B194" s="47">
        <v>150</v>
      </c>
      <c r="C194" s="85">
        <v>20200330</v>
      </c>
      <c r="D194" s="24" t="s">
        <v>3</v>
      </c>
      <c r="E194" s="24" t="s">
        <v>676</v>
      </c>
      <c r="F194" s="26" t="s">
        <v>70</v>
      </c>
      <c r="G194" s="24" t="s">
        <v>682</v>
      </c>
      <c r="H194" s="24" t="s">
        <v>671</v>
      </c>
      <c r="I194" s="24" t="s">
        <v>335</v>
      </c>
      <c r="J194" s="24" t="s">
        <v>70</v>
      </c>
      <c r="K194" s="24" t="s">
        <v>846</v>
      </c>
      <c r="L194" s="26" t="s">
        <v>724</v>
      </c>
      <c r="M194" s="26" t="s">
        <v>698</v>
      </c>
      <c r="N194" s="27" t="s">
        <v>709</v>
      </c>
      <c r="O194" s="25" t="s">
        <v>324</v>
      </c>
      <c r="P194" s="24" t="s">
        <v>73</v>
      </c>
      <c r="Q194" s="24"/>
      <c r="R194" s="24"/>
      <c r="S194" s="24">
        <v>1580</v>
      </c>
      <c r="T194" s="24">
        <f>ROUND(IF(D194=Table!$C$3,V194*Table!$C$4/8,V194*Table!$D$4/8),3)</f>
        <v>1125</v>
      </c>
      <c r="U194" s="24">
        <f t="shared" si="20"/>
        <v>1125</v>
      </c>
      <c r="V194" s="24">
        <v>20</v>
      </c>
      <c r="W194" s="24">
        <v>8</v>
      </c>
      <c r="X194" s="24" t="s">
        <v>83</v>
      </c>
      <c r="Y194" s="28">
        <v>43920</v>
      </c>
      <c r="Z194" s="28">
        <v>43921</v>
      </c>
      <c r="AA194" s="28">
        <v>43921</v>
      </c>
      <c r="AB194" s="28">
        <v>43921</v>
      </c>
      <c r="AC194" s="28" t="s">
        <v>204</v>
      </c>
      <c r="AD194" s="121"/>
      <c r="AE194" s="121"/>
      <c r="AF194" s="55">
        <v>1</v>
      </c>
      <c r="AG194" s="55">
        <v>1</v>
      </c>
      <c r="AH194" s="55">
        <v>0.67</v>
      </c>
      <c r="AI194" s="24"/>
      <c r="AJ194" s="24"/>
      <c r="AK194" s="24" t="s">
        <v>693</v>
      </c>
    </row>
    <row r="195" spans="2:37" x14ac:dyDescent="0.25">
      <c r="B195" s="47">
        <v>151</v>
      </c>
      <c r="C195" s="85">
        <v>20200330</v>
      </c>
      <c r="D195" s="24" t="s">
        <v>3</v>
      </c>
      <c r="E195" s="24" t="s">
        <v>676</v>
      </c>
      <c r="F195" s="26" t="s">
        <v>70</v>
      </c>
      <c r="G195" s="24" t="s">
        <v>132</v>
      </c>
      <c r="H195" s="24" t="s">
        <v>672</v>
      </c>
      <c r="I195" s="24" t="s">
        <v>335</v>
      </c>
      <c r="J195" s="24" t="s">
        <v>70</v>
      </c>
      <c r="K195" s="24" t="s">
        <v>846</v>
      </c>
      <c r="L195" s="26" t="s">
        <v>725</v>
      </c>
      <c r="M195" s="26" t="s">
        <v>698</v>
      </c>
      <c r="N195" s="27" t="s">
        <v>710</v>
      </c>
      <c r="O195" s="25" t="s">
        <v>323</v>
      </c>
      <c r="P195" s="24" t="s">
        <v>6</v>
      </c>
      <c r="Q195" s="24"/>
      <c r="R195" s="24"/>
      <c r="S195" s="24">
        <v>171</v>
      </c>
      <c r="T195" s="24">
        <f>ROUND(IF(D195=Table!$C$3,V195*Table!$C$4/8,V195*Table!$D$4/8),3)</f>
        <v>315</v>
      </c>
      <c r="U195" s="24">
        <f t="shared" si="20"/>
        <v>315</v>
      </c>
      <c r="V195" s="24">
        <v>5.6</v>
      </c>
      <c r="W195" s="24">
        <v>8</v>
      </c>
      <c r="X195" s="24" t="s">
        <v>83</v>
      </c>
      <c r="Y195" s="28">
        <v>43920</v>
      </c>
      <c r="Z195" s="28">
        <v>43924</v>
      </c>
      <c r="AA195" s="28">
        <v>43922</v>
      </c>
      <c r="AB195" s="28">
        <v>43922</v>
      </c>
      <c r="AC195" s="28" t="s">
        <v>204</v>
      </c>
      <c r="AD195" s="121"/>
      <c r="AE195" s="121"/>
      <c r="AF195" s="55">
        <v>1</v>
      </c>
      <c r="AG195" s="55">
        <v>1</v>
      </c>
      <c r="AH195" s="55">
        <v>0.26</v>
      </c>
      <c r="AI195" s="24"/>
      <c r="AJ195" s="24"/>
      <c r="AK195" s="24" t="s">
        <v>694</v>
      </c>
    </row>
    <row r="196" spans="2:37" x14ac:dyDescent="0.25">
      <c r="B196" s="47">
        <v>152</v>
      </c>
      <c r="C196" s="85">
        <v>20200330</v>
      </c>
      <c r="D196" s="24" t="s">
        <v>3</v>
      </c>
      <c r="E196" s="24" t="s">
        <v>676</v>
      </c>
      <c r="F196" s="26" t="s">
        <v>70</v>
      </c>
      <c r="G196" s="24" t="s">
        <v>133</v>
      </c>
      <c r="H196" s="24" t="s">
        <v>673</v>
      </c>
      <c r="I196" s="24" t="s">
        <v>335</v>
      </c>
      <c r="J196" s="24" t="s">
        <v>70</v>
      </c>
      <c r="K196" s="24" t="s">
        <v>846</v>
      </c>
      <c r="L196" s="26" t="s">
        <v>726</v>
      </c>
      <c r="M196" s="26" t="s">
        <v>698</v>
      </c>
      <c r="N196" s="27" t="s">
        <v>711</v>
      </c>
      <c r="O196" s="25" t="s">
        <v>323</v>
      </c>
      <c r="P196" s="24" t="s">
        <v>6</v>
      </c>
      <c r="Q196" s="24"/>
      <c r="R196" s="24"/>
      <c r="S196" s="24">
        <v>90</v>
      </c>
      <c r="T196" s="24">
        <f>ROUND(IF(D196=Table!$C$3,V196*Table!$C$4/8,V196*Table!$D$4/8),3)</f>
        <v>90</v>
      </c>
      <c r="U196" s="24">
        <f t="shared" si="20"/>
        <v>90</v>
      </c>
      <c r="V196" s="24">
        <v>1.6</v>
      </c>
      <c r="W196" s="24">
        <v>2</v>
      </c>
      <c r="X196" s="24" t="s">
        <v>83</v>
      </c>
      <c r="Y196" s="28">
        <v>43920</v>
      </c>
      <c r="Z196" s="28">
        <v>43924</v>
      </c>
      <c r="AA196" s="28">
        <v>43924</v>
      </c>
      <c r="AB196" s="28">
        <v>43924</v>
      </c>
      <c r="AC196" s="28" t="s">
        <v>204</v>
      </c>
      <c r="AD196" s="121"/>
      <c r="AE196" s="121"/>
      <c r="AF196" s="55">
        <v>1</v>
      </c>
      <c r="AG196" s="55">
        <v>1</v>
      </c>
      <c r="AH196" s="55">
        <v>1</v>
      </c>
      <c r="AI196" s="24"/>
      <c r="AJ196" s="24"/>
      <c r="AK196" s="24" t="s">
        <v>695</v>
      </c>
    </row>
    <row r="197" spans="2:37" x14ac:dyDescent="0.25">
      <c r="B197" s="47">
        <v>153</v>
      </c>
      <c r="C197" s="85">
        <v>20200330</v>
      </c>
      <c r="D197" s="24" t="s">
        <v>3</v>
      </c>
      <c r="E197" s="24" t="s">
        <v>676</v>
      </c>
      <c r="F197" s="26" t="s">
        <v>70</v>
      </c>
      <c r="G197" s="24" t="s">
        <v>134</v>
      </c>
      <c r="H197" s="24" t="s">
        <v>674</v>
      </c>
      <c r="I197" s="24" t="s">
        <v>335</v>
      </c>
      <c r="J197" s="24" t="s">
        <v>70</v>
      </c>
      <c r="K197" s="24" t="s">
        <v>846</v>
      </c>
      <c r="L197" s="26" t="s">
        <v>727</v>
      </c>
      <c r="M197" s="26" t="s">
        <v>698</v>
      </c>
      <c r="N197" s="27" t="s">
        <v>712</v>
      </c>
      <c r="O197" s="25" t="s">
        <v>323</v>
      </c>
      <c r="P197" s="24" t="s">
        <v>6</v>
      </c>
      <c r="Q197" s="24"/>
      <c r="R197" s="24"/>
      <c r="S197" s="24">
        <v>234</v>
      </c>
      <c r="T197" s="24">
        <f>ROUND(IF(D197=Table!$C$3,V197*Table!$C$4/8,V197*Table!$D$4/8),3)</f>
        <v>450</v>
      </c>
      <c r="U197" s="24">
        <f t="shared" si="20"/>
        <v>450</v>
      </c>
      <c r="V197" s="24">
        <v>8</v>
      </c>
      <c r="W197" s="24">
        <v>4</v>
      </c>
      <c r="X197" s="24" t="s">
        <v>83</v>
      </c>
      <c r="Y197" s="28">
        <v>43920</v>
      </c>
      <c r="Z197" s="28">
        <v>43924</v>
      </c>
      <c r="AA197" s="28">
        <v>43924</v>
      </c>
      <c r="AB197" s="28">
        <v>43924</v>
      </c>
      <c r="AC197" s="28" t="s">
        <v>204</v>
      </c>
      <c r="AD197" s="121"/>
      <c r="AE197" s="121"/>
      <c r="AF197" s="55">
        <v>1</v>
      </c>
      <c r="AG197" s="55">
        <v>1</v>
      </c>
      <c r="AH197" s="55">
        <v>0.22</v>
      </c>
      <c r="AI197" s="24"/>
      <c r="AJ197" s="24"/>
      <c r="AK197" s="24" t="s">
        <v>696</v>
      </c>
    </row>
    <row r="198" spans="2:37" x14ac:dyDescent="0.25">
      <c r="B198" s="47">
        <v>154</v>
      </c>
      <c r="C198" s="85">
        <v>20200330</v>
      </c>
      <c r="D198" s="24" t="s">
        <v>3</v>
      </c>
      <c r="E198" s="24" t="s">
        <v>676</v>
      </c>
      <c r="F198" s="26" t="s">
        <v>70</v>
      </c>
      <c r="G198" s="24" t="s">
        <v>135</v>
      </c>
      <c r="H198" s="24" t="s">
        <v>675</v>
      </c>
      <c r="I198" s="24" t="s">
        <v>334</v>
      </c>
      <c r="J198" s="24" t="s">
        <v>70</v>
      </c>
      <c r="K198" s="24" t="s">
        <v>846</v>
      </c>
      <c r="L198" s="26" t="s">
        <v>728</v>
      </c>
      <c r="M198" s="26" t="s">
        <v>698</v>
      </c>
      <c r="N198" s="27" t="s">
        <v>713</v>
      </c>
      <c r="O198" s="25" t="s">
        <v>323</v>
      </c>
      <c r="P198" s="24" t="s">
        <v>6</v>
      </c>
      <c r="Q198" s="24"/>
      <c r="R198" s="24"/>
      <c r="S198" s="24">
        <v>159</v>
      </c>
      <c r="T198" s="24">
        <f>ROUND(IF(D198=Table!$C$3,V198*Table!$C$4/8,V198*Table!$D$4/8),3)</f>
        <v>135</v>
      </c>
      <c r="U198" s="24">
        <f t="shared" si="20"/>
        <v>135</v>
      </c>
      <c r="V198" s="24">
        <v>2.4</v>
      </c>
      <c r="W198" s="24">
        <v>2</v>
      </c>
      <c r="X198" s="24" t="s">
        <v>83</v>
      </c>
      <c r="Y198" s="28">
        <v>43920</v>
      </c>
      <c r="Z198" s="28">
        <v>43924</v>
      </c>
      <c r="AA198" s="28">
        <v>43924</v>
      </c>
      <c r="AB198" s="28">
        <v>43924</v>
      </c>
      <c r="AC198" s="28" t="s">
        <v>204</v>
      </c>
      <c r="AD198" s="121"/>
      <c r="AE198" s="121"/>
      <c r="AF198" s="55">
        <v>1</v>
      </c>
      <c r="AG198" s="55">
        <v>0.97</v>
      </c>
      <c r="AH198" s="55">
        <v>0.75</v>
      </c>
      <c r="AI198" s="24" t="s">
        <v>755</v>
      </c>
      <c r="AJ198" s="24"/>
      <c r="AK198" s="24" t="s">
        <v>697</v>
      </c>
    </row>
    <row r="199" spans="2:37" x14ac:dyDescent="0.25">
      <c r="B199" s="48">
        <v>155</v>
      </c>
      <c r="C199" s="25">
        <v>20200401</v>
      </c>
      <c r="D199" s="24" t="s">
        <v>2</v>
      </c>
      <c r="E199" s="24" t="s">
        <v>743</v>
      </c>
      <c r="F199" s="26" t="s">
        <v>70</v>
      </c>
      <c r="G199" s="24" t="s">
        <v>677</v>
      </c>
      <c r="H199" s="24" t="s">
        <v>744</v>
      </c>
      <c r="I199" s="24" t="s">
        <v>334</v>
      </c>
      <c r="J199" s="24" t="s">
        <v>70</v>
      </c>
      <c r="K199" s="102" t="s">
        <v>163</v>
      </c>
      <c r="L199" s="26" t="s">
        <v>747</v>
      </c>
      <c r="M199" s="26" t="s">
        <v>753</v>
      </c>
      <c r="N199" s="27" t="s">
        <v>713</v>
      </c>
      <c r="O199" s="25" t="s">
        <v>202</v>
      </c>
      <c r="P199" s="24" t="s">
        <v>73</v>
      </c>
      <c r="Q199" s="24"/>
      <c r="R199" s="24"/>
      <c r="S199" s="24"/>
      <c r="T199" s="24">
        <f>ROUND(IF(D199=Table!$C$3,V199*Table!$C$4/8,V199*Table!$D$4/8),3)</f>
        <v>39</v>
      </c>
      <c r="U199" s="24">
        <f t="shared" si="20"/>
        <v>39</v>
      </c>
      <c r="V199" s="24">
        <v>2.4</v>
      </c>
      <c r="W199" s="24">
        <f>V199</f>
        <v>2.4</v>
      </c>
      <c r="X199" s="24" t="s">
        <v>83</v>
      </c>
      <c r="Y199" s="28">
        <v>43920</v>
      </c>
      <c r="Z199" s="28">
        <v>43924</v>
      </c>
      <c r="AA199" s="28">
        <v>43924</v>
      </c>
      <c r="AB199" s="28">
        <v>43924</v>
      </c>
      <c r="AC199" s="28" t="s">
        <v>204</v>
      </c>
      <c r="AD199" s="121"/>
      <c r="AE199" s="121"/>
      <c r="AF199" s="55">
        <v>1</v>
      </c>
      <c r="AG199" s="55">
        <v>1</v>
      </c>
      <c r="AH199" s="55" t="s">
        <v>219</v>
      </c>
      <c r="AI199" s="24"/>
      <c r="AJ199" s="24"/>
      <c r="AK199" s="24"/>
    </row>
    <row r="200" spans="2:37" x14ac:dyDescent="0.25">
      <c r="B200" s="48">
        <v>156</v>
      </c>
      <c r="C200" s="25">
        <v>20200401</v>
      </c>
      <c r="D200" s="24" t="s">
        <v>2</v>
      </c>
      <c r="E200" s="24" t="s">
        <v>743</v>
      </c>
      <c r="F200" s="26" t="s">
        <v>70</v>
      </c>
      <c r="G200" s="24" t="s">
        <v>749</v>
      </c>
      <c r="H200" s="24" t="s">
        <v>187</v>
      </c>
      <c r="I200" s="24" t="s">
        <v>334</v>
      </c>
      <c r="J200" s="24" t="s">
        <v>70</v>
      </c>
      <c r="K200" s="24" t="s">
        <v>163</v>
      </c>
      <c r="L200" s="26" t="s">
        <v>278</v>
      </c>
      <c r="M200" s="26" t="s">
        <v>753</v>
      </c>
      <c r="N200" s="27" t="s">
        <v>713</v>
      </c>
      <c r="O200" s="25" t="s">
        <v>202</v>
      </c>
      <c r="P200" s="24" t="s">
        <v>75</v>
      </c>
      <c r="Q200" s="24"/>
      <c r="R200" s="24"/>
      <c r="S200" s="24"/>
      <c r="T200" s="24">
        <f>ROUND(IF(D200=Table!$C$3,V200*Table!$C$4/8,V200*Table!$D$4/8),3)</f>
        <v>39</v>
      </c>
      <c r="U200" s="24">
        <f t="shared" si="20"/>
        <v>39</v>
      </c>
      <c r="V200" s="24">
        <v>2.4</v>
      </c>
      <c r="W200" s="24">
        <v>1</v>
      </c>
      <c r="X200" s="24" t="s">
        <v>83</v>
      </c>
      <c r="Y200" s="28">
        <v>43920</v>
      </c>
      <c r="Z200" s="28">
        <v>43924</v>
      </c>
      <c r="AA200" s="28">
        <v>43924</v>
      </c>
      <c r="AB200" s="28">
        <v>43924</v>
      </c>
      <c r="AC200" s="28" t="s">
        <v>204</v>
      </c>
      <c r="AD200" s="121"/>
      <c r="AE200" s="121"/>
      <c r="AF200" s="55">
        <v>1</v>
      </c>
      <c r="AG200" s="55">
        <v>1</v>
      </c>
      <c r="AH200" s="55">
        <v>1</v>
      </c>
      <c r="AI200" s="24"/>
      <c r="AJ200" s="24"/>
      <c r="AK200" s="24"/>
    </row>
    <row r="201" spans="2:37" x14ac:dyDescent="0.25">
      <c r="B201" s="48">
        <v>157</v>
      </c>
      <c r="C201" s="25">
        <v>20200401</v>
      </c>
      <c r="D201" s="24" t="s">
        <v>2</v>
      </c>
      <c r="E201" s="24" t="s">
        <v>743</v>
      </c>
      <c r="F201" s="26" t="s">
        <v>70</v>
      </c>
      <c r="G201" s="24" t="s">
        <v>750</v>
      </c>
      <c r="H201" s="24" t="s">
        <v>188</v>
      </c>
      <c r="I201" s="24" t="s">
        <v>334</v>
      </c>
      <c r="J201" s="24" t="s">
        <v>70</v>
      </c>
      <c r="K201" s="24" t="s">
        <v>163</v>
      </c>
      <c r="L201" s="26" t="s">
        <v>278</v>
      </c>
      <c r="M201" s="26" t="s">
        <v>753</v>
      </c>
      <c r="N201" s="27" t="s">
        <v>713</v>
      </c>
      <c r="O201" s="25" t="s">
        <v>202</v>
      </c>
      <c r="P201" s="24" t="s">
        <v>75</v>
      </c>
      <c r="Q201" s="24"/>
      <c r="R201" s="24"/>
      <c r="S201" s="24"/>
      <c r="T201" s="24">
        <f>ROUND(IF(D201=Table!$C$3,V201*Table!$C$4/8,V201*Table!$D$4/8),3)</f>
        <v>39</v>
      </c>
      <c r="U201" s="24">
        <f t="shared" si="20"/>
        <v>39</v>
      </c>
      <c r="V201" s="24">
        <v>2.4</v>
      </c>
      <c r="W201" s="24">
        <v>1</v>
      </c>
      <c r="X201" s="24" t="s">
        <v>83</v>
      </c>
      <c r="Y201" s="28">
        <v>43920</v>
      </c>
      <c r="Z201" s="28">
        <v>43924</v>
      </c>
      <c r="AA201" s="28">
        <v>43924</v>
      </c>
      <c r="AB201" s="28">
        <v>43924</v>
      </c>
      <c r="AC201" s="28" t="s">
        <v>204</v>
      </c>
      <c r="AD201" s="121"/>
      <c r="AE201" s="121"/>
      <c r="AF201" s="55">
        <v>1</v>
      </c>
      <c r="AG201" s="55">
        <v>1</v>
      </c>
      <c r="AH201" s="55">
        <v>1</v>
      </c>
      <c r="AI201" s="24"/>
      <c r="AJ201" s="24"/>
      <c r="AK201" s="24"/>
    </row>
    <row r="202" spans="2:37" x14ac:dyDescent="0.25">
      <c r="B202" s="48">
        <v>158</v>
      </c>
      <c r="C202" s="25">
        <v>20200401</v>
      </c>
      <c r="D202" s="24" t="s">
        <v>3</v>
      </c>
      <c r="E202" s="24" t="s">
        <v>743</v>
      </c>
      <c r="F202" s="26" t="s">
        <v>70</v>
      </c>
      <c r="G202" s="24" t="s">
        <v>751</v>
      </c>
      <c r="H202" s="24" t="s">
        <v>745</v>
      </c>
      <c r="I202" s="24" t="s">
        <v>334</v>
      </c>
      <c r="J202" s="24" t="s">
        <v>70</v>
      </c>
      <c r="K202" s="102" t="s">
        <v>849</v>
      </c>
      <c r="L202" s="26" t="s">
        <v>748</v>
      </c>
      <c r="M202" s="26" t="s">
        <v>753</v>
      </c>
      <c r="N202" s="27" t="s">
        <v>713</v>
      </c>
      <c r="O202" s="25" t="s">
        <v>202</v>
      </c>
      <c r="P202" s="24" t="s">
        <v>74</v>
      </c>
      <c r="Q202" s="24"/>
      <c r="R202" s="24"/>
      <c r="S202" s="24"/>
      <c r="T202" s="24">
        <f>ROUND(IF(D202=Table!$C$3,V202*Table!$C$4/8,V202*Table!$D$4/8),3)</f>
        <v>67.5</v>
      </c>
      <c r="U202" s="24">
        <f t="shared" si="20"/>
        <v>67.5</v>
      </c>
      <c r="V202" s="24">
        <v>1.2</v>
      </c>
      <c r="W202" s="24">
        <v>4</v>
      </c>
      <c r="X202" s="24" t="s">
        <v>83</v>
      </c>
      <c r="Y202" s="28">
        <v>43920</v>
      </c>
      <c r="Z202" s="28">
        <v>43924</v>
      </c>
      <c r="AA202" s="28">
        <v>43924</v>
      </c>
      <c r="AB202" s="28">
        <v>43924</v>
      </c>
      <c r="AC202" s="28" t="s">
        <v>204</v>
      </c>
      <c r="AD202" s="121"/>
      <c r="AE202" s="121"/>
      <c r="AF202" s="55">
        <v>1</v>
      </c>
      <c r="AG202" s="55">
        <v>1</v>
      </c>
      <c r="AH202" s="55">
        <v>1</v>
      </c>
      <c r="AI202" s="24"/>
      <c r="AJ202" s="24"/>
      <c r="AK202" s="24"/>
    </row>
    <row r="203" spans="2:37" x14ac:dyDescent="0.25">
      <c r="B203" s="48">
        <v>159</v>
      </c>
      <c r="C203" s="25">
        <v>20200401</v>
      </c>
      <c r="D203" s="24" t="s">
        <v>3</v>
      </c>
      <c r="E203" s="24" t="s">
        <v>743</v>
      </c>
      <c r="F203" s="26" t="s">
        <v>70</v>
      </c>
      <c r="G203" s="24" t="s">
        <v>752</v>
      </c>
      <c r="H203" s="24" t="s">
        <v>746</v>
      </c>
      <c r="I203" s="24" t="s">
        <v>334</v>
      </c>
      <c r="J203" s="24" t="s">
        <v>70</v>
      </c>
      <c r="K203" s="102" t="s">
        <v>849</v>
      </c>
      <c r="L203" s="26" t="s">
        <v>278</v>
      </c>
      <c r="M203" s="26" t="s">
        <v>753</v>
      </c>
      <c r="N203" s="27" t="s">
        <v>713</v>
      </c>
      <c r="O203" s="25" t="s">
        <v>202</v>
      </c>
      <c r="P203" s="24" t="s">
        <v>74</v>
      </c>
      <c r="Q203" s="24"/>
      <c r="R203" s="24"/>
      <c r="S203" s="24"/>
      <c r="T203" s="24">
        <f>ROUND(IF(D203=Table!$C$3,V203*Table!$C$4/8,V203*Table!$D$4/8),3)</f>
        <v>67.5</v>
      </c>
      <c r="U203" s="24">
        <f t="shared" si="20"/>
        <v>67.5</v>
      </c>
      <c r="V203" s="24">
        <v>1.2</v>
      </c>
      <c r="W203" s="24">
        <v>4</v>
      </c>
      <c r="X203" s="24" t="s">
        <v>83</v>
      </c>
      <c r="Y203" s="28">
        <v>43920</v>
      </c>
      <c r="Z203" s="28">
        <v>43924</v>
      </c>
      <c r="AA203" s="28">
        <v>43924</v>
      </c>
      <c r="AB203" s="28">
        <v>43924</v>
      </c>
      <c r="AC203" s="28" t="s">
        <v>204</v>
      </c>
      <c r="AD203" s="121"/>
      <c r="AE203" s="121"/>
      <c r="AF203" s="55">
        <v>1</v>
      </c>
      <c r="AG203" s="55">
        <v>1</v>
      </c>
      <c r="AH203" s="55">
        <v>1</v>
      </c>
      <c r="AI203" s="24"/>
      <c r="AJ203" s="24"/>
      <c r="AK203" s="24"/>
    </row>
    <row r="204" spans="2:37" x14ac:dyDescent="0.25">
      <c r="B204" s="96">
        <v>160</v>
      </c>
      <c r="C204" s="25">
        <v>20200403</v>
      </c>
      <c r="D204" s="24" t="s">
        <v>2</v>
      </c>
      <c r="E204" s="24" t="s">
        <v>769</v>
      </c>
      <c r="F204" s="26" t="s">
        <v>70</v>
      </c>
      <c r="G204" s="26" t="s">
        <v>70</v>
      </c>
      <c r="H204" s="24" t="s">
        <v>765</v>
      </c>
      <c r="I204" s="24" t="s">
        <v>335</v>
      </c>
      <c r="J204" s="24" t="s">
        <v>70</v>
      </c>
      <c r="K204" s="24" t="s">
        <v>847</v>
      </c>
      <c r="L204" s="26" t="s">
        <v>770</v>
      </c>
      <c r="M204" s="26" t="s">
        <v>771</v>
      </c>
      <c r="N204" s="27" t="s">
        <v>772</v>
      </c>
      <c r="O204" s="100" t="s">
        <v>70</v>
      </c>
      <c r="P204" s="24" t="s">
        <v>6</v>
      </c>
      <c r="Q204" s="24"/>
      <c r="R204" s="24"/>
      <c r="S204" s="24"/>
      <c r="T204" s="24">
        <f>ROUND(IF(D204=Table!$C$3,V204*Table!$C$4/8,V204*Table!$D$4/8),3)</f>
        <v>32.5</v>
      </c>
      <c r="U204" s="24">
        <f t="shared" si="20"/>
        <v>32.5</v>
      </c>
      <c r="V204" s="24">
        <v>2</v>
      </c>
      <c r="W204" s="24">
        <v>2</v>
      </c>
      <c r="X204" s="24" t="s">
        <v>83</v>
      </c>
      <c r="Y204" s="28">
        <v>43927</v>
      </c>
      <c r="Z204" s="28">
        <v>43927</v>
      </c>
      <c r="AA204" s="28">
        <v>43927</v>
      </c>
      <c r="AB204" s="28">
        <v>43927</v>
      </c>
      <c r="AC204" s="28" t="s">
        <v>204</v>
      </c>
      <c r="AD204" s="121"/>
      <c r="AE204" s="121"/>
      <c r="AF204" s="55">
        <v>0.95599999999999996</v>
      </c>
      <c r="AG204" s="55">
        <v>0.95599999999999996</v>
      </c>
      <c r="AH204" s="55">
        <v>1</v>
      </c>
      <c r="AI204" s="24" t="s">
        <v>843</v>
      </c>
      <c r="AJ204" s="24"/>
      <c r="AK204" s="24"/>
    </row>
    <row r="205" spans="2:37" x14ac:dyDescent="0.25">
      <c r="B205" s="96">
        <v>161</v>
      </c>
      <c r="C205" s="25">
        <v>20200403</v>
      </c>
      <c r="D205" s="24" t="s">
        <v>2</v>
      </c>
      <c r="E205" s="24" t="s">
        <v>769</v>
      </c>
      <c r="F205" s="26" t="s">
        <v>70</v>
      </c>
      <c r="G205" s="26" t="s">
        <v>70</v>
      </c>
      <c r="H205" s="24" t="s">
        <v>766</v>
      </c>
      <c r="I205" s="24" t="s">
        <v>335</v>
      </c>
      <c r="J205" s="24" t="s">
        <v>70</v>
      </c>
      <c r="K205" s="24" t="s">
        <v>847</v>
      </c>
      <c r="L205" s="26">
        <v>2.9</v>
      </c>
      <c r="M205" s="26" t="s">
        <v>771</v>
      </c>
      <c r="N205" s="27" t="s">
        <v>773</v>
      </c>
      <c r="O205" s="100" t="s">
        <v>70</v>
      </c>
      <c r="P205" s="24" t="s">
        <v>73</v>
      </c>
      <c r="Q205" s="24"/>
      <c r="R205" s="24"/>
      <c r="S205" s="24"/>
      <c r="T205" s="24">
        <f>ROUND(IF(D205=Table!$C$3,V205*Table!$C$4/8,V205*Table!$D$4/8),3)</f>
        <v>32.5</v>
      </c>
      <c r="U205" s="24">
        <f t="shared" si="20"/>
        <v>32.5</v>
      </c>
      <c r="V205" s="24">
        <v>2</v>
      </c>
      <c r="W205" s="24">
        <v>2</v>
      </c>
      <c r="X205" s="24" t="s">
        <v>83</v>
      </c>
      <c r="Y205" s="28">
        <v>43927</v>
      </c>
      <c r="Z205" s="28">
        <v>43927</v>
      </c>
      <c r="AA205" s="28">
        <v>43927</v>
      </c>
      <c r="AB205" s="28">
        <v>43927</v>
      </c>
      <c r="AC205" s="28" t="s">
        <v>204</v>
      </c>
      <c r="AD205" s="121"/>
      <c r="AE205" s="121"/>
      <c r="AF205" s="55">
        <v>1</v>
      </c>
      <c r="AG205" s="55">
        <v>1</v>
      </c>
      <c r="AH205" s="55">
        <v>1</v>
      </c>
      <c r="AI205" s="24"/>
      <c r="AJ205" s="24"/>
      <c r="AK205" s="24"/>
    </row>
    <row r="206" spans="2:37" x14ac:dyDescent="0.25">
      <c r="B206" s="96">
        <v>162</v>
      </c>
      <c r="C206" s="25">
        <v>20200403</v>
      </c>
      <c r="D206" s="24" t="s">
        <v>2</v>
      </c>
      <c r="E206" s="24" t="s">
        <v>769</v>
      </c>
      <c r="F206" s="26" t="s">
        <v>70</v>
      </c>
      <c r="G206" s="26" t="s">
        <v>70</v>
      </c>
      <c r="H206" s="24" t="s">
        <v>767</v>
      </c>
      <c r="I206" s="24" t="s">
        <v>335</v>
      </c>
      <c r="J206" s="24" t="s">
        <v>70</v>
      </c>
      <c r="K206" s="24" t="s">
        <v>847</v>
      </c>
      <c r="L206" s="26">
        <v>1.9</v>
      </c>
      <c r="M206" s="26" t="s">
        <v>771</v>
      </c>
      <c r="N206" s="27" t="s">
        <v>774</v>
      </c>
      <c r="O206" s="100" t="s">
        <v>70</v>
      </c>
      <c r="P206" s="24" t="s">
        <v>75</v>
      </c>
      <c r="Q206" s="24"/>
      <c r="R206" s="24"/>
      <c r="S206" s="24"/>
      <c r="T206" s="24">
        <f>ROUND(IF(D206=Table!$C$3,V206*Table!$C$4/8,V206*Table!$D$4/8),3)</f>
        <v>48.75</v>
      </c>
      <c r="U206" s="24">
        <f t="shared" si="20"/>
        <v>48.75</v>
      </c>
      <c r="V206" s="24">
        <v>3</v>
      </c>
      <c r="W206" s="24">
        <v>3</v>
      </c>
      <c r="X206" s="24" t="s">
        <v>83</v>
      </c>
      <c r="Y206" s="28">
        <v>43927</v>
      </c>
      <c r="Z206" s="28">
        <v>43927</v>
      </c>
      <c r="AA206" s="28">
        <v>43927</v>
      </c>
      <c r="AB206" s="28">
        <v>43927</v>
      </c>
      <c r="AC206" s="28" t="s">
        <v>204</v>
      </c>
      <c r="AD206" s="121"/>
      <c r="AE206" s="121"/>
      <c r="AF206" s="55">
        <v>1</v>
      </c>
      <c r="AG206" s="55">
        <v>1</v>
      </c>
      <c r="AH206" s="55">
        <v>1</v>
      </c>
      <c r="AI206" s="24"/>
      <c r="AJ206" s="24"/>
      <c r="AK206" s="24"/>
    </row>
    <row r="207" spans="2:37" x14ac:dyDescent="0.25">
      <c r="B207" s="96">
        <v>163</v>
      </c>
      <c r="C207" s="25">
        <v>20200403</v>
      </c>
      <c r="D207" s="24" t="s">
        <v>2</v>
      </c>
      <c r="E207" s="24" t="s">
        <v>769</v>
      </c>
      <c r="F207" s="26" t="s">
        <v>70</v>
      </c>
      <c r="G207" s="26" t="s">
        <v>70</v>
      </c>
      <c r="H207" s="24" t="s">
        <v>768</v>
      </c>
      <c r="I207" s="24" t="s">
        <v>334</v>
      </c>
      <c r="J207" s="24" t="s">
        <v>70</v>
      </c>
      <c r="K207" s="24" t="s">
        <v>847</v>
      </c>
      <c r="L207" s="26">
        <v>1.3</v>
      </c>
      <c r="M207" s="26" t="s">
        <v>771</v>
      </c>
      <c r="N207" s="27" t="s">
        <v>775</v>
      </c>
      <c r="O207" s="100" t="s">
        <v>70</v>
      </c>
      <c r="P207" s="24" t="s">
        <v>74</v>
      </c>
      <c r="Q207" s="24"/>
      <c r="R207" s="24"/>
      <c r="S207" s="24"/>
      <c r="T207" s="24">
        <f>ROUND(IF(D207=Table!$C$3,V207*Table!$C$4/8,V207*Table!$D$4/8),3)</f>
        <v>32.5</v>
      </c>
      <c r="U207" s="24">
        <f t="shared" si="20"/>
        <v>32.5</v>
      </c>
      <c r="V207" s="24">
        <v>2</v>
      </c>
      <c r="W207" s="24">
        <v>2</v>
      </c>
      <c r="X207" s="24" t="s">
        <v>83</v>
      </c>
      <c r="Y207" s="28">
        <v>43927</v>
      </c>
      <c r="Z207" s="28">
        <v>43927</v>
      </c>
      <c r="AA207" s="28">
        <v>43927</v>
      </c>
      <c r="AB207" s="28">
        <v>43927</v>
      </c>
      <c r="AC207" s="28" t="s">
        <v>204</v>
      </c>
      <c r="AD207" s="121"/>
      <c r="AE207" s="121"/>
      <c r="AF207" s="55"/>
      <c r="AG207" s="55"/>
      <c r="AH207" s="55"/>
      <c r="AI207" s="24"/>
      <c r="AJ207" s="24"/>
      <c r="AK207" s="24"/>
    </row>
    <row r="208" spans="2:37" x14ac:dyDescent="0.25">
      <c r="B208" s="97">
        <v>164</v>
      </c>
      <c r="C208" s="25">
        <v>20200407</v>
      </c>
      <c r="D208" s="24" t="s">
        <v>2</v>
      </c>
      <c r="E208" s="24" t="s">
        <v>784</v>
      </c>
      <c r="F208" s="26" t="s">
        <v>70</v>
      </c>
      <c r="G208" s="26" t="s">
        <v>70</v>
      </c>
      <c r="H208" s="24" t="s">
        <v>776</v>
      </c>
      <c r="I208" s="24" t="s">
        <v>334</v>
      </c>
      <c r="J208" s="24" t="s">
        <v>70</v>
      </c>
      <c r="K208" s="24" t="s">
        <v>848</v>
      </c>
      <c r="L208" s="26">
        <v>1.5</v>
      </c>
      <c r="M208" s="26" t="s">
        <v>785</v>
      </c>
      <c r="N208" s="27" t="s">
        <v>786</v>
      </c>
      <c r="O208" s="100" t="s">
        <v>70</v>
      </c>
      <c r="P208" s="24" t="s">
        <v>6</v>
      </c>
      <c r="Q208" s="24"/>
      <c r="R208" s="24"/>
      <c r="S208" s="24"/>
      <c r="T208" s="24">
        <f>ROUND(IF(D208=Table!$C$3,V208*Table!$C$4/8,V208*Table!$D$4/8),3)</f>
        <v>24.375</v>
      </c>
      <c r="U208" s="24">
        <f t="shared" si="20"/>
        <v>24.375</v>
      </c>
      <c r="V208" s="24">
        <v>1.5</v>
      </c>
      <c r="W208" s="24">
        <v>1.5</v>
      </c>
      <c r="X208" s="24" t="s">
        <v>83</v>
      </c>
      <c r="Y208" s="28">
        <v>43928</v>
      </c>
      <c r="Z208" s="28">
        <v>43928</v>
      </c>
      <c r="AA208" s="28">
        <v>43928</v>
      </c>
      <c r="AB208" s="28">
        <v>43928</v>
      </c>
      <c r="AC208" s="28" t="s">
        <v>204</v>
      </c>
      <c r="AD208" s="121"/>
      <c r="AE208" s="121"/>
      <c r="AF208" s="55">
        <v>0.86699999999999999</v>
      </c>
      <c r="AG208" s="55">
        <v>0.86699999999999999</v>
      </c>
      <c r="AH208" s="55" t="s">
        <v>219</v>
      </c>
      <c r="AI208" s="24" t="s">
        <v>844</v>
      </c>
      <c r="AJ208" s="24"/>
      <c r="AK208" s="24"/>
    </row>
    <row r="209" spans="2:37" x14ac:dyDescent="0.25">
      <c r="B209" s="97">
        <v>165</v>
      </c>
      <c r="C209" s="25">
        <v>20200407</v>
      </c>
      <c r="D209" s="24" t="s">
        <v>2</v>
      </c>
      <c r="E209" s="24" t="s">
        <v>784</v>
      </c>
      <c r="F209" s="26" t="s">
        <v>70</v>
      </c>
      <c r="G209" s="26" t="s">
        <v>70</v>
      </c>
      <c r="H209" s="24" t="s">
        <v>777</v>
      </c>
      <c r="I209" s="24" t="s">
        <v>334</v>
      </c>
      <c r="J209" s="24" t="s">
        <v>70</v>
      </c>
      <c r="K209" s="24" t="s">
        <v>848</v>
      </c>
      <c r="L209" s="26">
        <v>1.8</v>
      </c>
      <c r="M209" s="26" t="s">
        <v>785</v>
      </c>
      <c r="N209" s="27" t="s">
        <v>787</v>
      </c>
      <c r="O209" s="100" t="s">
        <v>70</v>
      </c>
      <c r="P209" s="24" t="s">
        <v>6</v>
      </c>
      <c r="Q209" s="24"/>
      <c r="R209" s="24"/>
      <c r="S209" s="24"/>
      <c r="T209" s="24">
        <f>ROUND(IF(D209=Table!$C$3,V209*Table!$C$4/8,V209*Table!$D$4/8),3)</f>
        <v>24.375</v>
      </c>
      <c r="U209" s="24">
        <f t="shared" si="20"/>
        <v>24.375</v>
      </c>
      <c r="V209" s="24">
        <v>1.5</v>
      </c>
      <c r="W209" s="24">
        <v>1.5</v>
      </c>
      <c r="X209" s="24" t="s">
        <v>83</v>
      </c>
      <c r="Y209" s="28">
        <v>43928</v>
      </c>
      <c r="Z209" s="28">
        <v>43928</v>
      </c>
      <c r="AA209" s="28">
        <v>43928</v>
      </c>
      <c r="AB209" s="28">
        <v>43928</v>
      </c>
      <c r="AC209" s="28" t="s">
        <v>204</v>
      </c>
      <c r="AD209" s="121"/>
      <c r="AE209" s="121"/>
      <c r="AF209" s="55">
        <v>0.89500000000000002</v>
      </c>
      <c r="AG209" s="55">
        <v>0.89500000000000002</v>
      </c>
      <c r="AH209" s="55" t="s">
        <v>219</v>
      </c>
      <c r="AI209" s="24" t="s">
        <v>844</v>
      </c>
      <c r="AJ209" s="24"/>
      <c r="AK209" s="24"/>
    </row>
    <row r="210" spans="2:37" x14ac:dyDescent="0.25">
      <c r="B210" s="97">
        <v>166</v>
      </c>
      <c r="C210" s="25">
        <v>20200407</v>
      </c>
      <c r="D210" s="24" t="s">
        <v>2</v>
      </c>
      <c r="E210" s="24" t="s">
        <v>784</v>
      </c>
      <c r="F210" s="26" t="s">
        <v>70</v>
      </c>
      <c r="G210" s="26" t="s">
        <v>70</v>
      </c>
      <c r="H210" s="24" t="s">
        <v>778</v>
      </c>
      <c r="I210" s="24" t="s">
        <v>334</v>
      </c>
      <c r="J210" s="24" t="s">
        <v>70</v>
      </c>
      <c r="K210" s="24" t="s">
        <v>848</v>
      </c>
      <c r="L210" s="26">
        <v>1.8</v>
      </c>
      <c r="M210" s="26" t="s">
        <v>785</v>
      </c>
      <c r="N210" s="27" t="s">
        <v>788</v>
      </c>
      <c r="O210" s="100" t="s">
        <v>70</v>
      </c>
      <c r="P210" s="24" t="s">
        <v>73</v>
      </c>
      <c r="Q210" s="24"/>
      <c r="R210" s="24"/>
      <c r="S210" s="24"/>
      <c r="T210" s="24">
        <f>ROUND(IF(D210=Table!$C$3,V210*Table!$C$4/8,V210*Table!$D$4/8),3)</f>
        <v>24.375</v>
      </c>
      <c r="U210" s="24">
        <f>T210</f>
        <v>24.375</v>
      </c>
      <c r="V210" s="24">
        <v>1.5</v>
      </c>
      <c r="W210" s="24">
        <f>V210</f>
        <v>1.5</v>
      </c>
      <c r="X210" s="24" t="s">
        <v>83</v>
      </c>
      <c r="Y210" s="28">
        <v>43928</v>
      </c>
      <c r="Z210" s="28">
        <v>43928</v>
      </c>
      <c r="AA210" s="28">
        <v>43928</v>
      </c>
      <c r="AB210" s="28">
        <v>43928</v>
      </c>
      <c r="AC210" s="28" t="s">
        <v>204</v>
      </c>
      <c r="AD210" s="121"/>
      <c r="AE210" s="121"/>
      <c r="AF210" s="55">
        <v>1</v>
      </c>
      <c r="AG210" s="55">
        <v>1</v>
      </c>
      <c r="AH210" s="55" t="s">
        <v>219</v>
      </c>
      <c r="AI210" s="24"/>
      <c r="AJ210" s="24"/>
      <c r="AK210" s="24"/>
    </row>
    <row r="211" spans="2:37" x14ac:dyDescent="0.25">
      <c r="B211" s="97">
        <v>167</v>
      </c>
      <c r="C211" s="25">
        <v>20200407</v>
      </c>
      <c r="D211" s="24" t="s">
        <v>2</v>
      </c>
      <c r="E211" s="24" t="s">
        <v>784</v>
      </c>
      <c r="F211" s="26" t="s">
        <v>70</v>
      </c>
      <c r="G211" s="26" t="s">
        <v>70</v>
      </c>
      <c r="H211" s="24" t="s">
        <v>779</v>
      </c>
      <c r="I211" s="24" t="s">
        <v>334</v>
      </c>
      <c r="J211" s="24" t="s">
        <v>70</v>
      </c>
      <c r="K211" s="24" t="s">
        <v>848</v>
      </c>
      <c r="L211" s="26">
        <v>1.8</v>
      </c>
      <c r="M211" s="26" t="s">
        <v>785</v>
      </c>
      <c r="N211" s="27" t="s">
        <v>789</v>
      </c>
      <c r="O211" s="100" t="s">
        <v>70</v>
      </c>
      <c r="P211" s="24" t="s">
        <v>73</v>
      </c>
      <c r="Q211" s="24"/>
      <c r="R211" s="24"/>
      <c r="S211" s="24"/>
      <c r="T211" s="24">
        <f>ROUND(IF(D211=Table!$C$3,V211*Table!$C$4/8,V211*Table!$D$4/8),3)</f>
        <v>24.375</v>
      </c>
      <c r="U211" s="24">
        <f>T211</f>
        <v>24.375</v>
      </c>
      <c r="V211" s="24">
        <v>1.5</v>
      </c>
      <c r="W211" s="24">
        <f>V211</f>
        <v>1.5</v>
      </c>
      <c r="X211" s="24" t="s">
        <v>83</v>
      </c>
      <c r="Y211" s="28">
        <v>43928</v>
      </c>
      <c r="Z211" s="28">
        <v>43928</v>
      </c>
      <c r="AA211" s="28">
        <v>43928</v>
      </c>
      <c r="AB211" s="28">
        <v>43928</v>
      </c>
      <c r="AC211" s="28" t="s">
        <v>204</v>
      </c>
      <c r="AD211" s="121"/>
      <c r="AE211" s="121"/>
      <c r="AF211" s="55">
        <v>1</v>
      </c>
      <c r="AG211" s="55">
        <v>1</v>
      </c>
      <c r="AH211" s="55" t="s">
        <v>219</v>
      </c>
      <c r="AI211" s="24"/>
      <c r="AJ211" s="24"/>
      <c r="AK211" s="24"/>
    </row>
    <row r="212" spans="2:37" x14ac:dyDescent="0.25">
      <c r="B212" s="97">
        <v>168</v>
      </c>
      <c r="C212" s="25">
        <v>20200407</v>
      </c>
      <c r="D212" s="24" t="s">
        <v>2</v>
      </c>
      <c r="E212" s="24" t="s">
        <v>784</v>
      </c>
      <c r="F212" s="26" t="s">
        <v>70</v>
      </c>
      <c r="G212" s="26" t="s">
        <v>70</v>
      </c>
      <c r="H212" s="24" t="s">
        <v>780</v>
      </c>
      <c r="I212" s="24" t="s">
        <v>334</v>
      </c>
      <c r="J212" s="24" t="s">
        <v>70</v>
      </c>
      <c r="K212" s="24" t="s">
        <v>848</v>
      </c>
      <c r="L212" s="26">
        <v>1.1299999999999999</v>
      </c>
      <c r="M212" s="26" t="s">
        <v>785</v>
      </c>
      <c r="N212" s="27" t="s">
        <v>790</v>
      </c>
      <c r="O212" s="100" t="s">
        <v>70</v>
      </c>
      <c r="P212" s="24" t="s">
        <v>74</v>
      </c>
      <c r="Q212" s="24"/>
      <c r="R212" s="24"/>
      <c r="S212" s="24"/>
      <c r="T212" s="24">
        <f>ROUND(IF(D212=Table!$C$3,V212*Table!$C$4/8,V212*Table!$D$4/8),3)</f>
        <v>24.375</v>
      </c>
      <c r="U212" s="24">
        <f>T212</f>
        <v>24.375</v>
      </c>
      <c r="V212" s="24">
        <v>1.5</v>
      </c>
      <c r="W212" s="24">
        <v>3</v>
      </c>
      <c r="X212" s="24" t="s">
        <v>83</v>
      </c>
      <c r="Y212" s="28">
        <v>43928</v>
      </c>
      <c r="Z212" s="28">
        <v>43928</v>
      </c>
      <c r="AA212" s="28">
        <v>43928</v>
      </c>
      <c r="AB212" s="28">
        <v>43928</v>
      </c>
      <c r="AC212" s="28" t="s">
        <v>204</v>
      </c>
      <c r="AD212" s="121"/>
      <c r="AE212" s="121"/>
      <c r="AF212" s="55"/>
      <c r="AG212" s="55"/>
      <c r="AH212" s="55"/>
      <c r="AI212" s="24"/>
      <c r="AJ212" s="24"/>
      <c r="AK212" s="24"/>
    </row>
    <row r="213" spans="2:37" x14ac:dyDescent="0.25">
      <c r="B213" s="97">
        <v>169</v>
      </c>
      <c r="C213" s="25">
        <v>20200407</v>
      </c>
      <c r="D213" s="24" t="s">
        <v>2</v>
      </c>
      <c r="E213" s="24" t="s">
        <v>784</v>
      </c>
      <c r="F213" s="26" t="s">
        <v>70</v>
      </c>
      <c r="G213" s="26" t="s">
        <v>70</v>
      </c>
      <c r="H213" s="24" t="s">
        <v>781</v>
      </c>
      <c r="I213" s="24" t="s">
        <v>334</v>
      </c>
      <c r="J213" s="24" t="s">
        <v>70</v>
      </c>
      <c r="K213" s="24" t="s">
        <v>848</v>
      </c>
      <c r="L213" s="26">
        <v>1.17</v>
      </c>
      <c r="M213" s="26" t="s">
        <v>785</v>
      </c>
      <c r="N213" s="27" t="s">
        <v>791</v>
      </c>
      <c r="O213" s="100" t="s">
        <v>70</v>
      </c>
      <c r="P213" s="24" t="s">
        <v>74</v>
      </c>
      <c r="Q213" s="24"/>
      <c r="R213" s="24"/>
      <c r="S213" s="24"/>
      <c r="T213" s="24">
        <f>ROUND(IF(D213=Table!$C$3,V213*Table!$C$4/8,V213*Table!$D$4/8),3)</f>
        <v>24.375</v>
      </c>
      <c r="U213" s="24">
        <f>T213</f>
        <v>24.375</v>
      </c>
      <c r="V213" s="24">
        <v>1.5</v>
      </c>
      <c r="W213" s="24">
        <v>3</v>
      </c>
      <c r="X213" s="24" t="s">
        <v>83</v>
      </c>
      <c r="Y213" s="28">
        <v>43928</v>
      </c>
      <c r="Z213" s="28">
        <v>43928</v>
      </c>
      <c r="AA213" s="28">
        <v>43928</v>
      </c>
      <c r="AB213" s="28">
        <v>43928</v>
      </c>
      <c r="AC213" s="28" t="s">
        <v>204</v>
      </c>
      <c r="AD213" s="121"/>
      <c r="AE213" s="121"/>
      <c r="AF213" s="55"/>
      <c r="AG213" s="55"/>
      <c r="AH213" s="55"/>
      <c r="AI213" s="24"/>
      <c r="AJ213" s="24"/>
      <c r="AK213" s="24"/>
    </row>
    <row r="214" spans="2:37" x14ac:dyDescent="0.25">
      <c r="B214" s="97">
        <v>170</v>
      </c>
      <c r="C214" s="25">
        <v>20200407</v>
      </c>
      <c r="D214" s="24" t="s">
        <v>2</v>
      </c>
      <c r="E214" s="24" t="s">
        <v>784</v>
      </c>
      <c r="F214" s="26" t="s">
        <v>70</v>
      </c>
      <c r="G214" s="26" t="s">
        <v>70</v>
      </c>
      <c r="H214" s="24" t="s">
        <v>782</v>
      </c>
      <c r="I214" s="24" t="s">
        <v>334</v>
      </c>
      <c r="J214" s="24" t="s">
        <v>70</v>
      </c>
      <c r="K214" s="24" t="s">
        <v>848</v>
      </c>
      <c r="L214" s="26">
        <v>1.8</v>
      </c>
      <c r="M214" s="26" t="s">
        <v>785</v>
      </c>
      <c r="N214" s="27" t="s">
        <v>792</v>
      </c>
      <c r="O214" s="100" t="s">
        <v>70</v>
      </c>
      <c r="P214" s="24" t="s">
        <v>75</v>
      </c>
      <c r="Q214" s="24"/>
      <c r="R214" s="24"/>
      <c r="S214" s="24"/>
      <c r="T214" s="24">
        <f>ROUND(IF(D214=Table!$C$3,V214*Table!$C$4/8,V214*Table!$D$4/8),3)</f>
        <v>24.375</v>
      </c>
      <c r="U214" s="24">
        <f>T214</f>
        <v>24.375</v>
      </c>
      <c r="V214" s="24">
        <v>1.5</v>
      </c>
      <c r="W214" s="24">
        <v>2</v>
      </c>
      <c r="X214" s="24" t="s">
        <v>83</v>
      </c>
      <c r="Y214" s="28">
        <v>43928</v>
      </c>
      <c r="Z214" s="28">
        <v>43928</v>
      </c>
      <c r="AA214" s="28">
        <v>43928</v>
      </c>
      <c r="AB214" s="28">
        <v>43931</v>
      </c>
      <c r="AC214" s="28" t="s">
        <v>204</v>
      </c>
      <c r="AD214" s="121"/>
      <c r="AE214" s="121"/>
      <c r="AF214" s="55">
        <v>1</v>
      </c>
      <c r="AG214" s="55">
        <v>1</v>
      </c>
      <c r="AH214" s="55">
        <v>1</v>
      </c>
      <c r="AI214" s="24"/>
      <c r="AJ214" s="24"/>
      <c r="AK214" s="24"/>
    </row>
    <row r="215" spans="2:37" x14ac:dyDescent="0.25">
      <c r="B215" s="97">
        <v>171</v>
      </c>
      <c r="C215" s="25">
        <v>20200407</v>
      </c>
      <c r="D215" s="24" t="s">
        <v>2</v>
      </c>
      <c r="E215" s="24" t="s">
        <v>784</v>
      </c>
      <c r="F215" s="26" t="s">
        <v>70</v>
      </c>
      <c r="G215" s="26" t="s">
        <v>70</v>
      </c>
      <c r="H215" s="24" t="s">
        <v>783</v>
      </c>
      <c r="I215" s="24" t="s">
        <v>334</v>
      </c>
      <c r="J215" s="24" t="s">
        <v>70</v>
      </c>
      <c r="K215" s="24" t="s">
        <v>848</v>
      </c>
      <c r="L215" s="26">
        <v>1.4</v>
      </c>
      <c r="M215" s="26" t="s">
        <v>785</v>
      </c>
      <c r="N215" s="27" t="s">
        <v>793</v>
      </c>
      <c r="O215" s="100" t="s">
        <v>70</v>
      </c>
      <c r="P215" s="24" t="s">
        <v>75</v>
      </c>
      <c r="Q215" s="24"/>
      <c r="R215" s="24"/>
      <c r="S215" s="24"/>
      <c r="T215" s="24">
        <f>ROUND(IF(D215=Table!$C$3,V215*Table!$C$4/8,V215*Table!$D$4/8),3)</f>
        <v>24.375</v>
      </c>
      <c r="U215" s="24">
        <f>T215</f>
        <v>24.375</v>
      </c>
      <c r="V215" s="24">
        <v>1.5</v>
      </c>
      <c r="W215" s="24">
        <v>2</v>
      </c>
      <c r="X215" s="24" t="s">
        <v>83</v>
      </c>
      <c r="Y215" s="28">
        <v>43928</v>
      </c>
      <c r="Z215" s="28">
        <v>43928</v>
      </c>
      <c r="AA215" s="28">
        <v>43928</v>
      </c>
      <c r="AB215" s="28">
        <v>43931</v>
      </c>
      <c r="AC215" s="28" t="s">
        <v>204</v>
      </c>
      <c r="AD215" s="121"/>
      <c r="AE215" s="121"/>
      <c r="AF215" s="55">
        <v>1</v>
      </c>
      <c r="AG215" s="55">
        <v>1</v>
      </c>
      <c r="AH215" s="55">
        <v>1</v>
      </c>
      <c r="AI215" s="24"/>
      <c r="AJ215" s="24"/>
      <c r="AK215" s="24"/>
    </row>
    <row r="216" spans="2:37" x14ac:dyDescent="0.25">
      <c r="B216" s="101">
        <v>172</v>
      </c>
      <c r="C216" s="25">
        <v>20200407</v>
      </c>
      <c r="D216" s="24" t="s">
        <v>2</v>
      </c>
      <c r="E216" s="24" t="s">
        <v>842</v>
      </c>
      <c r="F216" s="26" t="s">
        <v>70</v>
      </c>
      <c r="G216" s="24" t="s">
        <v>681</v>
      </c>
      <c r="H216" s="24" t="s">
        <v>794</v>
      </c>
      <c r="I216" s="24" t="s">
        <v>334</v>
      </c>
      <c r="J216" s="24" t="s">
        <v>70</v>
      </c>
      <c r="K216" s="102" t="s">
        <v>851</v>
      </c>
      <c r="L216" s="26" t="s">
        <v>809</v>
      </c>
      <c r="M216" s="26" t="s">
        <v>826</v>
      </c>
      <c r="N216" s="27" t="s">
        <v>827</v>
      </c>
      <c r="O216" s="25" t="s">
        <v>202</v>
      </c>
      <c r="P216" s="24" t="s">
        <v>6</v>
      </c>
      <c r="Q216" s="24"/>
      <c r="R216" s="24"/>
      <c r="S216" s="24">
        <v>162</v>
      </c>
      <c r="T216" s="24">
        <f>ROUND(IF(D216=Table!$C$3,V216*Table!$C$4/8,V216*Table!$D$4/8),3)</f>
        <v>111.8</v>
      </c>
      <c r="U216" s="24">
        <f>T216</f>
        <v>111.8</v>
      </c>
      <c r="V216" s="24">
        <v>6.88</v>
      </c>
      <c r="W216" s="24">
        <v>6</v>
      </c>
      <c r="X216" s="24" t="s">
        <v>83</v>
      </c>
      <c r="Y216" s="28">
        <v>43929</v>
      </c>
      <c r="Z216" s="28">
        <v>43930</v>
      </c>
      <c r="AA216" s="28">
        <v>43929</v>
      </c>
      <c r="AB216" s="28">
        <v>43929</v>
      </c>
      <c r="AC216" s="28" t="s">
        <v>204</v>
      </c>
      <c r="AD216" s="121"/>
      <c r="AE216" s="121"/>
      <c r="AF216" s="55">
        <v>0.95699999999999996</v>
      </c>
      <c r="AG216" s="55">
        <v>0.96199999999999997</v>
      </c>
      <c r="AH216" s="55">
        <v>0.96199999999999997</v>
      </c>
      <c r="AI216" s="24" t="s">
        <v>852</v>
      </c>
      <c r="AJ216" s="24"/>
      <c r="AK216" s="24"/>
    </row>
    <row r="217" spans="2:37" x14ac:dyDescent="0.25">
      <c r="B217" s="101">
        <v>173</v>
      </c>
      <c r="C217" s="25">
        <v>20200407</v>
      </c>
      <c r="D217" s="24" t="s">
        <v>3</v>
      </c>
      <c r="E217" s="24" t="s">
        <v>842</v>
      </c>
      <c r="F217" s="26" t="s">
        <v>70</v>
      </c>
      <c r="G217" s="24" t="s">
        <v>677</v>
      </c>
      <c r="H217" s="24" t="s">
        <v>795</v>
      </c>
      <c r="I217" s="24" t="s">
        <v>335</v>
      </c>
      <c r="J217" s="24" t="s">
        <v>70</v>
      </c>
      <c r="K217" s="102" t="s">
        <v>850</v>
      </c>
      <c r="L217" s="26" t="s">
        <v>810</v>
      </c>
      <c r="M217" s="26" t="s">
        <v>826</v>
      </c>
      <c r="N217" s="27" t="s">
        <v>828</v>
      </c>
      <c r="O217" s="25" t="s">
        <v>202</v>
      </c>
      <c r="P217" s="24" t="s">
        <v>6</v>
      </c>
      <c r="Q217" s="24"/>
      <c r="R217" s="24"/>
      <c r="S217" s="24">
        <v>129</v>
      </c>
      <c r="T217" s="24">
        <f>ROUND(IF(D217=Table!$C$3,V217*Table!$C$4/8,V217*Table!$D$4/8),3)</f>
        <v>67.5</v>
      </c>
      <c r="U217" s="24">
        <f>T217</f>
        <v>67.5</v>
      </c>
      <c r="V217" s="24">
        <v>1.2</v>
      </c>
      <c r="W217" s="24">
        <v>1</v>
      </c>
      <c r="X217" s="24" t="s">
        <v>83</v>
      </c>
      <c r="Y217" s="28">
        <v>43929</v>
      </c>
      <c r="Z217" s="28">
        <v>43930</v>
      </c>
      <c r="AA217" s="28">
        <v>43930</v>
      </c>
      <c r="AB217" s="28">
        <v>43930</v>
      </c>
      <c r="AC217" s="28" t="s">
        <v>204</v>
      </c>
      <c r="AD217" s="121"/>
      <c r="AE217" s="121"/>
      <c r="AF217" s="55">
        <v>1</v>
      </c>
      <c r="AG217" s="55">
        <v>1</v>
      </c>
      <c r="AH217" s="55" t="s">
        <v>219</v>
      </c>
      <c r="AI217" s="24"/>
      <c r="AJ217" s="24"/>
      <c r="AK217" s="24"/>
    </row>
    <row r="218" spans="2:37" x14ac:dyDescent="0.25">
      <c r="B218" s="101">
        <v>174</v>
      </c>
      <c r="C218" s="25">
        <v>20200407</v>
      </c>
      <c r="D218" s="24" t="s">
        <v>3</v>
      </c>
      <c r="E218" s="24" t="s">
        <v>842</v>
      </c>
      <c r="F218" s="26" t="s">
        <v>70</v>
      </c>
      <c r="G218" s="24" t="s">
        <v>749</v>
      </c>
      <c r="H218" s="24" t="s">
        <v>796</v>
      </c>
      <c r="I218" s="24" t="s">
        <v>335</v>
      </c>
      <c r="J218" s="24" t="s">
        <v>70</v>
      </c>
      <c r="K218" s="24" t="s">
        <v>850</v>
      </c>
      <c r="L218" s="26" t="s">
        <v>811</v>
      </c>
      <c r="M218" s="26" t="s">
        <v>826</v>
      </c>
      <c r="N218" s="27" t="s">
        <v>829</v>
      </c>
      <c r="O218" s="25" t="s">
        <v>201</v>
      </c>
      <c r="P218" s="24" t="s">
        <v>73</v>
      </c>
      <c r="Q218" s="24"/>
      <c r="R218" s="24"/>
      <c r="S218" s="24">
        <v>75</v>
      </c>
      <c r="T218" s="24">
        <f>ROUND(IF(D218=Table!$C$3,V218*Table!$C$4/8,V218*Table!$D$4/8),3)</f>
        <v>67.5</v>
      </c>
      <c r="U218" s="24">
        <f>T218</f>
        <v>67.5</v>
      </c>
      <c r="V218" s="24">
        <v>1.2</v>
      </c>
      <c r="W218" s="24">
        <v>1</v>
      </c>
      <c r="X218" s="24" t="s">
        <v>83</v>
      </c>
      <c r="Y218" s="28">
        <v>43929</v>
      </c>
      <c r="Z218" s="28">
        <v>43930</v>
      </c>
      <c r="AA218" s="28">
        <v>43929</v>
      </c>
      <c r="AB218" s="28">
        <v>43929</v>
      </c>
      <c r="AC218" s="28" t="s">
        <v>204</v>
      </c>
      <c r="AD218" s="121"/>
      <c r="AE218" s="121"/>
      <c r="AF218" s="55">
        <v>1</v>
      </c>
      <c r="AG218" s="55">
        <v>1</v>
      </c>
      <c r="AH218" s="55">
        <v>1</v>
      </c>
      <c r="AI218" s="24"/>
      <c r="AJ218" s="24"/>
      <c r="AK218" s="24"/>
    </row>
    <row r="219" spans="2:37" x14ac:dyDescent="0.25">
      <c r="B219" s="101">
        <v>175</v>
      </c>
      <c r="C219" s="25">
        <v>20200407</v>
      </c>
      <c r="D219" s="24" t="s">
        <v>3</v>
      </c>
      <c r="E219" s="24" t="s">
        <v>842</v>
      </c>
      <c r="F219" s="26" t="s">
        <v>70</v>
      </c>
      <c r="G219" s="24" t="s">
        <v>750</v>
      </c>
      <c r="H219" s="24" t="s">
        <v>797</v>
      </c>
      <c r="I219" s="24" t="s">
        <v>335</v>
      </c>
      <c r="J219" s="24" t="s">
        <v>70</v>
      </c>
      <c r="K219" s="24" t="s">
        <v>850</v>
      </c>
      <c r="L219" s="26" t="s">
        <v>812</v>
      </c>
      <c r="M219" s="26" t="s">
        <v>826</v>
      </c>
      <c r="N219" s="27" t="s">
        <v>830</v>
      </c>
      <c r="O219" s="25" t="s">
        <v>201</v>
      </c>
      <c r="P219" s="24" t="s">
        <v>73</v>
      </c>
      <c r="Q219" s="24"/>
      <c r="R219" s="24"/>
      <c r="S219" s="24">
        <v>357</v>
      </c>
      <c r="T219" s="24">
        <f>ROUND(IF(D219=Table!$C$3,V219*Table!$C$4/8,V219*Table!$D$4/8),3)</f>
        <v>90</v>
      </c>
      <c r="U219" s="24">
        <f t="shared" ref="U219:U222" si="21">T219</f>
        <v>90</v>
      </c>
      <c r="V219" s="24">
        <v>1.6</v>
      </c>
      <c r="W219" s="24">
        <v>1</v>
      </c>
      <c r="X219" s="24" t="s">
        <v>83</v>
      </c>
      <c r="Y219" s="28">
        <v>43929</v>
      </c>
      <c r="Z219" s="28">
        <v>43930</v>
      </c>
      <c r="AA219" s="28">
        <v>43929</v>
      </c>
      <c r="AB219" s="28">
        <v>43929</v>
      </c>
      <c r="AC219" s="28" t="s">
        <v>204</v>
      </c>
      <c r="AD219" s="121"/>
      <c r="AE219" s="121"/>
      <c r="AF219" s="55">
        <v>1</v>
      </c>
      <c r="AG219" s="55">
        <v>1</v>
      </c>
      <c r="AH219" s="55">
        <v>0.33</v>
      </c>
      <c r="AI219" s="107"/>
      <c r="AJ219" s="24"/>
      <c r="AK219" s="24"/>
    </row>
    <row r="220" spans="2:37" x14ac:dyDescent="0.25">
      <c r="B220" s="101">
        <v>176</v>
      </c>
      <c r="C220" s="25">
        <v>20200407</v>
      </c>
      <c r="D220" s="24" t="s">
        <v>3</v>
      </c>
      <c r="E220" s="24" t="s">
        <v>842</v>
      </c>
      <c r="F220" s="26" t="s">
        <v>70</v>
      </c>
      <c r="G220" s="24" t="s">
        <v>824</v>
      </c>
      <c r="H220" s="24" t="s">
        <v>798</v>
      </c>
      <c r="I220" s="24" t="s">
        <v>335</v>
      </c>
      <c r="J220" s="24" t="s">
        <v>70</v>
      </c>
      <c r="K220" s="24" t="s">
        <v>850</v>
      </c>
      <c r="L220" s="26" t="s">
        <v>813</v>
      </c>
      <c r="M220" s="26" t="s">
        <v>826</v>
      </c>
      <c r="N220" s="27" t="s">
        <v>831</v>
      </c>
      <c r="O220" s="25" t="s">
        <v>201</v>
      </c>
      <c r="P220" s="24" t="s">
        <v>73</v>
      </c>
      <c r="Q220" s="24"/>
      <c r="R220" s="24"/>
      <c r="S220" s="24">
        <v>312</v>
      </c>
      <c r="T220" s="24">
        <f>ROUND(IF(D220=Table!$C$3,V220*Table!$C$4/8,V220*Table!$D$4/8),3)</f>
        <v>225</v>
      </c>
      <c r="U220" s="24">
        <f t="shared" si="21"/>
        <v>225</v>
      </c>
      <c r="V220" s="24">
        <v>4</v>
      </c>
      <c r="W220" s="24">
        <v>4</v>
      </c>
      <c r="X220" s="24" t="s">
        <v>83</v>
      </c>
      <c r="Y220" s="28">
        <v>43929</v>
      </c>
      <c r="Z220" s="28">
        <v>43930</v>
      </c>
      <c r="AA220" s="28">
        <v>43929</v>
      </c>
      <c r="AB220" s="28">
        <v>43929</v>
      </c>
      <c r="AC220" s="28" t="s">
        <v>204</v>
      </c>
      <c r="AD220" s="121"/>
      <c r="AE220" s="121"/>
      <c r="AF220" s="55">
        <v>1</v>
      </c>
      <c r="AG220" s="55">
        <v>1</v>
      </c>
      <c r="AH220" s="55">
        <v>1</v>
      </c>
      <c r="AI220" s="24"/>
      <c r="AJ220" s="24"/>
      <c r="AK220" s="24"/>
    </row>
    <row r="221" spans="2:37" x14ac:dyDescent="0.25">
      <c r="B221" s="101">
        <v>177</v>
      </c>
      <c r="C221" s="25">
        <v>20200407</v>
      </c>
      <c r="D221" s="24" t="s">
        <v>3</v>
      </c>
      <c r="E221" s="24" t="s">
        <v>842</v>
      </c>
      <c r="F221" s="26" t="s">
        <v>70</v>
      </c>
      <c r="G221" s="24" t="s">
        <v>825</v>
      </c>
      <c r="H221" s="24" t="s">
        <v>799</v>
      </c>
      <c r="I221" s="24" t="s">
        <v>335</v>
      </c>
      <c r="J221" s="24" t="s">
        <v>70</v>
      </c>
      <c r="K221" s="24" t="s">
        <v>850</v>
      </c>
      <c r="L221" s="26" t="s">
        <v>814</v>
      </c>
      <c r="M221" s="26" t="s">
        <v>826</v>
      </c>
      <c r="N221" s="27" t="s">
        <v>832</v>
      </c>
      <c r="O221" s="25" t="s">
        <v>201</v>
      </c>
      <c r="P221" s="24" t="s">
        <v>73</v>
      </c>
      <c r="Q221" s="24"/>
      <c r="R221" s="24"/>
      <c r="S221" s="24">
        <v>8</v>
      </c>
      <c r="T221" s="24">
        <f>ROUND(IF(D221=Table!$C$3,V221*Table!$C$4/8,V221*Table!$D$4/8),3)</f>
        <v>6.75</v>
      </c>
      <c r="U221" s="24">
        <f t="shared" si="21"/>
        <v>6.75</v>
      </c>
      <c r="V221" s="24">
        <v>0.12</v>
      </c>
      <c r="W221" s="24">
        <v>1</v>
      </c>
      <c r="X221" s="24" t="s">
        <v>83</v>
      </c>
      <c r="Y221" s="28">
        <v>43929</v>
      </c>
      <c r="Z221" s="28">
        <v>43930</v>
      </c>
      <c r="AA221" s="28">
        <v>43929</v>
      </c>
      <c r="AB221" s="28">
        <v>43929</v>
      </c>
      <c r="AC221" s="28" t="s">
        <v>204</v>
      </c>
      <c r="AD221" s="121"/>
      <c r="AE221" s="121"/>
      <c r="AF221" s="55">
        <v>1</v>
      </c>
      <c r="AG221" s="55">
        <v>1</v>
      </c>
      <c r="AH221" s="55">
        <v>1</v>
      </c>
      <c r="AI221" s="24"/>
      <c r="AJ221" s="24"/>
      <c r="AK221" s="24"/>
    </row>
    <row r="222" spans="2:37" x14ac:dyDescent="0.25">
      <c r="B222" s="101">
        <v>178</v>
      </c>
      <c r="C222" s="25">
        <v>20200407</v>
      </c>
      <c r="D222" s="24" t="s">
        <v>3</v>
      </c>
      <c r="E222" s="24" t="s">
        <v>842</v>
      </c>
      <c r="F222" s="26" t="s">
        <v>70</v>
      </c>
      <c r="G222" s="24" t="s">
        <v>294</v>
      </c>
      <c r="H222" s="24" t="s">
        <v>800</v>
      </c>
      <c r="I222" s="24" t="s">
        <v>335</v>
      </c>
      <c r="J222" s="24" t="s">
        <v>70</v>
      </c>
      <c r="K222" s="24" t="s">
        <v>850</v>
      </c>
      <c r="L222" s="26" t="s">
        <v>815</v>
      </c>
      <c r="M222" s="26" t="s">
        <v>826</v>
      </c>
      <c r="N222" s="27" t="s">
        <v>833</v>
      </c>
      <c r="O222" s="25" t="s">
        <v>201</v>
      </c>
      <c r="P222" s="24" t="s">
        <v>73</v>
      </c>
      <c r="Q222" s="24"/>
      <c r="R222" s="24"/>
      <c r="S222" s="24">
        <v>38</v>
      </c>
      <c r="T222" s="24">
        <f>ROUND(IF(D222=Table!$C$3,V222*Table!$C$4/8,V222*Table!$D$4/8),3)</f>
        <v>72</v>
      </c>
      <c r="U222" s="24">
        <f t="shared" si="21"/>
        <v>72</v>
      </c>
      <c r="V222" s="24">
        <v>1.2800000000000002</v>
      </c>
      <c r="W222" s="24">
        <v>1</v>
      </c>
      <c r="X222" s="24" t="s">
        <v>83</v>
      </c>
      <c r="Y222" s="28">
        <v>43929</v>
      </c>
      <c r="Z222" s="28">
        <v>43930</v>
      </c>
      <c r="AA222" s="28">
        <v>43929</v>
      </c>
      <c r="AB222" s="28">
        <v>43929</v>
      </c>
      <c r="AC222" s="28" t="s">
        <v>204</v>
      </c>
      <c r="AD222" s="121"/>
      <c r="AE222" s="121"/>
      <c r="AF222" s="55">
        <v>1</v>
      </c>
      <c r="AG222" s="55">
        <v>1</v>
      </c>
      <c r="AH222" s="55">
        <v>0.5</v>
      </c>
      <c r="AI222" s="24"/>
      <c r="AJ222" s="24"/>
      <c r="AK222" s="24"/>
    </row>
    <row r="223" spans="2:37" x14ac:dyDescent="0.25">
      <c r="B223" s="101">
        <v>179</v>
      </c>
      <c r="C223" s="25">
        <v>20200407</v>
      </c>
      <c r="D223" s="24" t="s">
        <v>3</v>
      </c>
      <c r="E223" s="24" t="s">
        <v>842</v>
      </c>
      <c r="F223" s="26" t="s">
        <v>70</v>
      </c>
      <c r="G223" s="24" t="s">
        <v>678</v>
      </c>
      <c r="H223" s="24" t="s">
        <v>801</v>
      </c>
      <c r="I223" s="24" t="s">
        <v>335</v>
      </c>
      <c r="J223" s="24" t="s">
        <v>70</v>
      </c>
      <c r="K223" s="24" t="s">
        <v>850</v>
      </c>
      <c r="L223" s="26" t="s">
        <v>816</v>
      </c>
      <c r="M223" s="26" t="s">
        <v>826</v>
      </c>
      <c r="N223" s="27" t="s">
        <v>834</v>
      </c>
      <c r="O223" s="25" t="s">
        <v>203</v>
      </c>
      <c r="P223" s="24" t="s">
        <v>75</v>
      </c>
      <c r="Q223" s="24"/>
      <c r="R223" s="24"/>
      <c r="S223" s="24">
        <v>26</v>
      </c>
      <c r="T223" s="24">
        <f>ROUND(IF(D223=Table!$C$3,V223*Table!$C$4/8,V223*Table!$D$4/8),3)</f>
        <v>72</v>
      </c>
      <c r="U223" s="24">
        <f>T223</f>
        <v>72</v>
      </c>
      <c r="V223" s="24">
        <v>1.2800000000000002</v>
      </c>
      <c r="W223" s="24">
        <v>2</v>
      </c>
      <c r="X223" s="24" t="s">
        <v>83</v>
      </c>
      <c r="Y223" s="28">
        <v>43929</v>
      </c>
      <c r="Z223" s="28">
        <v>43930</v>
      </c>
      <c r="AA223" s="28">
        <v>43931</v>
      </c>
      <c r="AB223" s="28">
        <v>43931</v>
      </c>
      <c r="AC223" s="28" t="s">
        <v>204</v>
      </c>
      <c r="AD223" s="121"/>
      <c r="AE223" s="121"/>
      <c r="AF223" s="55">
        <v>1</v>
      </c>
      <c r="AG223" s="55">
        <v>1</v>
      </c>
      <c r="AH223" s="55">
        <v>1</v>
      </c>
      <c r="AI223" s="24"/>
      <c r="AJ223" s="24"/>
      <c r="AK223" s="24"/>
    </row>
    <row r="224" spans="2:37" x14ac:dyDescent="0.25">
      <c r="B224" s="101">
        <v>180</v>
      </c>
      <c r="C224" s="25">
        <v>20200407</v>
      </c>
      <c r="D224" s="24" t="s">
        <v>3</v>
      </c>
      <c r="E224" s="24" t="s">
        <v>842</v>
      </c>
      <c r="F224" s="26" t="s">
        <v>70</v>
      </c>
      <c r="G224" s="24" t="s">
        <v>679</v>
      </c>
      <c r="H224" s="24" t="s">
        <v>802</v>
      </c>
      <c r="I224" s="24" t="s">
        <v>335</v>
      </c>
      <c r="J224" s="24" t="s">
        <v>70</v>
      </c>
      <c r="K224" s="24" t="s">
        <v>850</v>
      </c>
      <c r="L224" s="26" t="s">
        <v>817</v>
      </c>
      <c r="M224" s="26" t="s">
        <v>826</v>
      </c>
      <c r="N224" s="27" t="s">
        <v>835</v>
      </c>
      <c r="O224" s="25" t="s">
        <v>203</v>
      </c>
      <c r="P224" s="24" t="s">
        <v>75</v>
      </c>
      <c r="Q224" s="24"/>
      <c r="R224" s="24"/>
      <c r="S224" s="24">
        <v>127</v>
      </c>
      <c r="T224" s="24">
        <f>ROUND(IF(D224=Table!$C$3,V224*Table!$C$4/8,V224*Table!$D$4/8),3)</f>
        <v>144</v>
      </c>
      <c r="U224" s="24">
        <f>T224</f>
        <v>144</v>
      </c>
      <c r="V224" s="24">
        <v>2.5600000000000005</v>
      </c>
      <c r="W224" s="24">
        <v>3</v>
      </c>
      <c r="X224" s="24" t="s">
        <v>83</v>
      </c>
      <c r="Y224" s="28">
        <v>43929</v>
      </c>
      <c r="Z224" s="28">
        <v>43930</v>
      </c>
      <c r="AA224" s="28">
        <v>43931</v>
      </c>
      <c r="AB224" s="28">
        <v>43931</v>
      </c>
      <c r="AC224" s="28" t="s">
        <v>204</v>
      </c>
      <c r="AD224" s="121"/>
      <c r="AE224" s="121"/>
      <c r="AF224" s="55">
        <v>1</v>
      </c>
      <c r="AG224" s="55">
        <v>1</v>
      </c>
      <c r="AH224" s="55">
        <v>1</v>
      </c>
      <c r="AI224" s="24"/>
      <c r="AJ224" s="24"/>
      <c r="AK224" s="24"/>
    </row>
    <row r="225" spans="2:37" x14ac:dyDescent="0.25">
      <c r="B225" s="101">
        <v>181</v>
      </c>
      <c r="C225" s="25">
        <v>20200407</v>
      </c>
      <c r="D225" s="24" t="s">
        <v>3</v>
      </c>
      <c r="E225" s="24" t="s">
        <v>842</v>
      </c>
      <c r="F225" s="26" t="s">
        <v>70</v>
      </c>
      <c r="G225" s="24" t="s">
        <v>124</v>
      </c>
      <c r="H225" s="24" t="s">
        <v>803</v>
      </c>
      <c r="I225" s="24" t="s">
        <v>335</v>
      </c>
      <c r="J225" s="24" t="s">
        <v>70</v>
      </c>
      <c r="K225" s="24" t="s">
        <v>850</v>
      </c>
      <c r="L225" s="26" t="s">
        <v>818</v>
      </c>
      <c r="M225" s="26" t="s">
        <v>826</v>
      </c>
      <c r="N225" s="27" t="s">
        <v>836</v>
      </c>
      <c r="O225" s="25" t="s">
        <v>203</v>
      </c>
      <c r="P225" s="24" t="s">
        <v>75</v>
      </c>
      <c r="Q225" s="24"/>
      <c r="R225" s="24"/>
      <c r="S225" s="24">
        <v>200</v>
      </c>
      <c r="T225" s="24">
        <f>ROUND(IF(D225=Table!$C$3,V225*Table!$C$4/8,V225*Table!$D$4/8),3)</f>
        <v>180</v>
      </c>
      <c r="U225" s="24">
        <f>T225</f>
        <v>180</v>
      </c>
      <c r="V225" s="24">
        <v>3.2</v>
      </c>
      <c r="W225" s="24">
        <v>3</v>
      </c>
      <c r="X225" s="24" t="s">
        <v>83</v>
      </c>
      <c r="Y225" s="28">
        <v>43929</v>
      </c>
      <c r="Z225" s="28">
        <v>43930</v>
      </c>
      <c r="AA225" s="28">
        <v>43931</v>
      </c>
      <c r="AB225" s="28">
        <v>43931</v>
      </c>
      <c r="AC225" s="28" t="s">
        <v>204</v>
      </c>
      <c r="AD225" s="121"/>
      <c r="AE225" s="121"/>
      <c r="AF225" s="55">
        <v>1</v>
      </c>
      <c r="AG225" s="55">
        <v>1</v>
      </c>
      <c r="AH225" s="55">
        <v>1</v>
      </c>
      <c r="AI225" s="24"/>
      <c r="AJ225" s="24"/>
      <c r="AK225" s="24"/>
    </row>
    <row r="226" spans="2:37" x14ac:dyDescent="0.25">
      <c r="B226" s="101">
        <v>182</v>
      </c>
      <c r="C226" s="25">
        <v>20200407</v>
      </c>
      <c r="D226" s="24" t="s">
        <v>3</v>
      </c>
      <c r="E226" s="24" t="s">
        <v>842</v>
      </c>
      <c r="F226" s="26" t="s">
        <v>70</v>
      </c>
      <c r="G226" s="24" t="s">
        <v>125</v>
      </c>
      <c r="H226" s="24" t="s">
        <v>804</v>
      </c>
      <c r="I226" s="24" t="s">
        <v>335</v>
      </c>
      <c r="J226" s="24" t="s">
        <v>70</v>
      </c>
      <c r="K226" s="24" t="s">
        <v>850</v>
      </c>
      <c r="L226" s="26" t="s">
        <v>819</v>
      </c>
      <c r="M226" s="26" t="s">
        <v>826</v>
      </c>
      <c r="N226" s="27" t="s">
        <v>837</v>
      </c>
      <c r="O226" s="25" t="s">
        <v>203</v>
      </c>
      <c r="P226" s="24" t="s">
        <v>75</v>
      </c>
      <c r="Q226" s="24"/>
      <c r="R226" s="24"/>
      <c r="S226" s="24">
        <v>56</v>
      </c>
      <c r="T226" s="24">
        <f>ROUND(IF(D226=Table!$C$3,V226*Table!$C$4/8,V226*Table!$D$4/8),3)</f>
        <v>72</v>
      </c>
      <c r="U226" s="24">
        <f>T226</f>
        <v>72</v>
      </c>
      <c r="V226" s="24">
        <v>1.2800000000000002</v>
      </c>
      <c r="W226" s="24">
        <v>2</v>
      </c>
      <c r="X226" s="24" t="s">
        <v>83</v>
      </c>
      <c r="Y226" s="28">
        <v>43929</v>
      </c>
      <c r="Z226" s="28">
        <v>43930</v>
      </c>
      <c r="AA226" s="28">
        <v>43931</v>
      </c>
      <c r="AB226" s="28">
        <v>43931</v>
      </c>
      <c r="AC226" s="28" t="s">
        <v>204</v>
      </c>
      <c r="AD226" s="121"/>
      <c r="AE226" s="121"/>
      <c r="AF226" s="55">
        <v>1</v>
      </c>
      <c r="AG226" s="55">
        <v>1</v>
      </c>
      <c r="AH226" s="55">
        <v>1</v>
      </c>
      <c r="AI226" s="24"/>
      <c r="AJ226" s="24"/>
      <c r="AK226" s="24"/>
    </row>
    <row r="227" spans="2:37" x14ac:dyDescent="0.25">
      <c r="B227" s="101">
        <v>183</v>
      </c>
      <c r="C227" s="25">
        <v>20200407</v>
      </c>
      <c r="D227" s="24" t="s">
        <v>3</v>
      </c>
      <c r="E227" s="24" t="s">
        <v>842</v>
      </c>
      <c r="F227" s="26" t="s">
        <v>70</v>
      </c>
      <c r="G227" s="24" t="s">
        <v>126</v>
      </c>
      <c r="H227" s="24" t="s">
        <v>805</v>
      </c>
      <c r="I227" s="24" t="s">
        <v>335</v>
      </c>
      <c r="J227" s="24" t="s">
        <v>70</v>
      </c>
      <c r="K227" s="24" t="s">
        <v>850</v>
      </c>
      <c r="L227" s="26" t="s">
        <v>820</v>
      </c>
      <c r="M227" s="26" t="s">
        <v>826</v>
      </c>
      <c r="N227" s="27" t="s">
        <v>838</v>
      </c>
      <c r="O227" s="25" t="s">
        <v>654</v>
      </c>
      <c r="P227" s="24" t="s">
        <v>6</v>
      </c>
      <c r="Q227" s="24"/>
      <c r="R227" s="24"/>
      <c r="S227" s="24">
        <v>213</v>
      </c>
      <c r="T227" s="24">
        <f>ROUND(IF(D227=Table!$C$3,V227*Table!$C$4/8,V227*Table!$D$4/8),3)</f>
        <v>180</v>
      </c>
      <c r="U227" s="24">
        <f t="shared" ref="U227" si="22">T227</f>
        <v>180</v>
      </c>
      <c r="V227" s="24">
        <v>3.2</v>
      </c>
      <c r="W227" s="24">
        <v>3</v>
      </c>
      <c r="X227" s="24" t="s">
        <v>83</v>
      </c>
      <c r="Y227" s="28">
        <v>43929</v>
      </c>
      <c r="Z227" s="28">
        <v>43930</v>
      </c>
      <c r="AA227" s="28">
        <v>43931</v>
      </c>
      <c r="AB227" s="28">
        <v>43931</v>
      </c>
      <c r="AC227" s="28" t="s">
        <v>204</v>
      </c>
      <c r="AD227" s="121"/>
      <c r="AE227" s="121"/>
      <c r="AF227" s="55">
        <v>0.97</v>
      </c>
      <c r="AG227" s="55">
        <v>0.95</v>
      </c>
      <c r="AH227" s="55">
        <v>0.5</v>
      </c>
      <c r="AI227" s="24" t="s">
        <v>880</v>
      </c>
      <c r="AJ227" s="24"/>
      <c r="AK227" s="24"/>
    </row>
    <row r="228" spans="2:37" x14ac:dyDescent="0.25">
      <c r="B228" s="101">
        <v>184</v>
      </c>
      <c r="C228" s="25">
        <v>20200407</v>
      </c>
      <c r="D228" s="24" t="s">
        <v>3</v>
      </c>
      <c r="E228" s="24" t="s">
        <v>842</v>
      </c>
      <c r="F228" s="26" t="s">
        <v>70</v>
      </c>
      <c r="G228" s="24" t="s">
        <v>680</v>
      </c>
      <c r="H228" s="24" t="s">
        <v>806</v>
      </c>
      <c r="I228" s="24" t="s">
        <v>335</v>
      </c>
      <c r="J228" s="24" t="s">
        <v>70</v>
      </c>
      <c r="K228" s="24" t="s">
        <v>850</v>
      </c>
      <c r="L228" s="26" t="s">
        <v>821</v>
      </c>
      <c r="M228" s="26" t="s">
        <v>826</v>
      </c>
      <c r="N228" s="27" t="s">
        <v>839</v>
      </c>
      <c r="O228" s="25" t="s">
        <v>654</v>
      </c>
      <c r="P228" s="24" t="s">
        <v>6</v>
      </c>
      <c r="Q228" s="24"/>
      <c r="R228" s="24"/>
      <c r="S228" s="24">
        <v>138</v>
      </c>
      <c r="T228" s="24">
        <f>ROUND(IF(D228=Table!$C$3,V228*Table!$C$4/8,V228*Table!$D$4/8),3)</f>
        <v>144</v>
      </c>
      <c r="U228" s="24">
        <f>T228</f>
        <v>144</v>
      </c>
      <c r="V228" s="24">
        <v>2.56</v>
      </c>
      <c r="W228" s="24">
        <v>1</v>
      </c>
      <c r="X228" s="24" t="s">
        <v>83</v>
      </c>
      <c r="Y228" s="28">
        <v>43929</v>
      </c>
      <c r="Z228" s="28">
        <v>43930</v>
      </c>
      <c r="AA228" s="28">
        <v>43931</v>
      </c>
      <c r="AB228" s="28">
        <v>43931</v>
      </c>
      <c r="AC228" s="28" t="s">
        <v>204</v>
      </c>
      <c r="AD228" s="121"/>
      <c r="AE228" s="121"/>
      <c r="AF228" s="55">
        <v>1</v>
      </c>
      <c r="AG228" s="55">
        <v>1</v>
      </c>
      <c r="AH228" s="55">
        <v>0.5</v>
      </c>
      <c r="AI228" s="24"/>
      <c r="AJ228" s="24"/>
      <c r="AK228" s="24"/>
    </row>
    <row r="229" spans="2:37" x14ac:dyDescent="0.25">
      <c r="B229" s="101">
        <v>185</v>
      </c>
      <c r="C229" s="25">
        <v>20200407</v>
      </c>
      <c r="D229" s="24" t="s">
        <v>3</v>
      </c>
      <c r="E229" s="24" t="s">
        <v>842</v>
      </c>
      <c r="F229" s="26" t="s">
        <v>70</v>
      </c>
      <c r="G229" s="24" t="s">
        <v>127</v>
      </c>
      <c r="H229" s="24" t="s">
        <v>807</v>
      </c>
      <c r="I229" s="24" t="s">
        <v>335</v>
      </c>
      <c r="J229" s="24" t="s">
        <v>70</v>
      </c>
      <c r="K229" s="24" t="s">
        <v>850</v>
      </c>
      <c r="L229" s="26" t="s">
        <v>822</v>
      </c>
      <c r="M229" s="26" t="s">
        <v>826</v>
      </c>
      <c r="N229" s="27" t="s">
        <v>840</v>
      </c>
      <c r="O229" s="25" t="s">
        <v>654</v>
      </c>
      <c r="P229" s="24" t="s">
        <v>74</v>
      </c>
      <c r="Q229" s="24"/>
      <c r="R229" s="24"/>
      <c r="S229" s="24">
        <v>430</v>
      </c>
      <c r="T229" s="24">
        <f>ROUND(IF(D229=Table!$C$3,V229*Table!$C$4/8,V229*Table!$D$4/8),3)</f>
        <v>315</v>
      </c>
      <c r="U229" s="24">
        <f t="shared" ref="U229:U230" si="23">T229</f>
        <v>315</v>
      </c>
      <c r="V229" s="24">
        <v>5.6</v>
      </c>
      <c r="W229" s="24">
        <v>8</v>
      </c>
      <c r="X229" s="24" t="s">
        <v>83</v>
      </c>
      <c r="Y229" s="28">
        <v>43929</v>
      </c>
      <c r="Z229" s="28">
        <v>43930</v>
      </c>
      <c r="AA229" s="28">
        <v>43931</v>
      </c>
      <c r="AB229" s="28">
        <v>43931</v>
      </c>
      <c r="AC229" s="28" t="s">
        <v>204</v>
      </c>
      <c r="AD229" s="121"/>
      <c r="AE229" s="121"/>
      <c r="AF229" s="55"/>
      <c r="AG229" s="55"/>
      <c r="AH229" s="55"/>
      <c r="AI229" s="24"/>
      <c r="AJ229" s="24"/>
      <c r="AK229" s="24"/>
    </row>
    <row r="230" spans="2:37" x14ac:dyDescent="0.25">
      <c r="B230" s="101">
        <v>186</v>
      </c>
      <c r="C230" s="25">
        <v>20200407</v>
      </c>
      <c r="D230" s="24" t="s">
        <v>3</v>
      </c>
      <c r="E230" s="24" t="s">
        <v>842</v>
      </c>
      <c r="F230" s="26" t="s">
        <v>70</v>
      </c>
      <c r="G230" s="24" t="s">
        <v>129</v>
      </c>
      <c r="H230" s="24" t="s">
        <v>808</v>
      </c>
      <c r="I230" s="24" t="s">
        <v>335</v>
      </c>
      <c r="J230" s="24" t="s">
        <v>70</v>
      </c>
      <c r="K230" s="24" t="s">
        <v>850</v>
      </c>
      <c r="L230" s="26" t="s">
        <v>823</v>
      </c>
      <c r="M230" s="26" t="s">
        <v>826</v>
      </c>
      <c r="N230" s="27" t="s">
        <v>841</v>
      </c>
      <c r="O230" s="25" t="s">
        <v>654</v>
      </c>
      <c r="P230" s="24" t="s">
        <v>74</v>
      </c>
      <c r="Q230" s="24"/>
      <c r="R230" s="24"/>
      <c r="S230" s="24">
        <v>56</v>
      </c>
      <c r="T230" s="24">
        <f>ROUND(IF(D230=Table!$C$3,V230*Table!$C$4/8,V230*Table!$D$4/8),3)</f>
        <v>72</v>
      </c>
      <c r="U230" s="24">
        <f t="shared" si="23"/>
        <v>72</v>
      </c>
      <c r="V230" s="24">
        <v>1.28</v>
      </c>
      <c r="W230" s="24">
        <v>8</v>
      </c>
      <c r="X230" s="24" t="s">
        <v>83</v>
      </c>
      <c r="Y230" s="28">
        <v>43929</v>
      </c>
      <c r="Z230" s="28">
        <v>43930</v>
      </c>
      <c r="AA230" s="28">
        <v>43931</v>
      </c>
      <c r="AB230" s="28">
        <v>43931</v>
      </c>
      <c r="AC230" s="28" t="s">
        <v>204</v>
      </c>
      <c r="AD230" s="121"/>
      <c r="AE230" s="121"/>
      <c r="AF230" s="55"/>
      <c r="AG230" s="55"/>
      <c r="AH230" s="55"/>
      <c r="AI230" s="24"/>
      <c r="AJ230" s="24"/>
      <c r="AK230" s="24"/>
    </row>
    <row r="231" spans="2:37" x14ac:dyDescent="0.25">
      <c r="B231" s="109">
        <v>187</v>
      </c>
      <c r="C231" s="25">
        <v>20200409</v>
      </c>
      <c r="D231" s="24" t="s">
        <v>2</v>
      </c>
      <c r="E231" s="24" t="s">
        <v>866</v>
      </c>
      <c r="F231" s="26" t="s">
        <v>70</v>
      </c>
      <c r="G231" s="26" t="s">
        <v>70</v>
      </c>
      <c r="H231" s="24" t="s">
        <v>858</v>
      </c>
      <c r="I231" s="24" t="s">
        <v>334</v>
      </c>
      <c r="J231" s="24"/>
      <c r="K231" s="24"/>
      <c r="L231" s="26">
        <v>1.3</v>
      </c>
      <c r="M231" s="26" t="s">
        <v>867</v>
      </c>
      <c r="N231" s="27" t="s">
        <v>868</v>
      </c>
      <c r="O231" s="100" t="s">
        <v>70</v>
      </c>
      <c r="P231" s="24" t="s">
        <v>6</v>
      </c>
      <c r="Q231" s="24"/>
      <c r="R231" s="24"/>
      <c r="S231" s="24"/>
      <c r="T231" s="24">
        <f>ROUND(IF(D231=Table!$C$3,V231*Table!$C$4/8,V231*Table!$D$4/8),3)</f>
        <v>40.625</v>
      </c>
      <c r="U231" s="24">
        <f>T231</f>
        <v>40.625</v>
      </c>
      <c r="V231" s="24">
        <v>2.5</v>
      </c>
      <c r="W231" s="24"/>
      <c r="X231" s="24" t="s">
        <v>82</v>
      </c>
      <c r="Y231" s="28">
        <v>43931</v>
      </c>
      <c r="Z231" s="28">
        <v>43931</v>
      </c>
      <c r="AA231" s="28">
        <v>43931</v>
      </c>
      <c r="AB231" s="28">
        <v>43931</v>
      </c>
      <c r="AC231" s="28" t="s">
        <v>204</v>
      </c>
      <c r="AD231" s="121"/>
      <c r="AE231" s="121"/>
      <c r="AF231" s="55">
        <v>0.93300000000000005</v>
      </c>
      <c r="AG231" s="55">
        <v>0.93799999999999994</v>
      </c>
      <c r="AH231" s="55">
        <v>1</v>
      </c>
      <c r="AI231" s="24" t="s">
        <v>882</v>
      </c>
      <c r="AJ231" s="24"/>
      <c r="AK231" s="24"/>
    </row>
    <row r="232" spans="2:37" x14ac:dyDescent="0.25">
      <c r="B232" s="109">
        <v>188</v>
      </c>
      <c r="C232" s="25">
        <v>20200409</v>
      </c>
      <c r="D232" s="24" t="s">
        <v>2</v>
      </c>
      <c r="E232" s="24" t="s">
        <v>866</v>
      </c>
      <c r="F232" s="26" t="s">
        <v>70</v>
      </c>
      <c r="G232" s="26" t="s">
        <v>70</v>
      </c>
      <c r="H232" s="24" t="s">
        <v>859</v>
      </c>
      <c r="I232" s="24" t="s">
        <v>334</v>
      </c>
      <c r="J232" s="24"/>
      <c r="K232" s="24"/>
      <c r="L232" s="26">
        <v>1.5</v>
      </c>
      <c r="M232" s="26" t="s">
        <v>867</v>
      </c>
      <c r="N232" s="27" t="s">
        <v>869</v>
      </c>
      <c r="O232" s="100" t="s">
        <v>70</v>
      </c>
      <c r="P232" s="24" t="s">
        <v>73</v>
      </c>
      <c r="Q232" s="24"/>
      <c r="R232" s="24"/>
      <c r="S232" s="24"/>
      <c r="T232" s="24">
        <f>ROUND(IF(D232=Table!$C$3,V232*Table!$C$4/8,V232*Table!$D$4/8),3)</f>
        <v>40.625</v>
      </c>
      <c r="U232" s="24">
        <f>T232</f>
        <v>40.625</v>
      </c>
      <c r="V232" s="24">
        <v>2.5</v>
      </c>
      <c r="W232" s="24">
        <f>V232</f>
        <v>2.5</v>
      </c>
      <c r="X232" s="24" t="s">
        <v>82</v>
      </c>
      <c r="Y232" s="28">
        <v>43931</v>
      </c>
      <c r="Z232" s="28">
        <v>43931</v>
      </c>
      <c r="AA232" s="28">
        <v>43931</v>
      </c>
      <c r="AB232" s="28">
        <v>43931</v>
      </c>
      <c r="AC232" s="28" t="s">
        <v>204</v>
      </c>
      <c r="AD232" s="121"/>
      <c r="AE232" s="121"/>
      <c r="AF232" s="55">
        <v>1</v>
      </c>
      <c r="AG232" s="55">
        <v>1</v>
      </c>
      <c r="AH232" s="55" t="s">
        <v>219</v>
      </c>
      <c r="AI232" s="24"/>
      <c r="AJ232" s="24"/>
      <c r="AK232" s="24"/>
    </row>
    <row r="233" spans="2:37" x14ac:dyDescent="0.25">
      <c r="B233" s="109">
        <v>189</v>
      </c>
      <c r="C233" s="25">
        <v>20200409</v>
      </c>
      <c r="D233" s="24" t="s">
        <v>2</v>
      </c>
      <c r="E233" s="24" t="s">
        <v>866</v>
      </c>
      <c r="F233" s="26" t="s">
        <v>70</v>
      </c>
      <c r="G233" s="26" t="s">
        <v>70</v>
      </c>
      <c r="H233" s="24" t="s">
        <v>860</v>
      </c>
      <c r="I233" s="24" t="s">
        <v>334</v>
      </c>
      <c r="J233" s="24"/>
      <c r="K233" s="24"/>
      <c r="L233" s="26">
        <v>1.4</v>
      </c>
      <c r="M233" s="26" t="s">
        <v>867</v>
      </c>
      <c r="N233" s="27" t="s">
        <v>870</v>
      </c>
      <c r="O233" s="100" t="s">
        <v>70</v>
      </c>
      <c r="P233" s="24" t="s">
        <v>74</v>
      </c>
      <c r="Q233" s="24"/>
      <c r="R233" s="24"/>
      <c r="S233" s="24"/>
      <c r="T233" s="24">
        <f>ROUND(IF(D233=Table!$C$3,V233*Table!$C$4/8,V233*Table!$D$4/8),3)</f>
        <v>24.375</v>
      </c>
      <c r="U233" s="24">
        <f>T233</f>
        <v>24.375</v>
      </c>
      <c r="V233" s="24">
        <v>1.5</v>
      </c>
      <c r="W233" s="24">
        <v>1.5</v>
      </c>
      <c r="X233" s="24" t="s">
        <v>82</v>
      </c>
      <c r="Y233" s="28">
        <v>43931</v>
      </c>
      <c r="Z233" s="28">
        <v>43931</v>
      </c>
      <c r="AA233" s="28">
        <v>43931</v>
      </c>
      <c r="AB233" s="28">
        <v>43931</v>
      </c>
      <c r="AC233" s="28" t="s">
        <v>204</v>
      </c>
      <c r="AD233" s="121"/>
      <c r="AE233" s="121"/>
      <c r="AF233" s="55"/>
      <c r="AG233" s="55"/>
      <c r="AH233" s="55"/>
      <c r="AI233" s="24"/>
      <c r="AJ233" s="24"/>
      <c r="AK233" s="24"/>
    </row>
    <row r="234" spans="2:37" x14ac:dyDescent="0.25">
      <c r="B234" s="109">
        <v>190</v>
      </c>
      <c r="C234" s="25">
        <v>20200409</v>
      </c>
      <c r="D234" s="24" t="s">
        <v>2</v>
      </c>
      <c r="E234" s="24" t="s">
        <v>866</v>
      </c>
      <c r="F234" s="26" t="s">
        <v>70</v>
      </c>
      <c r="G234" s="26" t="s">
        <v>70</v>
      </c>
      <c r="H234" s="24" t="s">
        <v>861</v>
      </c>
      <c r="I234" s="24" t="s">
        <v>334</v>
      </c>
      <c r="J234" s="24"/>
      <c r="K234" s="24"/>
      <c r="L234" s="26">
        <v>1.3</v>
      </c>
      <c r="M234" s="26" t="s">
        <v>867</v>
      </c>
      <c r="N234" s="27" t="s">
        <v>871</v>
      </c>
      <c r="O234" s="100" t="s">
        <v>70</v>
      </c>
      <c r="P234" s="24" t="s">
        <v>74</v>
      </c>
      <c r="Q234" s="24"/>
      <c r="R234" s="24"/>
      <c r="S234" s="24"/>
      <c r="T234" s="24">
        <f>ROUND(IF(D234=Table!$C$3,V234*Table!$C$4/8,V234*Table!$D$4/8),3)</f>
        <v>24.375</v>
      </c>
      <c r="U234" s="24">
        <f>T234</f>
        <v>24.375</v>
      </c>
      <c r="V234" s="24">
        <v>1.5</v>
      </c>
      <c r="W234" s="24">
        <v>1.5</v>
      </c>
      <c r="X234" s="24" t="s">
        <v>82</v>
      </c>
      <c r="Y234" s="28">
        <v>43931</v>
      </c>
      <c r="Z234" s="28">
        <v>43931</v>
      </c>
      <c r="AA234" s="28">
        <v>43931</v>
      </c>
      <c r="AB234" s="28">
        <v>43931</v>
      </c>
      <c r="AC234" s="28" t="s">
        <v>204</v>
      </c>
      <c r="AD234" s="121"/>
      <c r="AE234" s="121"/>
      <c r="AF234" s="55"/>
      <c r="AG234" s="55"/>
      <c r="AH234" s="55"/>
      <c r="AI234" s="24"/>
      <c r="AJ234" s="24"/>
      <c r="AK234" s="24"/>
    </row>
    <row r="235" spans="2:37" x14ac:dyDescent="0.25">
      <c r="B235" s="109">
        <v>191</v>
      </c>
      <c r="C235" s="25">
        <v>20200409</v>
      </c>
      <c r="D235" s="24" t="s">
        <v>2</v>
      </c>
      <c r="E235" s="24" t="s">
        <v>866</v>
      </c>
      <c r="F235" s="26" t="s">
        <v>70</v>
      </c>
      <c r="G235" s="26" t="s">
        <v>70</v>
      </c>
      <c r="H235" s="24" t="s">
        <v>862</v>
      </c>
      <c r="I235" s="24" t="s">
        <v>334</v>
      </c>
      <c r="J235" s="24"/>
      <c r="K235" s="24"/>
      <c r="L235" s="26">
        <v>1.2</v>
      </c>
      <c r="M235" s="26" t="s">
        <v>867</v>
      </c>
      <c r="N235" s="27" t="s">
        <v>872</v>
      </c>
      <c r="O235" s="100" t="s">
        <v>70</v>
      </c>
      <c r="P235" s="24" t="s">
        <v>75</v>
      </c>
      <c r="Q235" s="24"/>
      <c r="R235" s="24"/>
      <c r="S235" s="24"/>
      <c r="T235" s="24">
        <f>ROUND(IF(D235=Table!$C$3,V235*Table!$C$4/8,V235*Table!$D$4/8),3)</f>
        <v>24.375</v>
      </c>
      <c r="U235" s="24">
        <f>T235</f>
        <v>24.375</v>
      </c>
      <c r="V235" s="24">
        <v>1.5</v>
      </c>
      <c r="W235" s="24">
        <v>2</v>
      </c>
      <c r="X235" s="24" t="s">
        <v>82</v>
      </c>
      <c r="Y235" s="28">
        <v>43931</v>
      </c>
      <c r="Z235" s="28">
        <v>43931</v>
      </c>
      <c r="AA235" s="28">
        <v>43931</v>
      </c>
      <c r="AB235" s="28">
        <v>43931</v>
      </c>
      <c r="AC235" s="28" t="s">
        <v>204</v>
      </c>
      <c r="AD235" s="121"/>
      <c r="AE235" s="121"/>
      <c r="AF235" s="55">
        <v>1</v>
      </c>
      <c r="AG235" s="55">
        <v>1</v>
      </c>
      <c r="AH235" s="55" t="s">
        <v>219</v>
      </c>
      <c r="AI235" s="24"/>
      <c r="AJ235" s="24"/>
      <c r="AK235" s="24"/>
    </row>
    <row r="236" spans="2:37" x14ac:dyDescent="0.25">
      <c r="B236" s="109">
        <v>192</v>
      </c>
      <c r="C236" s="25">
        <v>20200409</v>
      </c>
      <c r="D236" s="24" t="s">
        <v>2</v>
      </c>
      <c r="E236" s="24" t="s">
        <v>866</v>
      </c>
      <c r="F236" s="26" t="s">
        <v>70</v>
      </c>
      <c r="G236" s="26" t="s">
        <v>70</v>
      </c>
      <c r="H236" s="24" t="s">
        <v>863</v>
      </c>
      <c r="I236" s="24" t="s">
        <v>334</v>
      </c>
      <c r="J236" s="24"/>
      <c r="K236" s="24"/>
      <c r="L236" s="26">
        <v>1.4</v>
      </c>
      <c r="M236" s="26" t="s">
        <v>867</v>
      </c>
      <c r="N236" s="27" t="s">
        <v>873</v>
      </c>
      <c r="O236" s="100" t="s">
        <v>70</v>
      </c>
      <c r="P236" s="24" t="s">
        <v>75</v>
      </c>
      <c r="Q236" s="24"/>
      <c r="R236" s="24"/>
      <c r="S236" s="24"/>
      <c r="T236" s="24">
        <f>ROUND(IF(D236=Table!$C$3,V236*Table!$C$4/8,V236*Table!$D$4/8),3)</f>
        <v>24.375</v>
      </c>
      <c r="U236" s="24">
        <f>T236</f>
        <v>24.375</v>
      </c>
      <c r="V236" s="24">
        <v>1.5</v>
      </c>
      <c r="W236" s="24">
        <v>2</v>
      </c>
      <c r="X236" s="24" t="s">
        <v>82</v>
      </c>
      <c r="Y236" s="28">
        <v>43931</v>
      </c>
      <c r="Z236" s="28">
        <v>43931</v>
      </c>
      <c r="AA236" s="28">
        <v>43931</v>
      </c>
      <c r="AB236" s="28">
        <v>43931</v>
      </c>
      <c r="AC236" s="28" t="s">
        <v>204</v>
      </c>
      <c r="AD236" s="121"/>
      <c r="AE236" s="121"/>
      <c r="AF236" s="55">
        <v>1</v>
      </c>
      <c r="AG236" s="55">
        <v>1</v>
      </c>
      <c r="AH236" s="55" t="s">
        <v>219</v>
      </c>
      <c r="AI236" s="24"/>
      <c r="AJ236" s="24"/>
      <c r="AK236" s="24"/>
    </row>
    <row r="237" spans="2:37" x14ac:dyDescent="0.25">
      <c r="B237" s="109">
        <v>193</v>
      </c>
      <c r="C237" s="25">
        <v>20200409</v>
      </c>
      <c r="D237" s="24" t="s">
        <v>2</v>
      </c>
      <c r="E237" s="24" t="s">
        <v>866</v>
      </c>
      <c r="F237" s="26" t="s">
        <v>70</v>
      </c>
      <c r="G237" s="26" t="s">
        <v>70</v>
      </c>
      <c r="H237" s="24" t="s">
        <v>864</v>
      </c>
      <c r="I237" s="24" t="s">
        <v>334</v>
      </c>
      <c r="J237" s="24"/>
      <c r="K237" s="24"/>
      <c r="L237" s="26">
        <v>1.1000000000000001</v>
      </c>
      <c r="M237" s="26" t="s">
        <v>867</v>
      </c>
      <c r="N237" s="27" t="s">
        <v>874</v>
      </c>
      <c r="O237" s="100" t="s">
        <v>70</v>
      </c>
      <c r="P237" s="24" t="s">
        <v>6</v>
      </c>
      <c r="Q237" s="24"/>
      <c r="R237" s="24"/>
      <c r="S237" s="24"/>
      <c r="T237" s="24">
        <f>ROUND(IF(D237=Table!$C$3,V237*Table!$C$4/8,V237*Table!$D$4/8),3)</f>
        <v>24.375</v>
      </c>
      <c r="U237" s="24">
        <f>T237</f>
        <v>24.375</v>
      </c>
      <c r="V237" s="24">
        <v>1.5</v>
      </c>
      <c r="W237" s="24">
        <v>1</v>
      </c>
      <c r="X237" s="24" t="s">
        <v>82</v>
      </c>
      <c r="Y237" s="28">
        <v>43931</v>
      </c>
      <c r="Z237" s="28">
        <v>43931</v>
      </c>
      <c r="AA237" s="28">
        <v>43931</v>
      </c>
      <c r="AB237" s="28">
        <v>43931</v>
      </c>
      <c r="AC237" s="28" t="s">
        <v>204</v>
      </c>
      <c r="AD237" s="121"/>
      <c r="AE237" s="121"/>
      <c r="AF237" s="55">
        <v>1</v>
      </c>
      <c r="AG237" s="55">
        <v>1</v>
      </c>
      <c r="AH237" s="55" t="s">
        <v>219</v>
      </c>
      <c r="AI237" s="24"/>
      <c r="AJ237" s="24"/>
      <c r="AK237" s="24"/>
    </row>
    <row r="238" spans="2:37" x14ac:dyDescent="0.25">
      <c r="B238" s="109">
        <v>194</v>
      </c>
      <c r="C238" s="25">
        <v>20200409</v>
      </c>
      <c r="D238" s="24" t="s">
        <v>2</v>
      </c>
      <c r="E238" s="24" t="s">
        <v>866</v>
      </c>
      <c r="F238" s="26" t="s">
        <v>70</v>
      </c>
      <c r="G238" s="26" t="s">
        <v>70</v>
      </c>
      <c r="H238" s="24" t="s">
        <v>865</v>
      </c>
      <c r="I238" s="24" t="s">
        <v>334</v>
      </c>
      <c r="J238" s="24"/>
      <c r="K238" s="24"/>
      <c r="L238" s="26">
        <v>1.7</v>
      </c>
      <c r="M238" s="26" t="s">
        <v>867</v>
      </c>
      <c r="N238" s="27" t="s">
        <v>875</v>
      </c>
      <c r="O238" s="100" t="s">
        <v>70</v>
      </c>
      <c r="P238" s="24" t="s">
        <v>73</v>
      </c>
      <c r="Q238" s="24"/>
      <c r="R238" s="24"/>
      <c r="S238" s="24"/>
      <c r="T238" s="24">
        <f>ROUND(IF(D238=Table!$C$3,V238*Table!$C$4/8,V238*Table!$D$4/8),3)</f>
        <v>24.375</v>
      </c>
      <c r="U238" s="24">
        <f>T238</f>
        <v>24.375</v>
      </c>
      <c r="V238" s="24">
        <v>1.5</v>
      </c>
      <c r="W238" s="24">
        <f>V238</f>
        <v>1.5</v>
      </c>
      <c r="X238" s="24" t="s">
        <v>82</v>
      </c>
      <c r="Y238" s="28">
        <v>43931</v>
      </c>
      <c r="Z238" s="28">
        <v>43931</v>
      </c>
      <c r="AA238" s="28">
        <v>43931</v>
      </c>
      <c r="AB238" s="28">
        <v>43931</v>
      </c>
      <c r="AC238" s="28" t="s">
        <v>204</v>
      </c>
      <c r="AD238" s="121"/>
      <c r="AE238" s="121"/>
      <c r="AF238" s="55">
        <v>1</v>
      </c>
      <c r="AG238" s="55">
        <v>1</v>
      </c>
      <c r="AH238" s="55" t="s">
        <v>219</v>
      </c>
      <c r="AI238" s="24"/>
      <c r="AJ238" s="24"/>
      <c r="AK238" s="24"/>
    </row>
    <row r="239" spans="2:37" x14ac:dyDescent="0.25">
      <c r="B239" s="110">
        <v>195</v>
      </c>
      <c r="C239" s="25">
        <v>20200409</v>
      </c>
      <c r="D239" s="24" t="s">
        <v>2</v>
      </c>
      <c r="E239" s="24" t="s">
        <v>876</v>
      </c>
      <c r="F239" s="26"/>
      <c r="G239" s="24" t="s">
        <v>677</v>
      </c>
      <c r="H239" s="24" t="s">
        <v>878</v>
      </c>
      <c r="I239" s="24" t="s">
        <v>334</v>
      </c>
      <c r="J239" s="24"/>
      <c r="K239" s="24"/>
      <c r="L239" s="26" t="s">
        <v>879</v>
      </c>
      <c r="M239" s="26" t="s">
        <v>877</v>
      </c>
      <c r="N239" s="27" t="s">
        <v>881</v>
      </c>
      <c r="O239" s="25" t="s">
        <v>202</v>
      </c>
      <c r="P239" s="24" t="s">
        <v>73</v>
      </c>
      <c r="Q239" s="24"/>
      <c r="R239" s="24"/>
      <c r="S239" s="24"/>
      <c r="T239" s="24">
        <f>ROUND(IF(D239=Table!$C$3,V239*Table!$C$4/8,V239*Table!$D$4/8),3)</f>
        <v>52</v>
      </c>
      <c r="U239" s="24">
        <f>T239</f>
        <v>52</v>
      </c>
      <c r="V239" s="24">
        <v>3.2</v>
      </c>
      <c r="W239" s="24">
        <f>V239</f>
        <v>3.2</v>
      </c>
      <c r="X239" s="24" t="s">
        <v>82</v>
      </c>
      <c r="Y239" s="28">
        <v>43931</v>
      </c>
      <c r="Z239" s="28">
        <v>43931</v>
      </c>
      <c r="AA239" s="28">
        <v>43931</v>
      </c>
      <c r="AB239" s="28">
        <v>43931</v>
      </c>
      <c r="AC239" s="28" t="s">
        <v>204</v>
      </c>
      <c r="AD239" s="121"/>
      <c r="AE239" s="121"/>
      <c r="AF239" s="55">
        <v>1</v>
      </c>
      <c r="AG239" s="55">
        <v>1</v>
      </c>
      <c r="AH239" s="55">
        <v>1</v>
      </c>
      <c r="AI239" s="24"/>
      <c r="AJ239" s="24"/>
      <c r="AK239" s="24"/>
    </row>
    <row r="240" spans="2:37" x14ac:dyDescent="0.25">
      <c r="B240" s="30"/>
      <c r="C240" s="25"/>
      <c r="D240" s="24"/>
      <c r="E240" s="24"/>
      <c r="F240" s="26"/>
      <c r="G240" s="24"/>
      <c r="H240" s="24"/>
      <c r="I240" s="24"/>
      <c r="J240" s="24"/>
      <c r="K240" s="24"/>
      <c r="L240" s="26"/>
      <c r="M240" s="26"/>
      <c r="N240" s="27"/>
      <c r="O240" s="25"/>
      <c r="P240" s="24"/>
      <c r="Q240" s="24"/>
      <c r="R240" s="24"/>
      <c r="S240" s="24"/>
      <c r="T240" s="24"/>
      <c r="U240" s="24"/>
      <c r="V240" s="24"/>
      <c r="W240" s="24"/>
      <c r="X240" s="24"/>
      <c r="Y240" s="28"/>
      <c r="Z240" s="28"/>
      <c r="AA240" s="28"/>
      <c r="AB240" s="28"/>
      <c r="AC240" s="28"/>
      <c r="AD240" s="28"/>
      <c r="AE240" s="28"/>
      <c r="AF240" s="55"/>
      <c r="AG240" s="55"/>
      <c r="AH240" s="55"/>
      <c r="AI240" s="24"/>
      <c r="AJ240" s="24"/>
      <c r="AK240" s="24"/>
    </row>
    <row r="241" spans="2:37" x14ac:dyDescent="0.25">
      <c r="B241" s="30"/>
      <c r="C241" s="25"/>
      <c r="D241" s="24"/>
      <c r="E241" s="24"/>
      <c r="F241" s="26"/>
      <c r="G241" s="24"/>
      <c r="H241" s="24"/>
      <c r="I241" s="24"/>
      <c r="J241" s="24"/>
      <c r="K241" s="24"/>
      <c r="L241" s="26"/>
      <c r="M241" s="26"/>
      <c r="N241" s="27"/>
      <c r="O241" s="25"/>
      <c r="P241" s="24"/>
      <c r="Q241" s="24"/>
      <c r="R241" s="24"/>
      <c r="S241" s="24"/>
      <c r="T241" s="24"/>
      <c r="U241" s="24"/>
      <c r="V241" s="24"/>
      <c r="W241" s="24"/>
      <c r="X241" s="24"/>
      <c r="Y241" s="28"/>
      <c r="Z241" s="28"/>
      <c r="AA241" s="28"/>
      <c r="AB241" s="28"/>
      <c r="AC241" s="28"/>
      <c r="AD241" s="28"/>
      <c r="AE241" s="28"/>
      <c r="AF241" s="55"/>
      <c r="AG241" s="55"/>
      <c r="AH241" s="55"/>
      <c r="AI241" s="24"/>
      <c r="AJ241" s="24"/>
      <c r="AK241" s="24"/>
    </row>
    <row r="242" spans="2:37" x14ac:dyDescent="0.25">
      <c r="B242" s="30"/>
      <c r="C242" s="25"/>
      <c r="D242" s="24"/>
      <c r="E242" s="24"/>
      <c r="F242" s="26"/>
      <c r="G242" s="24"/>
      <c r="H242" s="24"/>
      <c r="I242" s="24"/>
      <c r="J242" s="24"/>
      <c r="K242" s="24"/>
      <c r="L242" s="26"/>
      <c r="M242" s="26"/>
      <c r="N242" s="27"/>
      <c r="O242" s="25"/>
      <c r="P242" s="24"/>
      <c r="Q242" s="24"/>
      <c r="R242" s="24"/>
      <c r="S242" s="24"/>
      <c r="T242" s="24"/>
      <c r="U242" s="24"/>
      <c r="V242" s="24"/>
      <c r="W242" s="24"/>
      <c r="X242" s="24"/>
      <c r="Y242" s="28"/>
      <c r="Z242" s="28"/>
      <c r="AA242" s="28"/>
      <c r="AB242" s="28"/>
      <c r="AC242" s="28"/>
      <c r="AD242" s="28"/>
      <c r="AE242" s="28"/>
      <c r="AF242" s="55"/>
      <c r="AG242" s="55"/>
      <c r="AH242" s="55"/>
      <c r="AI242" s="24"/>
      <c r="AJ242" s="24"/>
      <c r="AK242" s="24"/>
    </row>
    <row r="243" spans="2:37" x14ac:dyDescent="0.25">
      <c r="B243" s="30"/>
      <c r="C243" s="25"/>
      <c r="D243" s="24"/>
      <c r="E243" s="24"/>
      <c r="F243" s="26"/>
      <c r="G243" s="24"/>
      <c r="H243" s="24"/>
      <c r="I243" s="24"/>
      <c r="J243" s="24"/>
      <c r="K243" s="24"/>
      <c r="L243" s="26"/>
      <c r="M243" s="26"/>
      <c r="N243" s="27"/>
      <c r="O243" s="25"/>
      <c r="P243" s="24"/>
      <c r="Q243" s="24"/>
      <c r="R243" s="24"/>
      <c r="S243" s="24"/>
      <c r="T243" s="24"/>
      <c r="U243" s="24"/>
      <c r="V243" s="24"/>
      <c r="W243" s="24"/>
      <c r="X243" s="24"/>
      <c r="Y243" s="28"/>
      <c r="Z243" s="28"/>
      <c r="AA243" s="28"/>
      <c r="AB243" s="28"/>
      <c r="AC243" s="28"/>
      <c r="AD243" s="28"/>
      <c r="AE243" s="28"/>
      <c r="AF243" s="55"/>
      <c r="AG243" s="55"/>
      <c r="AH243" s="55"/>
      <c r="AI243" s="24"/>
      <c r="AJ243" s="24"/>
      <c r="AK243" s="24"/>
    </row>
    <row r="244" spans="2:37" x14ac:dyDescent="0.25">
      <c r="B244" s="30"/>
      <c r="C244" s="25"/>
      <c r="D244" s="24"/>
      <c r="E244" s="24"/>
      <c r="F244" s="26"/>
      <c r="G244" s="24"/>
      <c r="H244" s="24"/>
      <c r="I244" s="24"/>
      <c r="J244" s="24"/>
      <c r="K244" s="24"/>
      <c r="L244" s="26"/>
      <c r="M244" s="26"/>
      <c r="N244" s="27"/>
      <c r="O244" s="25"/>
      <c r="P244" s="24"/>
      <c r="Q244" s="24"/>
      <c r="R244" s="24"/>
      <c r="S244" s="24"/>
      <c r="T244" s="24"/>
      <c r="U244" s="24"/>
      <c r="V244" s="24"/>
      <c r="W244" s="24"/>
      <c r="X244" s="24"/>
      <c r="Y244" s="28"/>
      <c r="Z244" s="28"/>
      <c r="AA244" s="28"/>
      <c r="AB244" s="28"/>
      <c r="AC244" s="28"/>
      <c r="AD244" s="28"/>
      <c r="AE244" s="28"/>
      <c r="AF244" s="55"/>
      <c r="AG244" s="55"/>
      <c r="AH244" s="55"/>
      <c r="AI244" s="24"/>
      <c r="AJ244" s="24"/>
      <c r="AK244" s="24"/>
    </row>
    <row r="245" spans="2:37" x14ac:dyDescent="0.25">
      <c r="B245" s="30"/>
      <c r="C245" s="25"/>
      <c r="D245" s="24"/>
      <c r="E245" s="24"/>
      <c r="F245" s="26"/>
      <c r="G245" s="24"/>
      <c r="H245" s="24"/>
      <c r="I245" s="24"/>
      <c r="J245" s="24"/>
      <c r="K245" s="24"/>
      <c r="L245" s="26"/>
      <c r="M245" s="26"/>
      <c r="N245" s="27"/>
      <c r="O245" s="25"/>
      <c r="P245" s="24"/>
      <c r="Q245" s="24"/>
      <c r="R245" s="24"/>
      <c r="S245" s="24"/>
      <c r="T245" s="24"/>
      <c r="U245" s="24"/>
      <c r="V245" s="24"/>
      <c r="W245" s="24"/>
      <c r="X245" s="24"/>
      <c r="Y245" s="28"/>
      <c r="Z245" s="28"/>
      <c r="AA245" s="28"/>
      <c r="AB245" s="28"/>
      <c r="AC245" s="28"/>
      <c r="AD245" s="28"/>
      <c r="AE245" s="28"/>
      <c r="AF245" s="55"/>
      <c r="AG245" s="55"/>
      <c r="AH245" s="55"/>
      <c r="AI245" s="24"/>
      <c r="AJ245" s="24"/>
      <c r="AK245" s="24"/>
    </row>
    <row r="246" spans="2:37" x14ac:dyDescent="0.25">
      <c r="B246" s="30"/>
      <c r="C246" s="25"/>
      <c r="D246" s="24"/>
      <c r="E246" s="24"/>
      <c r="F246" s="26"/>
      <c r="G246" s="24"/>
      <c r="H246" s="24"/>
      <c r="I246" s="24"/>
      <c r="J246" s="24"/>
      <c r="K246" s="24"/>
      <c r="L246" s="26"/>
      <c r="M246" s="26"/>
      <c r="N246" s="27"/>
      <c r="O246" s="25"/>
      <c r="P246" s="24"/>
      <c r="Q246" s="24"/>
      <c r="R246" s="24"/>
      <c r="S246" s="24"/>
      <c r="T246" s="24"/>
      <c r="U246" s="24"/>
      <c r="V246" s="24"/>
      <c r="W246" s="24"/>
      <c r="X246" s="24"/>
      <c r="Y246" s="28"/>
      <c r="Z246" s="28"/>
      <c r="AA246" s="28"/>
      <c r="AB246" s="28"/>
      <c r="AC246" s="28"/>
      <c r="AD246" s="28"/>
      <c r="AE246" s="28"/>
      <c r="AF246" s="55"/>
      <c r="AG246" s="55"/>
      <c r="AH246" s="55"/>
      <c r="AI246" s="24"/>
      <c r="AJ246" s="24"/>
      <c r="AK246" s="24"/>
    </row>
    <row r="247" spans="2:37" x14ac:dyDescent="0.25">
      <c r="B247" s="30"/>
      <c r="C247" s="25"/>
      <c r="D247" s="24"/>
      <c r="E247" s="24"/>
      <c r="F247" s="26"/>
      <c r="G247" s="24"/>
      <c r="H247" s="24"/>
      <c r="I247" s="24"/>
      <c r="J247" s="24"/>
      <c r="K247" s="24"/>
      <c r="L247" s="26"/>
      <c r="M247" s="26"/>
      <c r="N247" s="27"/>
      <c r="O247" s="25"/>
      <c r="P247" s="24"/>
      <c r="Q247" s="24"/>
      <c r="R247" s="24"/>
      <c r="S247" s="24"/>
      <c r="T247" s="24"/>
      <c r="U247" s="24"/>
      <c r="V247" s="24"/>
      <c r="W247" s="24"/>
      <c r="X247" s="24"/>
      <c r="Y247" s="28"/>
      <c r="Z247" s="28"/>
      <c r="AA247" s="28"/>
      <c r="AB247" s="28"/>
      <c r="AC247" s="28"/>
      <c r="AD247" s="28"/>
      <c r="AE247" s="28"/>
      <c r="AF247" s="55"/>
      <c r="AG247" s="55"/>
      <c r="AH247" s="55"/>
      <c r="AI247" s="24"/>
      <c r="AJ247" s="24"/>
      <c r="AK247" s="24"/>
    </row>
    <row r="248" spans="2:37" x14ac:dyDescent="0.25">
      <c r="B248" s="30"/>
      <c r="C248" s="25"/>
      <c r="D248" s="24"/>
      <c r="E248" s="24"/>
      <c r="F248" s="26"/>
      <c r="G248" s="24"/>
      <c r="H248" s="24"/>
      <c r="I248" s="24"/>
      <c r="J248" s="24"/>
      <c r="K248" s="24"/>
      <c r="L248" s="26"/>
      <c r="M248" s="26"/>
      <c r="N248" s="27"/>
      <c r="O248" s="25"/>
      <c r="P248" s="24"/>
      <c r="Q248" s="24"/>
      <c r="R248" s="24"/>
      <c r="S248" s="24"/>
      <c r="T248" s="24"/>
      <c r="U248" s="24"/>
      <c r="V248" s="24"/>
      <c r="W248" s="24"/>
      <c r="X248" s="24"/>
      <c r="Y248" s="28"/>
      <c r="Z248" s="28"/>
      <c r="AA248" s="28"/>
      <c r="AB248" s="28"/>
      <c r="AC248" s="28"/>
      <c r="AD248" s="28"/>
      <c r="AE248" s="28"/>
      <c r="AF248" s="55"/>
      <c r="AG248" s="55"/>
      <c r="AH248" s="55"/>
      <c r="AI248" s="24"/>
      <c r="AJ248" s="24"/>
      <c r="AK248" s="24"/>
    </row>
    <row r="249" spans="2:37" x14ac:dyDescent="0.25">
      <c r="B249" s="30"/>
      <c r="C249" s="25"/>
      <c r="D249" s="24"/>
      <c r="E249" s="24"/>
      <c r="F249" s="26"/>
      <c r="G249" s="24"/>
      <c r="H249" s="24"/>
      <c r="I249" s="24"/>
      <c r="J249" s="24"/>
      <c r="K249" s="24"/>
      <c r="L249" s="26"/>
      <c r="M249" s="26"/>
      <c r="N249" s="27"/>
      <c r="O249" s="25"/>
      <c r="P249" s="24"/>
      <c r="Q249" s="24"/>
      <c r="R249" s="24"/>
      <c r="S249" s="24"/>
      <c r="T249" s="24"/>
      <c r="U249" s="24"/>
      <c r="V249" s="24"/>
      <c r="W249" s="24"/>
      <c r="X249" s="24"/>
      <c r="Y249" s="28"/>
      <c r="Z249" s="28"/>
      <c r="AA249" s="28"/>
      <c r="AB249" s="28"/>
      <c r="AC249" s="28"/>
      <c r="AD249" s="28"/>
      <c r="AE249" s="28"/>
      <c r="AF249" s="55"/>
      <c r="AG249" s="55"/>
      <c r="AH249" s="55"/>
      <c r="AI249" s="24"/>
      <c r="AJ249" s="24"/>
      <c r="AK249" s="24"/>
    </row>
    <row r="250" spans="2:37" x14ac:dyDescent="0.25">
      <c r="B250" s="30"/>
      <c r="C250" s="25"/>
      <c r="D250" s="24"/>
      <c r="E250" s="24"/>
      <c r="F250" s="26"/>
      <c r="G250" s="24"/>
      <c r="H250" s="24"/>
      <c r="I250" s="24"/>
      <c r="J250" s="24"/>
      <c r="K250" s="24"/>
      <c r="L250" s="26"/>
      <c r="M250" s="26"/>
      <c r="N250" s="27"/>
      <c r="O250" s="25"/>
      <c r="P250" s="24"/>
      <c r="Q250" s="24"/>
      <c r="R250" s="24"/>
      <c r="S250" s="24"/>
      <c r="T250" s="24"/>
      <c r="U250" s="24"/>
      <c r="V250" s="24"/>
      <c r="W250" s="24"/>
      <c r="X250" s="24"/>
      <c r="Y250" s="28"/>
      <c r="Z250" s="28"/>
      <c r="AA250" s="28"/>
      <c r="AB250" s="28"/>
      <c r="AC250" s="28"/>
      <c r="AD250" s="28"/>
      <c r="AE250" s="28"/>
      <c r="AF250" s="55"/>
      <c r="AG250" s="55"/>
      <c r="AH250" s="55"/>
      <c r="AI250" s="24"/>
      <c r="AJ250" s="24"/>
      <c r="AK250" s="24"/>
    </row>
    <row r="251" spans="2:37" x14ac:dyDescent="0.25">
      <c r="B251" s="30"/>
      <c r="C251" s="25"/>
      <c r="D251" s="24"/>
      <c r="E251" s="24"/>
      <c r="F251" s="26"/>
      <c r="G251" s="24"/>
      <c r="H251" s="24"/>
      <c r="I251" s="24"/>
      <c r="J251" s="24"/>
      <c r="K251" s="24"/>
      <c r="L251" s="26"/>
      <c r="M251" s="26"/>
      <c r="N251" s="27"/>
      <c r="O251" s="25"/>
      <c r="P251" s="24"/>
      <c r="Q251" s="24"/>
      <c r="R251" s="24"/>
      <c r="S251" s="24"/>
      <c r="T251" s="24"/>
      <c r="U251" s="24"/>
      <c r="V251" s="24"/>
      <c r="W251" s="24"/>
      <c r="X251" s="24"/>
      <c r="Y251" s="28"/>
      <c r="Z251" s="28"/>
      <c r="AA251" s="28"/>
      <c r="AB251" s="28"/>
      <c r="AC251" s="28"/>
      <c r="AD251" s="28"/>
      <c r="AE251" s="28"/>
      <c r="AF251" s="55"/>
      <c r="AG251" s="55"/>
      <c r="AH251" s="55"/>
      <c r="AI251" s="24"/>
      <c r="AJ251" s="24"/>
      <c r="AK251" s="24"/>
    </row>
    <row r="252" spans="2:37" x14ac:dyDescent="0.25">
      <c r="B252" s="30"/>
      <c r="C252" s="25"/>
      <c r="D252" s="24"/>
      <c r="E252" s="24"/>
      <c r="F252" s="26"/>
      <c r="G252" s="24"/>
      <c r="H252" s="24"/>
      <c r="I252" s="24"/>
      <c r="J252" s="24"/>
      <c r="K252" s="24"/>
      <c r="L252" s="26"/>
      <c r="M252" s="26"/>
      <c r="N252" s="27"/>
      <c r="O252" s="25"/>
      <c r="P252" s="24"/>
      <c r="Q252" s="24"/>
      <c r="R252" s="24"/>
      <c r="S252" s="24"/>
      <c r="T252" s="24"/>
      <c r="U252" s="24"/>
      <c r="V252" s="24"/>
      <c r="W252" s="24"/>
      <c r="X252" s="24"/>
      <c r="Y252" s="28"/>
      <c r="Z252" s="28"/>
      <c r="AA252" s="28"/>
      <c r="AB252" s="28"/>
      <c r="AC252" s="28"/>
      <c r="AD252" s="28"/>
      <c r="AE252" s="28"/>
      <c r="AF252" s="55"/>
      <c r="AG252" s="55"/>
      <c r="AH252" s="55"/>
      <c r="AI252" s="24"/>
      <c r="AJ252" s="24"/>
      <c r="AK252" s="24"/>
    </row>
    <row r="253" spans="2:37" x14ac:dyDescent="0.25">
      <c r="B253" s="30"/>
      <c r="C253" s="25"/>
      <c r="D253" s="24"/>
      <c r="E253" s="24"/>
      <c r="F253" s="26"/>
      <c r="G253" s="24"/>
      <c r="H253" s="24"/>
      <c r="I253" s="24"/>
      <c r="J253" s="24"/>
      <c r="K253" s="24"/>
      <c r="L253" s="26"/>
      <c r="M253" s="26"/>
      <c r="N253" s="27"/>
      <c r="O253" s="25"/>
      <c r="P253" s="24"/>
      <c r="Q253" s="24"/>
      <c r="R253" s="24"/>
      <c r="S253" s="24"/>
      <c r="T253" s="24"/>
      <c r="U253" s="24"/>
      <c r="V253" s="24"/>
      <c r="W253" s="24"/>
      <c r="X253" s="24"/>
      <c r="Y253" s="28"/>
      <c r="Z253" s="28"/>
      <c r="AA253" s="28"/>
      <c r="AB253" s="28"/>
      <c r="AC253" s="28"/>
      <c r="AD253" s="28"/>
      <c r="AE253" s="28"/>
      <c r="AF253" s="55"/>
      <c r="AG253" s="55"/>
      <c r="AH253" s="55"/>
      <c r="AI253" s="24"/>
      <c r="AJ253" s="24"/>
      <c r="AK253" s="24"/>
    </row>
    <row r="254" spans="2:37" x14ac:dyDescent="0.25">
      <c r="B254" s="30"/>
      <c r="C254" s="25"/>
      <c r="D254" s="24"/>
      <c r="E254" s="24"/>
      <c r="F254" s="26"/>
      <c r="G254" s="24"/>
      <c r="H254" s="24"/>
      <c r="I254" s="24"/>
      <c r="J254" s="24"/>
      <c r="K254" s="24"/>
      <c r="L254" s="26"/>
      <c r="M254" s="26"/>
      <c r="N254" s="27"/>
      <c r="O254" s="25"/>
      <c r="P254" s="24"/>
      <c r="Q254" s="24"/>
      <c r="R254" s="24"/>
      <c r="S254" s="24"/>
      <c r="T254" s="24"/>
      <c r="U254" s="24"/>
      <c r="V254" s="24"/>
      <c r="W254" s="24"/>
      <c r="X254" s="24"/>
      <c r="Y254" s="28"/>
      <c r="Z254" s="28"/>
      <c r="AA254" s="28"/>
      <c r="AB254" s="28"/>
      <c r="AC254" s="28"/>
      <c r="AD254" s="28"/>
      <c r="AE254" s="28"/>
      <c r="AF254" s="55"/>
      <c r="AG254" s="55"/>
      <c r="AH254" s="55"/>
      <c r="AI254" s="24"/>
      <c r="AJ254" s="24"/>
      <c r="AK254" s="24"/>
    </row>
    <row r="255" spans="2:37" x14ac:dyDescent="0.25">
      <c r="B255" s="30"/>
      <c r="C255" s="25"/>
      <c r="D255" s="24"/>
      <c r="E255" s="24"/>
      <c r="F255" s="26"/>
      <c r="G255" s="24"/>
      <c r="H255" s="24"/>
      <c r="I255" s="24"/>
      <c r="J255" s="24"/>
      <c r="K255" s="24"/>
      <c r="L255" s="26"/>
      <c r="M255" s="26"/>
      <c r="N255" s="27"/>
      <c r="O255" s="25"/>
      <c r="P255" s="24"/>
      <c r="Q255" s="24"/>
      <c r="R255" s="24"/>
      <c r="S255" s="24"/>
      <c r="T255" s="24"/>
      <c r="U255" s="24"/>
      <c r="V255" s="24"/>
      <c r="W255" s="24"/>
      <c r="X255" s="24"/>
      <c r="Y255" s="28"/>
      <c r="Z255" s="28"/>
      <c r="AA255" s="28"/>
      <c r="AB255" s="28"/>
      <c r="AC255" s="28"/>
      <c r="AD255" s="28"/>
      <c r="AE255" s="28"/>
      <c r="AF255" s="55"/>
      <c r="AG255" s="55"/>
      <c r="AH255" s="55"/>
      <c r="AI255" s="24"/>
      <c r="AJ255" s="24"/>
      <c r="AK255" s="24"/>
    </row>
    <row r="256" spans="2:37" x14ac:dyDescent="0.25">
      <c r="B256" s="30"/>
      <c r="C256" s="25"/>
      <c r="D256" s="24"/>
      <c r="E256" s="24"/>
      <c r="F256" s="26"/>
      <c r="G256" s="24"/>
      <c r="H256" s="24"/>
      <c r="I256" s="24"/>
      <c r="J256" s="24"/>
      <c r="K256" s="24"/>
      <c r="L256" s="26"/>
      <c r="M256" s="26"/>
      <c r="N256" s="27"/>
      <c r="O256" s="25"/>
      <c r="P256" s="24"/>
      <c r="Q256" s="24"/>
      <c r="R256" s="24"/>
      <c r="S256" s="24"/>
      <c r="T256" s="24"/>
      <c r="U256" s="24"/>
      <c r="V256" s="24"/>
      <c r="W256" s="24"/>
      <c r="X256" s="24"/>
      <c r="Y256" s="28"/>
      <c r="Z256" s="28"/>
      <c r="AA256" s="28"/>
      <c r="AB256" s="28"/>
      <c r="AC256" s="28"/>
      <c r="AD256" s="28"/>
      <c r="AE256" s="28"/>
      <c r="AF256" s="55"/>
      <c r="AG256" s="55"/>
      <c r="AH256" s="55"/>
      <c r="AI256" s="24"/>
      <c r="AJ256" s="24"/>
      <c r="AK256" s="24"/>
    </row>
    <row r="257" spans="2:37" x14ac:dyDescent="0.25">
      <c r="B257" s="30"/>
      <c r="C257" s="25"/>
      <c r="D257" s="24"/>
      <c r="E257" s="24"/>
      <c r="F257" s="26"/>
      <c r="G257" s="24"/>
      <c r="H257" s="24"/>
      <c r="I257" s="24"/>
      <c r="J257" s="24"/>
      <c r="K257" s="24"/>
      <c r="L257" s="26"/>
      <c r="M257" s="26"/>
      <c r="N257" s="27"/>
      <c r="O257" s="25"/>
      <c r="P257" s="24"/>
      <c r="Q257" s="24"/>
      <c r="R257" s="24"/>
      <c r="S257" s="24"/>
      <c r="T257" s="3"/>
      <c r="U257" s="24"/>
      <c r="V257" s="24"/>
      <c r="W257" s="24"/>
      <c r="X257" s="24"/>
      <c r="Y257" s="28"/>
      <c r="Z257" s="28"/>
      <c r="AA257" s="28"/>
      <c r="AB257" s="28"/>
      <c r="AC257" s="28"/>
      <c r="AD257" s="28"/>
      <c r="AE257" s="28"/>
      <c r="AF257" s="55"/>
      <c r="AG257" s="55"/>
      <c r="AH257" s="55"/>
      <c r="AI257" s="24"/>
      <c r="AJ257" s="24"/>
      <c r="AK257" s="24"/>
    </row>
    <row r="258" spans="2:37" x14ac:dyDescent="0.25">
      <c r="B258" s="30"/>
      <c r="C258" s="25"/>
      <c r="D258" s="24"/>
      <c r="E258" s="24"/>
      <c r="F258" s="26"/>
      <c r="G258" s="24"/>
      <c r="H258" s="24"/>
      <c r="I258" s="24"/>
      <c r="J258" s="24"/>
      <c r="K258" s="24"/>
      <c r="L258" s="26"/>
      <c r="M258" s="26"/>
      <c r="N258" s="27"/>
      <c r="O258" s="25"/>
      <c r="P258" s="24"/>
      <c r="Q258" s="24"/>
      <c r="R258" s="24"/>
      <c r="S258" s="24"/>
      <c r="T258" s="3"/>
      <c r="U258" s="24"/>
      <c r="V258" s="24"/>
      <c r="W258" s="24"/>
      <c r="X258" s="24"/>
      <c r="Y258" s="28"/>
      <c r="Z258" s="28"/>
      <c r="AA258" s="28"/>
      <c r="AB258" s="28"/>
      <c r="AC258" s="28"/>
      <c r="AD258" s="28"/>
      <c r="AE258" s="28"/>
      <c r="AF258" s="55"/>
      <c r="AG258" s="55"/>
      <c r="AH258" s="55"/>
      <c r="AI258" s="24"/>
      <c r="AJ258" s="24"/>
      <c r="AK258" s="24"/>
    </row>
    <row r="259" spans="2:37" x14ac:dyDescent="0.25">
      <c r="B259" s="30"/>
      <c r="C259" s="25"/>
      <c r="D259" s="24"/>
      <c r="E259" s="24"/>
      <c r="F259" s="26"/>
      <c r="G259" s="24"/>
      <c r="H259" s="24"/>
      <c r="I259" s="24"/>
      <c r="J259" s="24"/>
      <c r="K259" s="24"/>
      <c r="L259" s="26"/>
      <c r="M259" s="26"/>
      <c r="N259" s="27"/>
      <c r="O259" s="25"/>
      <c r="P259" s="24"/>
      <c r="Q259" s="24"/>
      <c r="R259" s="24"/>
      <c r="S259" s="24"/>
      <c r="T259" s="3"/>
      <c r="U259" s="24"/>
      <c r="V259" s="24"/>
      <c r="W259" s="24"/>
      <c r="X259" s="24"/>
      <c r="Y259" s="28"/>
      <c r="Z259" s="28"/>
      <c r="AA259" s="28"/>
      <c r="AB259" s="28"/>
      <c r="AC259" s="28"/>
      <c r="AD259" s="28"/>
      <c r="AE259" s="28"/>
      <c r="AF259" s="55"/>
      <c r="AG259" s="55"/>
      <c r="AH259" s="55"/>
      <c r="AI259" s="24"/>
      <c r="AJ259" s="24"/>
      <c r="AK259" s="24"/>
    </row>
    <row r="260" spans="2:37" x14ac:dyDescent="0.25">
      <c r="B260" s="30"/>
      <c r="C260" s="25"/>
      <c r="D260" s="24"/>
      <c r="E260" s="24"/>
      <c r="F260" s="26"/>
      <c r="G260" s="24"/>
      <c r="H260" s="24"/>
      <c r="I260" s="24"/>
      <c r="J260" s="24"/>
      <c r="K260" s="24"/>
      <c r="L260" s="26"/>
      <c r="M260" s="26"/>
      <c r="N260" s="27"/>
      <c r="O260" s="25"/>
      <c r="P260" s="24"/>
      <c r="Q260" s="24"/>
      <c r="R260" s="24"/>
      <c r="S260" s="24"/>
      <c r="T260" s="3"/>
      <c r="U260" s="24"/>
      <c r="V260" s="24"/>
      <c r="W260" s="24"/>
      <c r="X260" s="24"/>
      <c r="Y260" s="28"/>
      <c r="Z260" s="28"/>
      <c r="AA260" s="28"/>
      <c r="AB260" s="28"/>
      <c r="AC260" s="28"/>
      <c r="AD260" s="28"/>
      <c r="AE260" s="28"/>
      <c r="AF260" s="55"/>
      <c r="AG260" s="55"/>
      <c r="AH260" s="55"/>
      <c r="AI260" s="24"/>
      <c r="AJ260" s="24"/>
      <c r="AK260" s="24"/>
    </row>
    <row r="261" spans="2:37" x14ac:dyDescent="0.25">
      <c r="B261" s="30"/>
      <c r="C261" s="25"/>
      <c r="D261" s="24"/>
      <c r="E261" s="24"/>
      <c r="F261" s="26"/>
      <c r="G261" s="24"/>
      <c r="H261" s="24"/>
      <c r="I261" s="24"/>
      <c r="J261" s="24"/>
      <c r="K261" s="24"/>
      <c r="L261" s="26"/>
      <c r="M261" s="26"/>
      <c r="N261" s="27"/>
      <c r="O261" s="25"/>
      <c r="P261" s="24"/>
      <c r="Q261" s="24"/>
      <c r="R261" s="24"/>
      <c r="S261" s="24"/>
      <c r="T261" s="3"/>
      <c r="U261" s="24"/>
      <c r="V261" s="24"/>
      <c r="W261" s="24"/>
      <c r="X261" s="24"/>
      <c r="Y261" s="28"/>
      <c r="Z261" s="28"/>
      <c r="AA261" s="28"/>
      <c r="AB261" s="28"/>
      <c r="AC261" s="28"/>
      <c r="AD261" s="28"/>
      <c r="AE261" s="28"/>
      <c r="AF261" s="55"/>
      <c r="AG261" s="55"/>
      <c r="AH261" s="55"/>
      <c r="AI261" s="24"/>
      <c r="AJ261" s="24"/>
      <c r="AK261" s="24"/>
    </row>
    <row r="262" spans="2:37" x14ac:dyDescent="0.25">
      <c r="B262" s="30"/>
      <c r="C262" s="25"/>
      <c r="D262" s="24"/>
      <c r="E262" s="24"/>
      <c r="F262" s="26"/>
      <c r="G262" s="24"/>
      <c r="H262" s="24"/>
      <c r="I262" s="24"/>
      <c r="J262" s="24"/>
      <c r="K262" s="24"/>
      <c r="L262" s="26"/>
      <c r="M262" s="26"/>
      <c r="N262" s="27"/>
      <c r="O262" s="25"/>
      <c r="P262" s="24"/>
      <c r="Q262" s="24"/>
      <c r="R262" s="24"/>
      <c r="S262" s="24"/>
      <c r="T262" s="3"/>
      <c r="U262" s="24"/>
      <c r="V262" s="24"/>
      <c r="W262" s="24"/>
      <c r="X262" s="24"/>
      <c r="Y262" s="28"/>
      <c r="Z262" s="28"/>
      <c r="AA262" s="28"/>
      <c r="AB262" s="28"/>
      <c r="AC262" s="28"/>
      <c r="AD262" s="28"/>
      <c r="AE262" s="28"/>
      <c r="AF262" s="55"/>
      <c r="AG262" s="55"/>
      <c r="AH262" s="55"/>
      <c r="AI262" s="24"/>
      <c r="AJ262" s="24"/>
      <c r="AK262" s="24"/>
    </row>
    <row r="263" spans="2:37" x14ac:dyDescent="0.25">
      <c r="B263" s="30"/>
      <c r="C263" s="25"/>
      <c r="D263" s="24"/>
      <c r="E263" s="24"/>
      <c r="F263" s="26"/>
      <c r="G263" s="24"/>
      <c r="H263" s="24"/>
      <c r="I263" s="24"/>
      <c r="J263" s="24"/>
      <c r="K263" s="24"/>
      <c r="L263" s="26"/>
      <c r="M263" s="26"/>
      <c r="N263" s="27"/>
      <c r="O263" s="25"/>
      <c r="P263" s="24"/>
      <c r="Q263" s="24"/>
      <c r="R263" s="24"/>
      <c r="S263" s="24"/>
      <c r="T263" s="3"/>
      <c r="U263" s="24"/>
      <c r="V263" s="24"/>
      <c r="W263" s="24"/>
      <c r="X263" s="24"/>
      <c r="Y263" s="28"/>
      <c r="Z263" s="28"/>
      <c r="AA263" s="28"/>
      <c r="AB263" s="28"/>
      <c r="AC263" s="28"/>
      <c r="AD263" s="28"/>
      <c r="AE263" s="28"/>
      <c r="AF263" s="55"/>
      <c r="AG263" s="55"/>
      <c r="AH263" s="55"/>
      <c r="AI263" s="24"/>
      <c r="AJ263" s="24"/>
      <c r="AK263" s="24"/>
    </row>
    <row r="264" spans="2:37" x14ac:dyDescent="0.25">
      <c r="B264" s="24"/>
      <c r="C264" s="24"/>
      <c r="D264" s="24"/>
      <c r="E264" s="24"/>
      <c r="F264" s="26"/>
      <c r="G264" s="24"/>
      <c r="H264" s="24"/>
      <c r="I264" s="24"/>
      <c r="J264" s="24"/>
      <c r="K264" s="24"/>
      <c r="L264" s="24"/>
      <c r="M264" s="24"/>
      <c r="N264" s="27"/>
      <c r="O264" s="25"/>
      <c r="P264" s="24"/>
      <c r="Q264" s="24"/>
      <c r="R264" s="24"/>
      <c r="S264" s="24"/>
      <c r="T264" s="24"/>
      <c r="U264" s="24"/>
      <c r="V264" s="24"/>
      <c r="W264" s="24"/>
      <c r="X264" s="24"/>
      <c r="Y264" s="29"/>
      <c r="Z264" s="29"/>
      <c r="AA264" s="29"/>
      <c r="AB264" s="29"/>
      <c r="AC264" s="29"/>
      <c r="AD264" s="29"/>
      <c r="AE264" s="29"/>
      <c r="AF264" s="55"/>
      <c r="AG264" s="55"/>
      <c r="AH264" s="55"/>
      <c r="AI264" s="24"/>
      <c r="AJ264" s="24"/>
      <c r="AK264" s="24"/>
    </row>
    <row r="265" spans="2:37" x14ac:dyDescent="0.25">
      <c r="B265" s="24"/>
      <c r="C265" s="24"/>
      <c r="D265" s="24"/>
      <c r="E265" s="24"/>
      <c r="F265" s="26"/>
      <c r="G265" s="24"/>
      <c r="H265" s="24"/>
      <c r="I265" s="24"/>
      <c r="J265" s="24"/>
      <c r="K265" s="24"/>
      <c r="L265" s="24"/>
      <c r="M265" s="24"/>
      <c r="N265" s="27"/>
      <c r="O265" s="25"/>
      <c r="P265" s="24"/>
      <c r="Q265" s="24"/>
      <c r="R265" s="24"/>
      <c r="S265" s="24"/>
      <c r="T265" s="24"/>
      <c r="U265" s="24"/>
      <c r="V265" s="24"/>
      <c r="W265" s="24"/>
      <c r="X265" s="24"/>
      <c r="Y265" s="29"/>
      <c r="Z265" s="29"/>
      <c r="AA265" s="29"/>
      <c r="AB265" s="29"/>
      <c r="AC265" s="29"/>
      <c r="AD265" s="29"/>
      <c r="AE265" s="29"/>
      <c r="AF265" s="55"/>
      <c r="AG265" s="55"/>
      <c r="AH265" s="55"/>
      <c r="AI265" s="24"/>
      <c r="AJ265" s="24"/>
      <c r="AK265" s="24"/>
    </row>
    <row r="266" spans="2:37" x14ac:dyDescent="0.25">
      <c r="B266" s="5"/>
      <c r="C266" s="5"/>
      <c r="D266" s="5"/>
      <c r="E266" s="5"/>
      <c r="F266" s="5"/>
      <c r="G266" s="5"/>
      <c r="H266" s="5"/>
      <c r="I266" s="5"/>
      <c r="J266" s="5"/>
      <c r="K266" s="5"/>
      <c r="L266" s="5"/>
      <c r="M266" s="5"/>
      <c r="N266" s="5"/>
      <c r="O266" s="5"/>
      <c r="P266" s="5"/>
      <c r="Q266" s="5"/>
    </row>
  </sheetData>
  <customSheetViews>
    <customSheetView guid="{250915DF-0B97-45D7-B29D-7EED4C89C1C1}" scale="40" topLeftCell="A169">
      <selection activeCell="C263" sqref="C263"/>
      <pageMargins left="0.7" right="0.7" top="0.75" bottom="0.75" header="0.3" footer="0.3"/>
      <pageSetup orientation="portrait" horizontalDpi="300" verticalDpi="0" r:id="rId1"/>
    </customSheetView>
    <customSheetView guid="{7ECC2B8E-6A82-42F5-8AB0-4A51C54EA5EC}" scale="80" showAutoFilter="1" topLeftCell="A199">
      <selection activeCell="C146" sqref="C146"/>
      <pageMargins left="0.7" right="0.7" top="0.75" bottom="0.75" header="0.3" footer="0.3"/>
      <pageSetup orientation="portrait" horizontalDpi="300" verticalDpi="0" r:id="rId2"/>
      <autoFilter ref="B2:AI197"/>
    </customSheetView>
    <customSheetView guid="{336B6883-2145-4B58-921E-CEC7185A847E}" scale="85" showAutoFilter="1" topLeftCell="A211">
      <selection activeCell="W266" sqref="W266"/>
      <pageMargins left="0.7" right="0.7" top="0.75" bottom="0.75" header="0.3" footer="0.3"/>
      <pageSetup orientation="portrait" horizontalDpi="300" verticalDpi="0" r:id="rId3"/>
      <autoFilter ref="P2:P265"/>
    </customSheetView>
  </customSheetViews>
  <conditionalFormatting sqref="H13:H17 H4:H7">
    <cfRule type="cellIs" dxfId="298" priority="69" operator="equal">
      <formula>1</formula>
    </cfRule>
    <cfRule type="cellIs" dxfId="297" priority="70" operator="lessThan">
      <formula>1</formula>
    </cfRule>
  </conditionalFormatting>
  <conditionalFormatting sqref="AC45:AE265">
    <cfRule type="cellIs" dxfId="296" priority="67" operator="equal">
      <formula>"OK"</formula>
    </cfRule>
    <cfRule type="cellIs" dxfId="295" priority="68" operator="equal">
      <formula>"NG"</formula>
    </cfRule>
  </conditionalFormatting>
  <conditionalFormatting sqref="L45:M85 L86 L87:M263">
    <cfRule type="cellIs" dxfId="294" priority="66" operator="equal">
      <formula>"PUT_VERSION"</formula>
    </cfRule>
  </conditionalFormatting>
  <conditionalFormatting sqref="P13:P16 P4:P7">
    <cfRule type="cellIs" dxfId="293" priority="60" operator="equal">
      <formula>1</formula>
    </cfRule>
    <cfRule type="cellIs" dxfId="292" priority="61" operator="lessThan">
      <formula>1</formula>
    </cfRule>
  </conditionalFormatting>
  <conditionalFormatting sqref="P17">
    <cfRule type="cellIs" dxfId="291" priority="56" operator="equal">
      <formula>1</formula>
    </cfRule>
    <cfRule type="cellIs" dxfId="290" priority="57" operator="lessThan">
      <formula>1</formula>
    </cfRule>
  </conditionalFormatting>
  <conditionalFormatting sqref="M86:M113">
    <cfRule type="cellIs" dxfId="289" priority="55" operator="equal">
      <formula>"PUT_VERSION"</formula>
    </cfRule>
  </conditionalFormatting>
  <conditionalFormatting sqref="D8">
    <cfRule type="expression" dxfId="288" priority="54">
      <formula>D8=SUM(D4:D7)</formula>
    </cfRule>
  </conditionalFormatting>
  <conditionalFormatting sqref="E8">
    <cfRule type="expression" dxfId="287" priority="53">
      <formula>E8=SUM(E4:E7)</formula>
    </cfRule>
  </conditionalFormatting>
  <conditionalFormatting sqref="F8">
    <cfRule type="expression" dxfId="286" priority="52">
      <formula>F8=SUM(F4:F7)</formula>
    </cfRule>
  </conditionalFormatting>
  <conditionalFormatting sqref="D17">
    <cfRule type="expression" dxfId="285" priority="51">
      <formula>D17=SUM(D13:D16)</formula>
    </cfRule>
  </conditionalFormatting>
  <conditionalFormatting sqref="E17">
    <cfRule type="expression" dxfId="284" priority="50">
      <formula>E17=SUM(E13:E16)</formula>
    </cfRule>
  </conditionalFormatting>
  <conditionalFormatting sqref="H22">
    <cfRule type="cellIs" dxfId="283" priority="35" operator="equal">
      <formula>1</formula>
    </cfRule>
    <cfRule type="cellIs" dxfId="282" priority="36" operator="lessThan">
      <formula>1</formula>
    </cfRule>
  </conditionalFormatting>
  <conditionalFormatting sqref="H23">
    <cfRule type="cellIs" dxfId="281" priority="33" operator="equal">
      <formula>1</formula>
    </cfRule>
    <cfRule type="cellIs" dxfId="280" priority="34" operator="lessThan">
      <formula>1</formula>
    </cfRule>
  </conditionalFormatting>
  <conditionalFormatting sqref="H24">
    <cfRule type="cellIs" dxfId="279" priority="31" operator="equal">
      <formula>1</formula>
    </cfRule>
    <cfRule type="cellIs" dxfId="278" priority="32" operator="lessThan">
      <formula>1</formula>
    </cfRule>
  </conditionalFormatting>
  <conditionalFormatting sqref="H25">
    <cfRule type="cellIs" dxfId="277" priority="29" operator="equal">
      <formula>1</formula>
    </cfRule>
    <cfRule type="cellIs" dxfId="276" priority="30" operator="lessThan">
      <formula>1</formula>
    </cfRule>
  </conditionalFormatting>
  <conditionalFormatting sqref="H26">
    <cfRule type="cellIs" dxfId="275" priority="27" operator="equal">
      <formula>1</formula>
    </cfRule>
    <cfRule type="cellIs" dxfId="274" priority="28" operator="lessThan">
      <formula>1</formula>
    </cfRule>
  </conditionalFormatting>
  <conditionalFormatting sqref="L17">
    <cfRule type="expression" dxfId="273" priority="26">
      <formula>L17=SUM(L13:L16)</formula>
    </cfRule>
  </conditionalFormatting>
  <conditionalFormatting sqref="M17">
    <cfRule type="expression" dxfId="272" priority="25">
      <formula>M17=SUM(M13:M16)</formula>
    </cfRule>
  </conditionalFormatting>
  <conditionalFormatting sqref="N17">
    <cfRule type="expression" dxfId="271" priority="24">
      <formula>N17=SUM(N13:N16)</formula>
    </cfRule>
  </conditionalFormatting>
  <conditionalFormatting sqref="L8">
    <cfRule type="expression" dxfId="270" priority="23">
      <formula>L8=SUM(L4:L7)</formula>
    </cfRule>
  </conditionalFormatting>
  <conditionalFormatting sqref="M8">
    <cfRule type="expression" dxfId="269" priority="22">
      <formula>M8=SUM(M4:M7)</formula>
    </cfRule>
  </conditionalFormatting>
  <conditionalFormatting sqref="N8">
    <cfRule type="expression" dxfId="268" priority="21">
      <formula>N8=SUM(N4:N7)</formula>
    </cfRule>
  </conditionalFormatting>
  <conditionalFormatting sqref="P26">
    <cfRule type="cellIs" dxfId="267" priority="17" operator="equal">
      <formula>1</formula>
    </cfRule>
    <cfRule type="cellIs" dxfId="266" priority="18" operator="lessThan">
      <formula>1</formula>
    </cfRule>
  </conditionalFormatting>
  <conditionalFormatting sqref="P22">
    <cfRule type="cellIs" dxfId="265" priority="7" operator="equal">
      <formula>1</formula>
    </cfRule>
    <cfRule type="cellIs" dxfId="264" priority="8" operator="lessThan">
      <formula>1</formula>
    </cfRule>
  </conditionalFormatting>
  <conditionalFormatting sqref="P23">
    <cfRule type="cellIs" dxfId="263" priority="5" operator="equal">
      <formula>1</formula>
    </cfRule>
    <cfRule type="cellIs" dxfId="262" priority="6" operator="lessThan">
      <formula>1</formula>
    </cfRule>
  </conditionalFormatting>
  <conditionalFormatting sqref="P24">
    <cfRule type="cellIs" dxfId="261" priority="3" operator="equal">
      <formula>1</formula>
    </cfRule>
    <cfRule type="cellIs" dxfId="260" priority="4" operator="lessThan">
      <formula>1</formula>
    </cfRule>
  </conditionalFormatting>
  <conditionalFormatting sqref="P25">
    <cfRule type="cellIs" dxfId="259" priority="1" operator="equal">
      <formula>1</formula>
    </cfRule>
    <cfRule type="cellIs" dxfId="258" priority="2" operator="lessThan">
      <formula>1</formula>
    </cfRule>
  </conditionalFormatting>
  <conditionalFormatting sqref="F17">
    <cfRule type="expression" dxfId="225" priority="87">
      <formula>F17=SUM(F$13:F$16)</formula>
    </cfRule>
  </conditionalFormatting>
  <dataValidations disablePrompts="1" count="2">
    <dataValidation type="list" allowBlank="1" showInputMessage="1" showErrorMessage="1" sqref="AC45:AC265 AD240:AE265">
      <formula1>"OK,NG"</formula1>
    </dataValidation>
    <dataValidation type="list" allowBlank="1" showInputMessage="1" showErrorMessage="1" sqref="R45:R82 R84:R265">
      <formula1>"Yes,No"</formula1>
    </dataValidation>
  </dataValidations>
  <pageMargins left="0.7" right="0.7" top="0.75" bottom="0.75" header="0.3" footer="0.3"/>
  <pageSetup orientation="portrait" horizontalDpi="300" verticalDpi="0" r:id="rId4"/>
  <extLst>
    <ext xmlns:x14="http://schemas.microsoft.com/office/spreadsheetml/2009/9/main" uri="{78C0D931-6437-407d-A8EE-F0AAD7539E65}">
      <x14:conditionalFormattings>
        <x14:conditionalFormatting xmlns:xm="http://schemas.microsoft.com/office/excel/2006/main">
          <x14:cfRule type="cellIs" priority="71" operator="greaterThanOrEqual" id="{880EA441-2590-4E05-81FB-030A6B262BA2}">
            <xm:f>Table!$C$4</xm:f>
            <x14:dxf>
              <font>
                <color rgb="FF006100"/>
              </font>
              <fill>
                <patternFill>
                  <bgColor rgb="FFC6EFCE"/>
                </patternFill>
              </fill>
            </x14:dxf>
          </x14:cfRule>
          <x14:cfRule type="cellIs" priority="72" operator="lessThan" id="{008E8A9C-0A54-48C8-BAA6-2040624D4B14}">
            <xm:f>Table!$C$4</xm:f>
            <x14:dxf>
              <font>
                <color rgb="FF9C0006"/>
              </font>
              <fill>
                <patternFill>
                  <bgColor rgb="FFFFC7CE"/>
                </patternFill>
              </fill>
            </x14:dxf>
          </x14:cfRule>
          <xm:sqref>G13:G17</xm:sqref>
        </x14:conditionalFormatting>
        <x14:conditionalFormatting xmlns:xm="http://schemas.microsoft.com/office/excel/2006/main">
          <x14:cfRule type="cellIs" priority="73" operator="greaterThanOrEqual" id="{055B1730-1858-463E-9B0B-33FF6EF9C729}">
            <xm:f>Table!$D$4</xm:f>
            <x14:dxf>
              <font>
                <color rgb="FF006100"/>
              </font>
              <fill>
                <patternFill>
                  <bgColor rgb="FFC6EFCE"/>
                </patternFill>
              </fill>
            </x14:dxf>
          </x14:cfRule>
          <x14:cfRule type="cellIs" priority="74" operator="lessThan" id="{9D0890AA-8BE8-4E6A-8479-B03F791D816F}">
            <xm:f>Table!$D$4</xm:f>
            <x14:dxf>
              <font>
                <color rgb="FF9C0006"/>
              </font>
              <fill>
                <patternFill>
                  <bgColor rgb="FFFFC7CE"/>
                </patternFill>
              </fill>
            </x14:dxf>
          </x14:cfRule>
          <xm:sqref>G4:G7</xm:sqref>
        </x14:conditionalFormatting>
        <x14:conditionalFormatting xmlns:xm="http://schemas.microsoft.com/office/excel/2006/main">
          <x14:cfRule type="cellIs" priority="62" operator="greaterThanOrEqual" id="{E1C731A7-CD5A-4CA6-9BE8-455257B0A2EE}">
            <xm:f>Table!$C$4</xm:f>
            <x14:dxf>
              <font>
                <color rgb="FF006100"/>
              </font>
              <fill>
                <patternFill>
                  <bgColor rgb="FFC6EFCE"/>
                </patternFill>
              </fill>
            </x14:dxf>
          </x14:cfRule>
          <x14:cfRule type="cellIs" priority="63" operator="lessThan" id="{8EC0EF00-DDDD-4AC5-A165-ADCB396219A7}">
            <xm:f>Table!$C$4</xm:f>
            <x14:dxf>
              <font>
                <color rgb="FF9C0006"/>
              </font>
              <fill>
                <patternFill>
                  <bgColor rgb="FFFFC7CE"/>
                </patternFill>
              </fill>
            </x14:dxf>
          </x14:cfRule>
          <xm:sqref>O13:O16</xm:sqref>
        </x14:conditionalFormatting>
        <x14:conditionalFormatting xmlns:xm="http://schemas.microsoft.com/office/excel/2006/main">
          <x14:cfRule type="cellIs" priority="64" operator="greaterThanOrEqual" id="{805F5726-1F7D-4322-A57C-D9137ACC6576}">
            <xm:f>Table!$D$4</xm:f>
            <x14:dxf>
              <font>
                <color rgb="FF006100"/>
              </font>
              <fill>
                <patternFill>
                  <bgColor rgb="FFC6EFCE"/>
                </patternFill>
              </fill>
            </x14:dxf>
          </x14:cfRule>
          <x14:cfRule type="cellIs" priority="65" operator="lessThan" id="{C1B76EF2-57E3-486D-A3B7-6BEAF71C09B8}">
            <xm:f>Table!$D$4</xm:f>
            <x14:dxf>
              <font>
                <color rgb="FF9C0006"/>
              </font>
              <fill>
                <patternFill>
                  <bgColor rgb="FFFFC7CE"/>
                </patternFill>
              </fill>
            </x14:dxf>
          </x14:cfRule>
          <xm:sqref>O4:O7</xm:sqref>
        </x14:conditionalFormatting>
        <x14:conditionalFormatting xmlns:xm="http://schemas.microsoft.com/office/excel/2006/main">
          <x14:cfRule type="cellIs" priority="58" operator="greaterThanOrEqual" id="{80A68D0E-B342-4E57-90E1-56758611DD33}">
            <xm:f>Table!$C$4</xm:f>
            <x14:dxf>
              <font>
                <color rgb="FF006100"/>
              </font>
              <fill>
                <patternFill>
                  <bgColor rgb="FFC6EFCE"/>
                </patternFill>
              </fill>
            </x14:dxf>
          </x14:cfRule>
          <x14:cfRule type="cellIs" priority="59" operator="lessThan" id="{3C6C7C7D-3E1E-4DED-83D6-4D0151416E47}">
            <xm:f>Table!$C$4</xm:f>
            <x14:dxf>
              <font>
                <color rgb="FF9C0006"/>
              </font>
              <fill>
                <patternFill>
                  <bgColor rgb="FFFFC7CE"/>
                </patternFill>
              </fill>
            </x14:dxf>
          </x14:cfRule>
          <xm:sqref>O17</xm:sqref>
        </x14:conditionalFormatting>
        <x14:conditionalFormatting xmlns:xm="http://schemas.microsoft.com/office/excel/2006/main">
          <x14:cfRule type="cellIs" priority="47" operator="greaterThanOrEqual" id="{8D99BF4A-D908-47F1-8E24-1697DAA263CD}">
            <xm:f>Table!$D$4</xm:f>
            <x14:dxf>
              <font>
                <color rgb="FF006100"/>
              </font>
              <fill>
                <patternFill>
                  <bgColor rgb="FFC6EFCE"/>
                </patternFill>
              </fill>
            </x14:dxf>
          </x14:cfRule>
          <x14:cfRule type="cellIs" priority="48" operator="lessThan" id="{64E1D647-CB0B-4B5E-B51F-CD909D56D8BD}">
            <xm:f>Table!$D$4</xm:f>
            <x14:dxf>
              <font>
                <color rgb="FF9C0006"/>
              </font>
              <fill>
                <patternFill>
                  <bgColor rgb="FFFFC7CE"/>
                </patternFill>
              </fill>
            </x14:dxf>
          </x14:cfRule>
          <xm:sqref>G8</xm:sqref>
        </x14:conditionalFormatting>
        <x14:conditionalFormatting xmlns:xm="http://schemas.microsoft.com/office/excel/2006/main">
          <x14:cfRule type="cellIs" priority="45" operator="greaterThanOrEqual" id="{42805A51-A68C-45B4-950B-7CB2B9B10AB3}">
            <xm:f>Table!$D$4</xm:f>
            <x14:dxf>
              <font>
                <color rgb="FF006100"/>
              </font>
              <fill>
                <patternFill>
                  <bgColor rgb="FFC6EFCE"/>
                </patternFill>
              </fill>
            </x14:dxf>
          </x14:cfRule>
          <x14:cfRule type="cellIs" priority="46" operator="lessThan" id="{9B93FBAF-A588-4F7B-8232-CC7E656FD59C}">
            <xm:f>Table!$D$4</xm:f>
            <x14:dxf>
              <font>
                <color rgb="FF9C0006"/>
              </font>
              <fill>
                <patternFill>
                  <bgColor rgb="FFFFC7CE"/>
                </patternFill>
              </fill>
            </x14:dxf>
          </x14:cfRule>
          <xm:sqref>G26</xm:sqref>
        </x14:conditionalFormatting>
        <x14:conditionalFormatting xmlns:xm="http://schemas.microsoft.com/office/excel/2006/main">
          <x14:cfRule type="cellIs" priority="43" operator="greaterThanOrEqual" id="{2AA0948F-74AB-46EC-B255-A7ABEAF4E4D2}">
            <xm:f>Table!$D$4</xm:f>
            <x14:dxf>
              <font>
                <color rgb="FF006100"/>
              </font>
              <fill>
                <patternFill>
                  <bgColor rgb="FFC6EFCE"/>
                </patternFill>
              </fill>
            </x14:dxf>
          </x14:cfRule>
          <x14:cfRule type="cellIs" priority="44" operator="lessThan" id="{B1A166C1-E984-4616-BBDF-3553DC14A7FD}">
            <xm:f>Table!$D$4</xm:f>
            <x14:dxf>
              <font>
                <color rgb="FF9C0006"/>
              </font>
              <fill>
                <patternFill>
                  <bgColor rgb="FFFFC7CE"/>
                </patternFill>
              </fill>
            </x14:dxf>
          </x14:cfRule>
          <xm:sqref>G22</xm:sqref>
        </x14:conditionalFormatting>
        <x14:conditionalFormatting xmlns:xm="http://schemas.microsoft.com/office/excel/2006/main">
          <x14:cfRule type="cellIs" priority="41" operator="greaterThanOrEqual" id="{B0B60969-8423-4320-940F-E9B989674632}">
            <xm:f>Table!$D$4</xm:f>
            <x14:dxf>
              <font>
                <color rgb="FF006100"/>
              </font>
              <fill>
                <patternFill>
                  <bgColor rgb="FFC6EFCE"/>
                </patternFill>
              </fill>
            </x14:dxf>
          </x14:cfRule>
          <x14:cfRule type="cellIs" priority="42" operator="lessThan" id="{BDD78E5B-3530-4B93-BD9F-24457BFDC72C}">
            <xm:f>Table!$D$4</xm:f>
            <x14:dxf>
              <font>
                <color rgb="FF9C0006"/>
              </font>
              <fill>
                <patternFill>
                  <bgColor rgb="FFFFC7CE"/>
                </patternFill>
              </fill>
            </x14:dxf>
          </x14:cfRule>
          <xm:sqref>G23</xm:sqref>
        </x14:conditionalFormatting>
        <x14:conditionalFormatting xmlns:xm="http://schemas.microsoft.com/office/excel/2006/main">
          <x14:cfRule type="cellIs" priority="39" operator="greaterThanOrEqual" id="{427A180F-88D4-4616-8607-F9B92414CC5D}">
            <xm:f>Table!$D$4</xm:f>
            <x14:dxf>
              <font>
                <color rgb="FF006100"/>
              </font>
              <fill>
                <patternFill>
                  <bgColor rgb="FFC6EFCE"/>
                </patternFill>
              </fill>
            </x14:dxf>
          </x14:cfRule>
          <x14:cfRule type="cellIs" priority="40" operator="lessThan" id="{51CB94BF-4F08-48D1-9410-4239B3BDD66D}">
            <xm:f>Table!$D$4</xm:f>
            <x14:dxf>
              <font>
                <color rgb="FF9C0006"/>
              </font>
              <fill>
                <patternFill>
                  <bgColor rgb="FFFFC7CE"/>
                </patternFill>
              </fill>
            </x14:dxf>
          </x14:cfRule>
          <xm:sqref>G24</xm:sqref>
        </x14:conditionalFormatting>
        <x14:conditionalFormatting xmlns:xm="http://schemas.microsoft.com/office/excel/2006/main">
          <x14:cfRule type="cellIs" priority="37" operator="greaterThanOrEqual" id="{EE3C2E0E-4674-45AF-A9B8-694FA79C0C90}">
            <xm:f>Table!$D$4</xm:f>
            <x14:dxf>
              <font>
                <color rgb="FF006100"/>
              </font>
              <fill>
                <patternFill>
                  <bgColor rgb="FFC6EFCE"/>
                </patternFill>
              </fill>
            </x14:dxf>
          </x14:cfRule>
          <x14:cfRule type="cellIs" priority="38" operator="lessThan" id="{285D8A44-91B7-453C-913F-B92113FBD06C}">
            <xm:f>Table!$D$4</xm:f>
            <x14:dxf>
              <font>
                <color rgb="FF9C0006"/>
              </font>
              <fill>
                <patternFill>
                  <bgColor rgb="FFFFC7CE"/>
                </patternFill>
              </fill>
            </x14:dxf>
          </x14:cfRule>
          <xm:sqref>G25</xm:sqref>
        </x14:conditionalFormatting>
        <x14:conditionalFormatting xmlns:xm="http://schemas.microsoft.com/office/excel/2006/main">
          <x14:cfRule type="cellIs" priority="19" operator="greaterThanOrEqual" id="{33BB265A-C30E-43D7-98C1-161BAA99E9A5}">
            <xm:f>Table!$D$4</xm:f>
            <x14:dxf>
              <font>
                <color rgb="FF006100"/>
              </font>
              <fill>
                <patternFill>
                  <bgColor rgb="FFC6EFCE"/>
                </patternFill>
              </fill>
            </x14:dxf>
          </x14:cfRule>
          <x14:cfRule type="cellIs" priority="20" operator="lessThan" id="{C82FE149-6630-455E-B67A-FB1EDD5DDA26}">
            <xm:f>Table!$D$4</xm:f>
            <x14:dxf>
              <font>
                <color rgb="FF9C0006"/>
              </font>
              <fill>
                <patternFill>
                  <bgColor rgb="FFFFC7CE"/>
                </patternFill>
              </fill>
            </x14:dxf>
          </x14:cfRule>
          <xm:sqref>O26</xm:sqref>
        </x14:conditionalFormatting>
        <x14:conditionalFormatting xmlns:xm="http://schemas.microsoft.com/office/excel/2006/main">
          <x14:cfRule type="cellIs" priority="15" operator="greaterThanOrEqual" id="{946E5678-5FBC-4560-BD5A-99BD6E07EF40}">
            <xm:f>Table!$D$4</xm:f>
            <x14:dxf>
              <font>
                <color rgb="FF006100"/>
              </font>
              <fill>
                <patternFill>
                  <bgColor rgb="FFC6EFCE"/>
                </patternFill>
              </fill>
            </x14:dxf>
          </x14:cfRule>
          <x14:cfRule type="cellIs" priority="16" operator="lessThan" id="{D62F65C2-1095-412D-92D5-48DC4F46FD82}">
            <xm:f>Table!$D$4</xm:f>
            <x14:dxf>
              <font>
                <color rgb="FF9C0006"/>
              </font>
              <fill>
                <patternFill>
                  <bgColor rgb="FFFFC7CE"/>
                </patternFill>
              </fill>
            </x14:dxf>
          </x14:cfRule>
          <xm:sqref>O22</xm:sqref>
        </x14:conditionalFormatting>
        <x14:conditionalFormatting xmlns:xm="http://schemas.microsoft.com/office/excel/2006/main">
          <x14:cfRule type="cellIs" priority="13" operator="greaterThanOrEqual" id="{B397A13B-11AC-4B81-B1A9-5356C702AA4A}">
            <xm:f>Table!$D$4</xm:f>
            <x14:dxf>
              <font>
                <color rgb="FF006100"/>
              </font>
              <fill>
                <patternFill>
                  <bgColor rgb="FFC6EFCE"/>
                </patternFill>
              </fill>
            </x14:dxf>
          </x14:cfRule>
          <x14:cfRule type="cellIs" priority="14" operator="lessThan" id="{DAD8B7C8-81E0-4CA6-AAEE-F3B5964F9B40}">
            <xm:f>Table!$D$4</xm:f>
            <x14:dxf>
              <font>
                <color rgb="FF9C0006"/>
              </font>
              <fill>
                <patternFill>
                  <bgColor rgb="FFFFC7CE"/>
                </patternFill>
              </fill>
            </x14:dxf>
          </x14:cfRule>
          <xm:sqref>O23</xm:sqref>
        </x14:conditionalFormatting>
        <x14:conditionalFormatting xmlns:xm="http://schemas.microsoft.com/office/excel/2006/main">
          <x14:cfRule type="cellIs" priority="11" operator="greaterThanOrEqual" id="{18DB8659-D670-4381-B979-19E087EF241A}">
            <xm:f>Table!$D$4</xm:f>
            <x14:dxf>
              <font>
                <color rgb="FF006100"/>
              </font>
              <fill>
                <patternFill>
                  <bgColor rgb="FFC6EFCE"/>
                </patternFill>
              </fill>
            </x14:dxf>
          </x14:cfRule>
          <x14:cfRule type="cellIs" priority="12" operator="lessThan" id="{F1DC2C7F-B574-4785-9C20-7F8DA8D4FF52}">
            <xm:f>Table!$D$4</xm:f>
            <x14:dxf>
              <font>
                <color rgb="FF9C0006"/>
              </font>
              <fill>
                <patternFill>
                  <bgColor rgb="FFFFC7CE"/>
                </patternFill>
              </fill>
            </x14:dxf>
          </x14:cfRule>
          <xm:sqref>O24</xm:sqref>
        </x14:conditionalFormatting>
        <x14:conditionalFormatting xmlns:xm="http://schemas.microsoft.com/office/excel/2006/main">
          <x14:cfRule type="cellIs" priority="9" operator="greaterThanOrEqual" id="{3A8A3014-C18B-4B6B-A7C5-C7B985929C41}">
            <xm:f>Table!$D$4</xm:f>
            <x14:dxf>
              <font>
                <color rgb="FF006100"/>
              </font>
              <fill>
                <patternFill>
                  <bgColor rgb="FFC6EFCE"/>
                </patternFill>
              </fill>
            </x14:dxf>
          </x14:cfRule>
          <x14:cfRule type="cellIs" priority="10" operator="lessThan" id="{DE6B1952-1F04-4D40-9FC0-F52B1E30E20B}">
            <xm:f>Table!$D$4</xm:f>
            <x14:dxf>
              <font>
                <color rgb="FF9C0006"/>
              </font>
              <fill>
                <patternFill>
                  <bgColor rgb="FFFFC7CE"/>
                </patternFill>
              </fill>
            </x14:dxf>
          </x14:cfRule>
          <xm:sqref>O25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Table!$C$13:$C$20</xm:f>
          </x14:formula1>
          <xm:sqref>P45:Q265</xm:sqref>
        </x14:dataValidation>
        <x14:dataValidation type="list" allowBlank="1" showInputMessage="1" showErrorMessage="1">
          <x14:formula1>
            <xm:f>Table!$C$8:$C$9</xm:f>
          </x14:formula1>
          <xm:sqref>D45:D265</xm:sqref>
        </x14:dataValidation>
        <x14:dataValidation type="list" allowBlank="1" showInputMessage="1" showErrorMessage="1">
          <x14:formula1>
            <xm:f>Table!$C$24:$C$30</xm:f>
          </x14:formula1>
          <xm:sqref>X45:X265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A2C66332-A809-458E-971B-FDB6D62C74C3}">
      <selection activeCell="C39" sqref="C39"/>
      <pageMargins left="0.7" right="0.7" top="0.75" bottom="0.75" header="0.3" footer="0.3"/>
    </customSheetView>
    <customSheetView guid="{4E06BDBF-2CED-473B-850B-2A6C7311FF41}">
      <selection activeCell="C39" sqref="C39"/>
      <pageMargins left="0.7" right="0.7" top="0.75" bottom="0.75" header="0.3" footer="0.3"/>
    </customSheetView>
    <customSheetView guid="{72A6EB0A-84D5-4B8A-AC51-54CCD061630B}">
      <selection activeCell="C39" sqref="C39"/>
      <pageMargins left="0.7" right="0.7" top="0.75" bottom="0.75" header="0.3" footer="0.3"/>
    </customSheetView>
    <customSheetView guid="{7E0EA425-A420-4443-B9E0-CDF0AA9E5D09}">
      <selection activeCell="C39" sqref="C39"/>
      <pageMargins left="0.7" right="0.7" top="0.75" bottom="0.75" header="0.3" footer="0.3"/>
    </customSheetView>
    <customSheetView guid="{60D2C030-4E31-4E07-8E1C-44D2EE84B177}">
      <selection activeCell="C39" sqref="C39"/>
      <pageMargins left="0.7" right="0.7" top="0.75" bottom="0.75" header="0.3" footer="0.3"/>
    </customSheetView>
    <customSheetView guid="{7ECC2B8E-6A82-42F5-8AB0-4A51C54EA5EC}">
      <selection activeCell="C39" sqref="C39"/>
      <pageMargins left="0.7" right="0.7" top="0.75" bottom="0.75" header="0.3" footer="0.3"/>
    </customSheetView>
    <customSheetView guid="{336B6883-2145-4B58-921E-CEC7185A847E}">
      <selection activeCell="C39" sqref="C39"/>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150"/>
  <sheetViews>
    <sheetView zoomScale="85" zoomScaleNormal="85" workbookViewId="0">
      <selection activeCell="H10" sqref="H10"/>
    </sheetView>
  </sheetViews>
  <sheetFormatPr defaultRowHeight="15" x14ac:dyDescent="0.25"/>
  <cols>
    <col min="2" max="2" width="16.28515625" bestFit="1" customWidth="1"/>
    <col min="3" max="3" width="5.7109375"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9" x14ac:dyDescent="0.25">
      <c r="A2" s="1">
        <v>1</v>
      </c>
      <c r="B2" s="1" t="s">
        <v>65</v>
      </c>
      <c r="C2" s="1" t="s">
        <v>162</v>
      </c>
    </row>
    <row r="3" spans="1:9" x14ac:dyDescent="0.25">
      <c r="B3" s="1" t="s">
        <v>461</v>
      </c>
      <c r="C3" s="67">
        <f>SUM(G9:G10)</f>
        <v>13.961250000000003</v>
      </c>
      <c r="D3" t="s">
        <v>462</v>
      </c>
    </row>
    <row r="4" spans="1:9" x14ac:dyDescent="0.25">
      <c r="B4" s="1" t="s">
        <v>474</v>
      </c>
      <c r="C4" s="8">
        <f>SUM(INT((WEEKDAY(F4-{2,3,4,5,6}) +H4-F4)/7))</f>
        <v>4</v>
      </c>
      <c r="D4" t="s">
        <v>462</v>
      </c>
      <c r="E4" t="s">
        <v>341</v>
      </c>
      <c r="F4" s="7">
        <v>43896</v>
      </c>
      <c r="G4" s="7" t="s">
        <v>342</v>
      </c>
      <c r="H4" s="7">
        <v>43901</v>
      </c>
    </row>
    <row r="5" spans="1:9" x14ac:dyDescent="0.25">
      <c r="B5" s="1" t="s">
        <v>475</v>
      </c>
      <c r="C5" s="8">
        <f>SUM(INT((WEEKDAY(F5-{2,3,4,5,6}) +H5-F5)/7))</f>
        <v>6</v>
      </c>
      <c r="D5" t="s">
        <v>462</v>
      </c>
      <c r="E5" t="s">
        <v>341</v>
      </c>
      <c r="F5" s="7">
        <v>43896</v>
      </c>
      <c r="G5" s="7" t="s">
        <v>342</v>
      </c>
      <c r="H5" s="7">
        <v>43903</v>
      </c>
    </row>
    <row r="6" spans="1:9" x14ac:dyDescent="0.25">
      <c r="B6" s="1" t="s">
        <v>18</v>
      </c>
      <c r="C6" t="str">
        <f>IF(SUM(H9:H10)&gt;SUM(G9:G10),"Delayed",IF(SUM(H9:H10)&lt;SUM(G9:G10),"InAdvanced","Ontime"))</f>
        <v>Delayed</v>
      </c>
    </row>
    <row r="8" spans="1:9" ht="45" x14ac:dyDescent="0.25">
      <c r="C8" s="63" t="s">
        <v>29</v>
      </c>
      <c r="D8" s="63" t="s">
        <v>30</v>
      </c>
      <c r="E8" s="12" t="s">
        <v>463</v>
      </c>
      <c r="F8" s="12" t="s">
        <v>464</v>
      </c>
      <c r="G8" s="12" t="s">
        <v>465</v>
      </c>
      <c r="H8" s="12" t="s">
        <v>466</v>
      </c>
      <c r="I8" s="12" t="s">
        <v>33</v>
      </c>
    </row>
    <row r="9" spans="1:9" x14ac:dyDescent="0.25">
      <c r="C9" s="9">
        <v>1</v>
      </c>
      <c r="D9" s="10" t="s">
        <v>3</v>
      </c>
      <c r="E9" s="10">
        <f>SUMIFS(Merged!$T$45:$T$265,Merged!$D$45:$D$265,Table!$D$3, Merged!$E$45:$E$265,Report_For_Each_Project!C2)</f>
        <v>0</v>
      </c>
      <c r="F9" s="10">
        <f>SUMIFS(Merged!$U$45:$U$265,Merged!$D$45:$D$265,Table!$D$3, Merged!$E$45:$E$265,Report_For_Each_Project!C2)</f>
        <v>0</v>
      </c>
      <c r="G9" s="10">
        <f>1/8*(SUMIFS(Merged!$V$45:$V$265,Merged!$D$45:$D$265,Table!$D$3, Merged!$E$45:$E$265,Report_For_Each_Project!C2))</f>
        <v>0</v>
      </c>
      <c r="H9" s="10">
        <f>1/8*(SUMIFS(Merged!$W$45:$W$265,Merged!$D$45:$D$265,Table!$D$3, Merged!$E$45:$E$265,Report_For_Each_Project!C2)-SUM(SUMIFS(Merged!$W$45:$W$265,Merged!$D$45:$D$265,Table!$D$3,Merged!$X$45:$X$265,{"Ongoing","N/A",""},Merged!$E$45:$E$265,Report_For_Each_Project!C2)))</f>
        <v>0</v>
      </c>
      <c r="I9" s="78" t="str">
        <f>IFERROR(F9/E9,"N/A")</f>
        <v>N/A</v>
      </c>
    </row>
    <row r="10" spans="1:9" x14ac:dyDescent="0.25">
      <c r="C10" s="9">
        <v>2</v>
      </c>
      <c r="D10" s="10" t="s">
        <v>2</v>
      </c>
      <c r="E10" s="10">
        <f>SUMIFS(Merged!$T$45:$T$265,Merged!$D$45:$D$265,Table!$C$3, Merged!$E$45:$E$265,Report_For_Each_Project!C2)</f>
        <v>1814.972</v>
      </c>
      <c r="F10" s="10">
        <f>SUMIFS(Merged!$U$45:$U$265,Merged!$D$45:$D$265,Table!$C$3, Merged!$E$45:$E$265,Report_For_Each_Project!C2)-SUM(SUMIFS(Merged!$U$45:$U$265,Merged!$D$45:$D$265,Table!$C$3,Merged!$X$45:$X$265,{"Ongoing","N/A",""},Merged!$E$45:$E$265,Report_For_Each_Project!C2))</f>
        <v>1814.972</v>
      </c>
      <c r="G10" s="10">
        <f>1/8*(SUMIFS(Merged!$V$45:$V$265,Merged!$D$45:$D$265,Table!$C$3, Merged!$E$45:$E$265,Report_For_Each_Project!C2))</f>
        <v>13.961250000000003</v>
      </c>
      <c r="H10" s="10">
        <f>1/8*(SUMIFS(Merged!$W$45:$W$265,Merged!$D$45:$D$265,Table!$C$3, Merged!$E$45:$E$265,Report_For_Each_Project!C2)-SUM(SUMIFS(Merged!$W$45:$W$265,Merged!$D$45:$D$265,Table!$C$3,Merged!$X$45:$X$265,{"Ongoing","N/A",""},Merged!$E$45:$E$265,Report_For_Each_Project!C2)))</f>
        <v>16.5</v>
      </c>
      <c r="I10" s="78">
        <f>IFERROR(F10/E10,"N/A")</f>
        <v>1</v>
      </c>
    </row>
    <row r="12" spans="1:9" x14ac:dyDescent="0.25">
      <c r="C12" t="s">
        <v>468</v>
      </c>
    </row>
    <row r="13" spans="1:9" x14ac:dyDescent="0.25">
      <c r="D13" s="69" t="s">
        <v>489</v>
      </c>
    </row>
    <row r="14" spans="1:9" x14ac:dyDescent="0.25">
      <c r="D14" s="69" t="s">
        <v>490</v>
      </c>
    </row>
    <row r="16" spans="1:9" x14ac:dyDescent="0.25">
      <c r="A16" s="1">
        <f>A2+1</f>
        <v>2</v>
      </c>
      <c r="B16" s="1" t="s">
        <v>65</v>
      </c>
      <c r="C16" s="1" t="s">
        <v>209</v>
      </c>
    </row>
    <row r="17" spans="1:9" x14ac:dyDescent="0.25">
      <c r="B17" s="1" t="s">
        <v>461</v>
      </c>
      <c r="C17" s="67">
        <f>SUM(G23:G24)</f>
        <v>1.1000000000000001</v>
      </c>
      <c r="D17" t="s">
        <v>462</v>
      </c>
    </row>
    <row r="18" spans="1:9" x14ac:dyDescent="0.25">
      <c r="B18" s="1" t="s">
        <v>474</v>
      </c>
      <c r="C18" s="8">
        <f>SUM(INT((WEEKDAY(F18-{2,3,4,5,6}) +H18-F18)/7))-7.2/8</f>
        <v>1.1000000000000001</v>
      </c>
      <c r="D18" t="s">
        <v>462</v>
      </c>
      <c r="E18" t="s">
        <v>341</v>
      </c>
      <c r="F18" s="7">
        <v>43896</v>
      </c>
      <c r="G18" s="7" t="s">
        <v>469</v>
      </c>
      <c r="H18" s="7">
        <v>43899</v>
      </c>
    </row>
    <row r="19" spans="1:9" x14ac:dyDescent="0.25">
      <c r="B19" s="1" t="s">
        <v>475</v>
      </c>
      <c r="C19" s="8">
        <f>SUM(INT((WEEKDAY(F19-{2,3,4,5,6}) +H19-F19)/7))-1</f>
        <v>1</v>
      </c>
      <c r="D19" t="s">
        <v>462</v>
      </c>
      <c r="E19" t="s">
        <v>341</v>
      </c>
      <c r="F19" s="7">
        <v>43896</v>
      </c>
      <c r="G19" s="7" t="s">
        <v>469</v>
      </c>
      <c r="H19" s="7">
        <v>43899</v>
      </c>
    </row>
    <row r="20" spans="1:9" x14ac:dyDescent="0.25">
      <c r="B20" s="1" t="s">
        <v>18</v>
      </c>
      <c r="C20" t="s">
        <v>470</v>
      </c>
    </row>
    <row r="22" spans="1:9" ht="45" x14ac:dyDescent="0.25">
      <c r="C22" s="63" t="s">
        <v>29</v>
      </c>
      <c r="D22" s="63" t="s">
        <v>30</v>
      </c>
      <c r="E22" s="12" t="s">
        <v>463</v>
      </c>
      <c r="F22" s="12" t="s">
        <v>464</v>
      </c>
      <c r="G22" s="12" t="s">
        <v>465</v>
      </c>
      <c r="H22" s="12" t="s">
        <v>466</v>
      </c>
      <c r="I22" s="12" t="s">
        <v>33</v>
      </c>
    </row>
    <row r="23" spans="1:9" x14ac:dyDescent="0.25">
      <c r="C23" s="9">
        <v>1</v>
      </c>
      <c r="D23" s="10" t="s">
        <v>3</v>
      </c>
      <c r="E23" s="92">
        <f>SUMIFS(Merged!$T$45:$T$265,Merged!$D$45:$D$265,Table!$D$3, Merged!$E$45:$E$265,Report_For_Each_Project!C16)</f>
        <v>0</v>
      </c>
      <c r="F23" s="99">
        <f>SUMIFS(Merged!$U$45:$U$265,Merged!$D$45:$D$265,Table!$D$3, Merged!$E$45:$E$265,Report_For_Each_Project!C16)</f>
        <v>0</v>
      </c>
      <c r="G23" s="92">
        <f>1/8*(SUMIFS(Merged!$V$45:$V$265,Merged!$D$45:$D$265,Table!$D$3, Merged!$E$45:$E$265,Report_For_Each_Project!C16))</f>
        <v>0</v>
      </c>
      <c r="H23" s="92">
        <f>1/8*(SUMIFS(Merged!$W$45:$W$265,Merged!$D$45:$D$265,Table!$D$3, Merged!$E$45:$E$265,Report_For_Each_Project!C16)-SUM(SUMIFS(Merged!$W$45:$W$265,Merged!$D$45:$D$265,Table!$D$3,Merged!$X$45:$X$265,{"Ongoing","N/A",""},Merged!$E$45:$E$265,Report_For_Each_Project!C16)))</f>
        <v>0</v>
      </c>
      <c r="I23" s="78" t="str">
        <f>IFERROR(F23/E23,"N/A")</f>
        <v>N/A</v>
      </c>
    </row>
    <row r="24" spans="1:9" x14ac:dyDescent="0.25">
      <c r="C24" s="9">
        <v>2</v>
      </c>
      <c r="D24" s="10" t="s">
        <v>2</v>
      </c>
      <c r="E24" s="92">
        <f>SUMIFS(Merged!$T$45:$T$265,Merged!$D$45:$D$265,Table!$C$3, Merged!$E$45:$E$265,Report_For_Each_Project!C16)</f>
        <v>143</v>
      </c>
      <c r="F24" s="99">
        <f>SUMIFS(Merged!$U$45:$U$265,Merged!$D$45:$D$265,Table!$C$3, Merged!$E$45:$E$265,Report_For_Each_Project!C16)-SUM(SUMIFS(Merged!$U$45:$U$265,Merged!$D$45:$D$265,Table!$C$3,Merged!$X$45:$X$265,{"Ongoing","N/A",""},Merged!$E$45:$E$265,Report_For_Each_Project!C16))</f>
        <v>143</v>
      </c>
      <c r="G24" s="92">
        <f>1/8*(SUMIFS(Merged!$V$45:$V$265,Merged!$D$45:$D$265,Table!$C$3, Merged!$E$45:$E$265,Report_For_Each_Project!C16))</f>
        <v>1.1000000000000001</v>
      </c>
      <c r="H24" s="92">
        <f>1/8*(SUMIFS(Merged!$W$45:$W$265,Merged!$D$45:$D$265,Table!$C$3, Merged!$E$45:$E$265,Report_For_Each_Project!C16)-SUM(SUMIFS(Merged!$W$45:$W$265,Merged!$D$45:$D$265,Table!$C$3,Merged!$X$45:$X$265,{"Ongoing","N/A",""},Merged!$E$45:$E$265,Report_For_Each_Project!C16)))</f>
        <v>1.5</v>
      </c>
      <c r="I24" s="78">
        <f>IFERROR(F24/E24,"N/A")</f>
        <v>1</v>
      </c>
    </row>
    <row r="26" spans="1:9" x14ac:dyDescent="0.25">
      <c r="C26" t="s">
        <v>468</v>
      </c>
    </row>
    <row r="27" spans="1:9" x14ac:dyDescent="0.25">
      <c r="D27" s="69" t="s">
        <v>491</v>
      </c>
    </row>
    <row r="29" spans="1:9" x14ac:dyDescent="0.25">
      <c r="A29" s="1">
        <f>A16+1</f>
        <v>3</v>
      </c>
      <c r="B29" s="1" t="s">
        <v>65</v>
      </c>
      <c r="C29" s="1" t="s">
        <v>286</v>
      </c>
    </row>
    <row r="30" spans="1:9" x14ac:dyDescent="0.25">
      <c r="B30" s="1" t="s">
        <v>461</v>
      </c>
      <c r="C30" s="67">
        <f>SUM(G36:G37)</f>
        <v>12.55</v>
      </c>
      <c r="D30" t="s">
        <v>462</v>
      </c>
    </row>
    <row r="31" spans="1:9" x14ac:dyDescent="0.25">
      <c r="B31" s="1" t="s">
        <v>474</v>
      </c>
      <c r="C31">
        <f>SUM(INT((WEEKDAY(F31+-{2,3,4,5,6}) +H31-F31)/7))-(8-3)/8</f>
        <v>3.375</v>
      </c>
      <c r="D31" t="s">
        <v>462</v>
      </c>
      <c r="E31" t="s">
        <v>343</v>
      </c>
      <c r="F31" s="7">
        <v>43906</v>
      </c>
      <c r="G31" s="7" t="s">
        <v>342</v>
      </c>
      <c r="H31" s="7">
        <v>43909</v>
      </c>
    </row>
    <row r="32" spans="1:9" x14ac:dyDescent="0.25">
      <c r="B32" s="1" t="s">
        <v>475</v>
      </c>
      <c r="C32">
        <f>SUM(INT((WEEKDAY(F32+-{2,3,4,5,6}) +H32-F32)/7))-(8-3)/8</f>
        <v>3.375</v>
      </c>
      <c r="D32" t="s">
        <v>462</v>
      </c>
      <c r="E32" t="s">
        <v>341</v>
      </c>
      <c r="F32" s="7">
        <v>43907</v>
      </c>
      <c r="G32" s="7" t="s">
        <v>473</v>
      </c>
      <c r="H32" s="7">
        <v>43910</v>
      </c>
    </row>
    <row r="33" spans="1:9" x14ac:dyDescent="0.25">
      <c r="B33" s="1" t="s">
        <v>18</v>
      </c>
      <c r="C33" t="str">
        <f>IF(SUM(H36:H37)&gt;SUM(G36:G37),"Delayed",IF(SUM(H36:H37)&lt;SUM(G36:G37),"InAdvanced","Ontime"))</f>
        <v>Delayed</v>
      </c>
    </row>
    <row r="35" spans="1:9" ht="45" x14ac:dyDescent="0.25">
      <c r="C35" s="63" t="s">
        <v>29</v>
      </c>
      <c r="D35" s="63" t="s">
        <v>30</v>
      </c>
      <c r="E35" s="12" t="s">
        <v>463</v>
      </c>
      <c r="F35" s="12" t="s">
        <v>464</v>
      </c>
      <c r="G35" s="12" t="s">
        <v>465</v>
      </c>
      <c r="H35" s="12" t="s">
        <v>466</v>
      </c>
      <c r="I35" s="12" t="s">
        <v>33</v>
      </c>
    </row>
    <row r="36" spans="1:9" x14ac:dyDescent="0.25">
      <c r="C36" s="9">
        <v>1</v>
      </c>
      <c r="D36" s="10" t="s">
        <v>3</v>
      </c>
      <c r="E36" s="92">
        <f>SUMIFS(Merged!$T$45:$T$265,Merged!$D$45:$D$265,Table!$D$3, Merged!$E$45:$E$265,Report_For_Each_Project!C29)</f>
        <v>720</v>
      </c>
      <c r="F36" s="99">
        <f>SUMIFS(Merged!$U$45:$U$265,Merged!$D$45:$D$265,Table!$D$3, Merged!$E$45:$E$265,Report_For_Each_Project!C29)</f>
        <v>720</v>
      </c>
      <c r="G36" s="92">
        <f>1/8*(SUMIFS(Merged!$V$45:$V$265,Merged!$D$45:$D$265,Table!$D$3, Merged!$E$45:$E$265,Report_For_Each_Project!C29))</f>
        <v>1.6</v>
      </c>
      <c r="H36" s="92">
        <f>1/8*(SUMIFS(Merged!$W$45:$W$265,Merged!$D$45:$D$265,Table!$D$3, Merged!$E$45:$E$265,Report_For_Each_Project!C29)-SUM(SUMIFS(Merged!$W$45:$W$265,Merged!$D$45:$D$265,Table!$D$3,Merged!$X$45:$X$265,{"Ongoing","N/A",""},Merged!$E$45:$E$265,Report_For_Each_Project!C29)))</f>
        <v>1.5</v>
      </c>
      <c r="I36" s="78">
        <f>IFERROR(F36/E36,"N/A")</f>
        <v>1</v>
      </c>
    </row>
    <row r="37" spans="1:9" x14ac:dyDescent="0.25">
      <c r="C37" s="9">
        <v>2</v>
      </c>
      <c r="D37" s="10" t="s">
        <v>2</v>
      </c>
      <c r="E37" s="92">
        <f>SUMIFS(Merged!$T$45:$T$265,Merged!$D$45:$D$265,Table!$C$3, Merged!$E$45:$E$265,Report_For_Each_Project!C29)</f>
        <v>1423.5</v>
      </c>
      <c r="F37" s="99">
        <f>SUMIFS(Merged!$U$45:$U$265,Merged!$D$45:$D$265,Table!$C$3, Merged!$E$45:$E$265,Report_For_Each_Project!C29)-SUM(SUMIFS(Merged!$U$45:$U$265,Merged!$D$45:$D$265,Table!$C$3,Merged!$X$45:$X$265,{"Ongoing","N/A",""},Merged!$E$45:$E$265,Report_For_Each_Project!C29))</f>
        <v>1423.5</v>
      </c>
      <c r="G37" s="92">
        <f>1/8*(SUMIFS(Merged!$V$45:$V$265,Merged!$D$45:$D$265,Table!$C$3, Merged!$E$45:$E$265,Report_For_Each_Project!C29))</f>
        <v>10.950000000000001</v>
      </c>
      <c r="H37" s="92">
        <f>1/8*(SUMIFS(Merged!$W$45:$W$265,Merged!$D$45:$D$265,Table!$C$3, Merged!$E$45:$E$265,Report_For_Each_Project!C29)-SUM(SUMIFS(Merged!$W$45:$W$265,Merged!$D$45:$D$265,Table!$C$3,Merged!$X$45:$X$265,{"Ongoing","N/A",""},Merged!$E$45:$E$265,Report_For_Each_Project!C29)))</f>
        <v>13.8</v>
      </c>
      <c r="I37" s="78">
        <f>IFERROR(F37/E37,"N/A")</f>
        <v>1</v>
      </c>
    </row>
    <row r="39" spans="1:9" x14ac:dyDescent="0.25">
      <c r="C39" t="s">
        <v>468</v>
      </c>
    </row>
    <row r="40" spans="1:9" x14ac:dyDescent="0.25">
      <c r="D40" s="69" t="s">
        <v>488</v>
      </c>
    </row>
    <row r="41" spans="1:9" x14ac:dyDescent="0.25">
      <c r="A41" s="1"/>
    </row>
    <row r="42" spans="1:9" x14ac:dyDescent="0.25">
      <c r="A42" s="1">
        <f>A29+1</f>
        <v>4</v>
      </c>
      <c r="B42" s="1" t="s">
        <v>65</v>
      </c>
      <c r="C42" s="1" t="s">
        <v>455</v>
      </c>
    </row>
    <row r="43" spans="1:9" x14ac:dyDescent="0.25">
      <c r="B43" s="1" t="s">
        <v>461</v>
      </c>
      <c r="C43" s="67">
        <f>SUM(G49:G50)</f>
        <v>25.394375</v>
      </c>
      <c r="D43" t="s">
        <v>462</v>
      </c>
    </row>
    <row r="44" spans="1:9" x14ac:dyDescent="0.25">
      <c r="B44" s="1" t="s">
        <v>474</v>
      </c>
      <c r="C44">
        <f>SUM(INT((WEEKDAY(F44-{2,3,4,5,6}) +H44-F44)/7))</f>
        <v>7</v>
      </c>
      <c r="D44" t="s">
        <v>462</v>
      </c>
      <c r="E44" t="s">
        <v>732</v>
      </c>
      <c r="F44" s="7">
        <v>43910</v>
      </c>
      <c r="G44" s="7" t="s">
        <v>342</v>
      </c>
      <c r="H44" s="7">
        <v>43920</v>
      </c>
    </row>
    <row r="45" spans="1:9" x14ac:dyDescent="0.25">
      <c r="B45" s="1" t="s">
        <v>475</v>
      </c>
      <c r="C45">
        <f>SUM(INT((WEEKDAY(F45-{2,3,4,5,6}) +H45-F45)/7))</f>
        <v>9</v>
      </c>
      <c r="D45" t="s">
        <v>462</v>
      </c>
      <c r="E45" t="s">
        <v>762</v>
      </c>
      <c r="F45" s="7">
        <v>43910</v>
      </c>
      <c r="G45" s="7" t="s">
        <v>342</v>
      </c>
      <c r="H45" s="7">
        <v>43922</v>
      </c>
    </row>
    <row r="46" spans="1:9" x14ac:dyDescent="0.25">
      <c r="B46" s="1" t="s">
        <v>18</v>
      </c>
      <c r="C46" t="s">
        <v>492</v>
      </c>
    </row>
    <row r="48" spans="1:9" ht="45" x14ac:dyDescent="0.25">
      <c r="C48" s="64" t="s">
        <v>29</v>
      </c>
      <c r="D48" s="64" t="s">
        <v>30</v>
      </c>
      <c r="E48" s="12" t="s">
        <v>463</v>
      </c>
      <c r="F48" s="12" t="s">
        <v>464</v>
      </c>
      <c r="G48" s="12" t="s">
        <v>465</v>
      </c>
      <c r="H48" s="12" t="s">
        <v>466</v>
      </c>
      <c r="I48" s="12" t="s">
        <v>33</v>
      </c>
    </row>
    <row r="49" spans="1:9" x14ac:dyDescent="0.25">
      <c r="C49" s="9">
        <v>1</v>
      </c>
      <c r="D49" s="10" t="s">
        <v>3</v>
      </c>
      <c r="E49" s="92">
        <f>SUMIFS(Merged!$T$45:$T$265,Merged!$D$45:$D$265,Table!$D$3, Merged!$E$45:$E$265,Report_For_Each_Project!C42)</f>
        <v>0</v>
      </c>
      <c r="F49" s="99">
        <f>SUMIFS(Merged!$U$45:$U$265,Merged!$D$45:$D$265,Table!$D$3, Merged!$E$45:$E$265,Report_For_Each_Project!C42)</f>
        <v>0</v>
      </c>
      <c r="G49" s="92">
        <f>1/8*(SUMIFS(Merged!$V$45:$V$265,Merged!$D$45:$D$265,Table!$D$3, Merged!$E$45:$E$265,Report_For_Each_Project!C42))</f>
        <v>0</v>
      </c>
      <c r="H49" s="92">
        <f>1/8*(SUMIFS(Merged!$W$45:$W$265,Merged!$D$45:$D$265,Table!$D$3, Merged!$E$45:$E$265,Report_For_Each_Project!C42)-SUM(SUMIFS(Merged!$W$45:$W$265,Merged!$D$45:$D$265,Table!$D$3,Merged!$X$45:$X$265,{"Ongoing","N/A",""},Merged!$E$45:$E$265,Report_For_Each_Project!C42)))</f>
        <v>0</v>
      </c>
      <c r="I49" s="78" t="str">
        <f>IFERROR(F49/E49,"N/A")</f>
        <v>N/A</v>
      </c>
    </row>
    <row r="50" spans="1:9" x14ac:dyDescent="0.25">
      <c r="C50" s="9">
        <v>2</v>
      </c>
      <c r="D50" s="10" t="s">
        <v>2</v>
      </c>
      <c r="E50" s="92">
        <f>SUMIFS(Merged!$T$45:$T$265,Merged!$D$45:$D$265,Table!$C$3, Merged!$E$45:$E$265,Report_For_Each_Project!C42)</f>
        <v>3301.2859999999996</v>
      </c>
      <c r="F50" s="99">
        <f>SUMIFS(Merged!$U$45:$U$265,Merged!$D$45:$D$265,Table!$C$3, Merged!$E$45:$E$265,Report_For_Each_Project!C42)-SUM(SUMIFS(Merged!$U$45:$U$265,Merged!$D$45:$D$265,Table!$C$3,Merged!$X$45:$X$265,{"Ongoing","N/A",""},Merged!$E$45:$E$265,Report_For_Each_Project!C42))</f>
        <v>3301.2859999999996</v>
      </c>
      <c r="G50" s="92">
        <f>1/8*(SUMIFS(Merged!$V$45:$V$265,Merged!$D$45:$D$265,Table!$C$3, Merged!$E$45:$E$265,Report_For_Each_Project!C42))</f>
        <v>25.394375</v>
      </c>
      <c r="H50" s="92">
        <f>1/8*(SUMIFS(Merged!$W$45:$W$265,Merged!$D$45:$D$265,Table!$C$3, Merged!$E$45:$E$265,Report_For_Each_Project!C42)-SUM(SUMIFS(Merged!$W$45:$W$265,Merged!$D$45:$D$265,Table!$C$3,Merged!$X$45:$X$265,{"Ongoing","N/A",""},Merged!$E$45:$E$265,Report_For_Each_Project!C42)))</f>
        <v>22.625</v>
      </c>
      <c r="I50" s="78">
        <f>IFERROR(F50/E50,"N/A")</f>
        <v>1</v>
      </c>
    </row>
    <row r="52" spans="1:9" x14ac:dyDescent="0.25">
      <c r="C52" t="s">
        <v>468</v>
      </c>
    </row>
    <row r="53" spans="1:9" x14ac:dyDescent="0.25">
      <c r="D53" s="69" t="s">
        <v>731</v>
      </c>
    </row>
    <row r="54" spans="1:9" x14ac:dyDescent="0.25">
      <c r="D54" s="69" t="s">
        <v>729</v>
      </c>
    </row>
    <row r="55" spans="1:9" x14ac:dyDescent="0.25">
      <c r="D55" s="69" t="s">
        <v>730</v>
      </c>
    </row>
    <row r="57" spans="1:9" x14ac:dyDescent="0.25">
      <c r="A57" s="1">
        <f>A42+1</f>
        <v>5</v>
      </c>
      <c r="B57" s="1" t="s">
        <v>65</v>
      </c>
      <c r="C57" s="1" t="s">
        <v>676</v>
      </c>
    </row>
    <row r="58" spans="1:9" x14ac:dyDescent="0.25">
      <c r="B58" s="1" t="s">
        <v>461</v>
      </c>
      <c r="C58" s="67">
        <f>SUM(G64:G65)</f>
        <v>11.399999999999999</v>
      </c>
      <c r="D58" t="s">
        <v>462</v>
      </c>
    </row>
    <row r="59" spans="1:9" x14ac:dyDescent="0.25">
      <c r="B59" s="1" t="s">
        <v>474</v>
      </c>
      <c r="C59">
        <f>SUM(INT((WEEKDAY(F59-{2,3,4,5,6})+H59-F59)/7))-1-(2/8)-1</f>
        <v>2.75</v>
      </c>
      <c r="D59" t="s">
        <v>462</v>
      </c>
      <c r="E59" t="s">
        <v>732</v>
      </c>
      <c r="F59" s="7">
        <v>43920</v>
      </c>
      <c r="G59" s="7" t="s">
        <v>342</v>
      </c>
      <c r="H59" s="7">
        <v>43924</v>
      </c>
    </row>
    <row r="60" spans="1:9" x14ac:dyDescent="0.25">
      <c r="B60" s="1" t="s">
        <v>475</v>
      </c>
      <c r="C60">
        <f>SUM(INT((WEEKDAY(F60-{2,3,4,5,6})+H60-F60)/7))-1-1</f>
        <v>3</v>
      </c>
      <c r="D60" t="s">
        <v>462</v>
      </c>
      <c r="E60" t="s">
        <v>756</v>
      </c>
      <c r="F60" s="7">
        <v>43920</v>
      </c>
      <c r="G60" s="7" t="s">
        <v>473</v>
      </c>
      <c r="H60" s="7">
        <v>43924</v>
      </c>
    </row>
    <row r="61" spans="1:9" x14ac:dyDescent="0.25">
      <c r="B61" s="1" t="s">
        <v>18</v>
      </c>
      <c r="C61" t="str">
        <f>IF(SUM(H64:H65)&gt;SUM(G64:G65),"Delayed",IF(SUM(H64:H65)&lt;SUM(G64:G65),"InAdvanced","Ontime"))</f>
        <v>InAdvanced</v>
      </c>
      <c r="F61" s="7"/>
      <c r="G61" s="7"/>
      <c r="H61" s="7"/>
    </row>
    <row r="63" spans="1:9" ht="45" x14ac:dyDescent="0.25">
      <c r="C63" s="83" t="s">
        <v>29</v>
      </c>
      <c r="D63" s="83" t="s">
        <v>30</v>
      </c>
      <c r="E63" s="12" t="s">
        <v>463</v>
      </c>
      <c r="F63" s="12" t="s">
        <v>464</v>
      </c>
      <c r="G63" s="12" t="s">
        <v>465</v>
      </c>
      <c r="H63" s="12" t="s">
        <v>466</v>
      </c>
      <c r="I63" s="12" t="s">
        <v>33</v>
      </c>
    </row>
    <row r="64" spans="1:9" x14ac:dyDescent="0.25">
      <c r="C64" s="9">
        <v>1</v>
      </c>
      <c r="D64" s="84" t="s">
        <v>3</v>
      </c>
      <c r="E64" s="92">
        <f>SUMIFS(Merged!$T$45:$T$265,Merged!$D$45:$D$265,Table!$D$3, Merged!$E$45:$E$265,Report_For_Each_Project!C57)</f>
        <v>5130</v>
      </c>
      <c r="F64" s="99">
        <f>SUMIFS(Merged!$U$45:$U$265,Merged!$D$45:$D$265,Table!$D$3, Merged!$E$45:$E$265,Report_For_Each_Project!C57)</f>
        <v>5130</v>
      </c>
      <c r="G64" s="92">
        <f>1/8*(SUMIFS(Merged!$V$45:$V$265,Merged!$D$45:$D$265,Table!$D$3, Merged!$E$45:$E$265,Report_For_Each_Project!C57))</f>
        <v>11.399999999999999</v>
      </c>
      <c r="H64" s="92">
        <f>1/8*(SUMIFS(Merged!$W$45:$W$265,Merged!$D$45:$D$265,Table!$D$3, Merged!$E$45:$E$265,Report_For_Each_Project!C57)-SUM(SUMIFS(Merged!$W$45:$W$265,Merged!$D$45:$D$265,Table!$D$3,Merged!$X$45:$X$265,{"Ongoing","N/A",""},Merged!$E$45:$E$265,Report_For_Each_Project!C57)))</f>
        <v>9</v>
      </c>
      <c r="I64" s="78">
        <f>IFERROR(F64/E64,"N/A")</f>
        <v>1</v>
      </c>
    </row>
    <row r="65" spans="1:9" x14ac:dyDescent="0.25">
      <c r="C65" s="9">
        <v>2</v>
      </c>
      <c r="D65" s="84" t="s">
        <v>2</v>
      </c>
      <c r="E65" s="92">
        <f>SUMIFS(Merged!$T$45:$T$265,Merged!$D$45:$D$265,Table!$C$3, Merged!$E$45:$E$265,Report_For_Each_Project!C57)</f>
        <v>0</v>
      </c>
      <c r="F65" s="99">
        <f>SUMIFS(Merged!$U$45:$U$265,Merged!$D$45:$D$265,Table!$C$3, Merged!$E$45:$E$265,Report_For_Each_Project!C57)-SUM(SUMIFS(Merged!$U$45:$U$265,Merged!$D$45:$D$265,Table!$C$3,Merged!$X$45:$X$265,{"Ongoing","N/A",""},Merged!$E$45:$E$265,Report_For_Each_Project!C57))</f>
        <v>0</v>
      </c>
      <c r="G65" s="92">
        <f>1/8*(SUMIFS(Merged!$V$45:$V$265,Merged!$D$45:$D$265,Table!$C$3, Merged!$E$45:$E$265,Report_For_Each_Project!C57))</f>
        <v>0</v>
      </c>
      <c r="H65" s="92">
        <f>1/8*(SUMIFS(Merged!$W$45:$W$265,Merged!$D$45:$D$265,Table!$C$3, Merged!$E$45:$E$265,Report_For_Each_Project!C57)-SUM(SUMIFS(Merged!$W$45:$W$265,Merged!$D$45:$D$265,Table!$C$3,Merged!$X$45:$X$265,{"Ongoing","N/A",""},Merged!$E$45:$E$265,Report_For_Each_Project!C57)))</f>
        <v>0</v>
      </c>
      <c r="I65" s="78" t="str">
        <f t="shared" ref="I65" si="0">IFERROR(F65/E65,"N/A")</f>
        <v>N/A</v>
      </c>
    </row>
    <row r="67" spans="1:9" x14ac:dyDescent="0.25">
      <c r="C67" t="s">
        <v>468</v>
      </c>
    </row>
    <row r="68" spans="1:9" x14ac:dyDescent="0.25">
      <c r="D68" t="s">
        <v>491</v>
      </c>
    </row>
    <row r="69" spans="1:9" x14ac:dyDescent="0.25">
      <c r="D69" s="69"/>
    </row>
    <row r="70" spans="1:9" x14ac:dyDescent="0.25">
      <c r="A70" s="1">
        <f>A57+1</f>
        <v>6</v>
      </c>
      <c r="B70" s="1" t="s">
        <v>65</v>
      </c>
      <c r="C70" s="1" t="s">
        <v>743</v>
      </c>
    </row>
    <row r="71" spans="1:9" x14ac:dyDescent="0.25">
      <c r="B71" s="1" t="s">
        <v>461</v>
      </c>
      <c r="C71" s="67">
        <f>SUM(G77:G78)</f>
        <v>1.2</v>
      </c>
      <c r="D71" t="s">
        <v>462</v>
      </c>
    </row>
    <row r="72" spans="1:9" x14ac:dyDescent="0.25">
      <c r="B72" s="1" t="s">
        <v>474</v>
      </c>
      <c r="C72">
        <f>SUM(INT((WEEKDAY(F72-{2,3,4,5,6})+H72-F72)/7))-1-(2/8)-1</f>
        <v>0.75</v>
      </c>
      <c r="D72" t="s">
        <v>462</v>
      </c>
      <c r="E72" t="s">
        <v>757</v>
      </c>
      <c r="F72" s="7">
        <v>43922</v>
      </c>
      <c r="G72" s="7" t="s">
        <v>473</v>
      </c>
      <c r="H72" s="7">
        <v>43924</v>
      </c>
    </row>
    <row r="73" spans="1:9" x14ac:dyDescent="0.25">
      <c r="B73" s="1" t="s">
        <v>475</v>
      </c>
      <c r="C73">
        <f>SUM(INT((WEEKDAY(F73-{2,3,4,5,6})+H73-F73)/7))-1-0.5</f>
        <v>1.5</v>
      </c>
      <c r="D73" t="s">
        <v>462</v>
      </c>
      <c r="E73" t="s">
        <v>756</v>
      </c>
      <c r="F73" s="7">
        <v>43922</v>
      </c>
      <c r="G73" s="7" t="s">
        <v>473</v>
      </c>
      <c r="H73" s="7">
        <v>43924</v>
      </c>
    </row>
    <row r="74" spans="1:9" x14ac:dyDescent="0.25">
      <c r="B74" s="1" t="s">
        <v>18</v>
      </c>
      <c r="C74" t="s">
        <v>470</v>
      </c>
      <c r="F74" s="7"/>
      <c r="G74" s="7"/>
      <c r="H74" s="7"/>
    </row>
    <row r="76" spans="1:9" ht="45" x14ac:dyDescent="0.25">
      <c r="C76" s="87" t="s">
        <v>29</v>
      </c>
      <c r="D76" s="87" t="s">
        <v>30</v>
      </c>
      <c r="E76" s="12" t="s">
        <v>463</v>
      </c>
      <c r="F76" s="12" t="s">
        <v>464</v>
      </c>
      <c r="G76" s="12" t="s">
        <v>465</v>
      </c>
      <c r="H76" s="12" t="s">
        <v>466</v>
      </c>
      <c r="I76" s="12" t="s">
        <v>33</v>
      </c>
    </row>
    <row r="77" spans="1:9" x14ac:dyDescent="0.25">
      <c r="C77" s="9">
        <v>1</v>
      </c>
      <c r="D77" s="88" t="s">
        <v>3</v>
      </c>
      <c r="E77" s="92">
        <f>SUMIFS(Merged!$T$45:$T$265,Merged!$D$45:$D$265,Table!$D$3, Merged!$E$45:$E$265,Report_For_Each_Project!C70)</f>
        <v>135</v>
      </c>
      <c r="F77" s="99">
        <f>SUMIFS(Merged!$U$45:$U$265,Merged!$D$45:$D$265,Table!$D$3, Merged!$E$45:$E$265,Report_For_Each_Project!C70)</f>
        <v>135</v>
      </c>
      <c r="G77" s="92">
        <f>1/8*(SUMIFS(Merged!$V$45:$V$265,Merged!$D$45:$D$265,Table!$D$3, Merged!$E$45:$E$265,Report_For_Each_Project!C70))</f>
        <v>0.3</v>
      </c>
      <c r="H77" s="92">
        <f>1/8*(SUMIFS(Merged!$W$45:$W$265,Merged!$D$45:$D$265,Table!$D$3, Merged!$E$45:$E$265,Report_For_Each_Project!C70)-SUM(SUMIFS(Merged!$W$45:$W$265,Merged!$D$45:$D$265,Table!$D$3,Merged!$X$45:$X$265,{"Ongoing","N/A",""},Merged!$E$45:$E$265,Report_For_Each_Project!C70)))</f>
        <v>1</v>
      </c>
      <c r="I77" s="78">
        <f>IFERROR(F77/E77,"N/A")</f>
        <v>1</v>
      </c>
    </row>
    <row r="78" spans="1:9" x14ac:dyDescent="0.25">
      <c r="C78" s="9">
        <v>2</v>
      </c>
      <c r="D78" s="88" t="s">
        <v>2</v>
      </c>
      <c r="E78" s="92">
        <f>SUMIFS(Merged!$T$45:$T$265,Merged!$D$45:$D$265,Table!$C$3, Merged!$E$45:$E$265,Report_For_Each_Project!C70)</f>
        <v>117</v>
      </c>
      <c r="F78" s="99">
        <f>SUMIFS(Merged!$U$45:$U$265,Merged!$D$45:$D$265,Table!$C$3, Merged!$E$45:$E$265,Report_For_Each_Project!C70)-SUM(SUMIFS(Merged!$U$45:$U$265,Merged!$D$45:$D$265,Table!$C$3,Merged!$X$45:$X$265,{"Ongoing","N/A",""},Merged!$E$45:$E$265,Report_For_Each_Project!C70))</f>
        <v>117</v>
      </c>
      <c r="G78" s="92">
        <f>1/8*(SUMIFS(Merged!$V$45:$V$265,Merged!$D$45:$D$265,Table!$C$3, Merged!$E$45:$E$265,Report_For_Each_Project!C70))</f>
        <v>0.89999999999999991</v>
      </c>
      <c r="H78" s="92">
        <f>1/8*(SUMIFS(Merged!$W$45:$W$265,Merged!$D$45:$D$265,Table!$C$3, Merged!$E$45:$E$265,Report_For_Each_Project!C70)-SUM(SUMIFS(Merged!$W$45:$W$265,Merged!$D$45:$D$265,Table!$C$3,Merged!$X$45:$X$265,{"Ongoing","N/A",""},Merged!$E$45:$E$265,Report_For_Each_Project!C70)))</f>
        <v>0.55000000000000004</v>
      </c>
      <c r="I78" s="78">
        <f>IFERROR(F78/E78,"N/A")</f>
        <v>1</v>
      </c>
    </row>
    <row r="80" spans="1:9" x14ac:dyDescent="0.25">
      <c r="C80" t="s">
        <v>468</v>
      </c>
    </row>
    <row r="81" spans="1:9" x14ac:dyDescent="0.25">
      <c r="D81" s="69" t="s">
        <v>857</v>
      </c>
    </row>
    <row r="83" spans="1:9" x14ac:dyDescent="0.25">
      <c r="A83" s="103">
        <f>A70+1</f>
        <v>7</v>
      </c>
      <c r="B83" s="103" t="s">
        <v>65</v>
      </c>
      <c r="C83" s="103" t="s">
        <v>769</v>
      </c>
    </row>
    <row r="84" spans="1:9" x14ac:dyDescent="0.25">
      <c r="B84" s="103" t="s">
        <v>461</v>
      </c>
      <c r="C84">
        <f>SUM(G90:G91)</f>
        <v>1.125</v>
      </c>
      <c r="D84" t="s">
        <v>462</v>
      </c>
    </row>
    <row r="85" spans="1:9" x14ac:dyDescent="0.25">
      <c r="B85" s="103" t="s">
        <v>474</v>
      </c>
      <c r="C85">
        <f>SUM(INT((WEEKDAY(F85-{2,3,4,5,6})+H85-F85)/7))</f>
        <v>1</v>
      </c>
      <c r="D85" t="s">
        <v>462</v>
      </c>
      <c r="E85" t="s">
        <v>342</v>
      </c>
      <c r="F85" s="7">
        <v>43927</v>
      </c>
      <c r="G85" s="7" t="s">
        <v>342</v>
      </c>
      <c r="H85" s="7">
        <v>43927</v>
      </c>
    </row>
    <row r="86" spans="1:9" x14ac:dyDescent="0.25">
      <c r="B86" s="103" t="s">
        <v>475</v>
      </c>
      <c r="C86">
        <f>SUM(INT((WEEKDAY(F86-{2,3,4,5,6})+H86-F86)/7))</f>
        <v>1</v>
      </c>
      <c r="D86" t="s">
        <v>462</v>
      </c>
      <c r="E86" t="s">
        <v>342</v>
      </c>
      <c r="F86" s="7">
        <v>43927</v>
      </c>
      <c r="G86" s="7" t="s">
        <v>342</v>
      </c>
      <c r="H86" s="7">
        <v>43927</v>
      </c>
    </row>
    <row r="87" spans="1:9" x14ac:dyDescent="0.25">
      <c r="B87" s="103" t="s">
        <v>18</v>
      </c>
      <c r="C87" t="str">
        <f>IF(SUM(H90:H91)&gt;SUM(G90:G91),"Delayed",IF(SUM(H90:H91)&lt;SUM(G90:G91),"InAdvanced","Ontime"))</f>
        <v>Ontime</v>
      </c>
      <c r="F87" s="7"/>
      <c r="G87" s="7"/>
      <c r="H87" s="7"/>
    </row>
    <row r="89" spans="1:9" ht="45" x14ac:dyDescent="0.25">
      <c r="C89" s="104" t="s">
        <v>29</v>
      </c>
      <c r="D89" s="104" t="s">
        <v>30</v>
      </c>
      <c r="E89" s="105" t="s">
        <v>463</v>
      </c>
      <c r="F89" s="105" t="s">
        <v>464</v>
      </c>
      <c r="G89" s="105" t="s">
        <v>465</v>
      </c>
      <c r="H89" s="105" t="s">
        <v>466</v>
      </c>
      <c r="I89" s="105" t="s">
        <v>33</v>
      </c>
    </row>
    <row r="90" spans="1:9" x14ac:dyDescent="0.25">
      <c r="C90" s="106">
        <v>1</v>
      </c>
      <c r="D90" s="77" t="s">
        <v>3</v>
      </c>
      <c r="E90" s="77">
        <f>SUMIFS(Merged!$T$45:$T$265,Merged!$D$45:$D$265,Table!$D$3, Merged!$E$45:$E$265,Report_For_Each_Project!C83)</f>
        <v>0</v>
      </c>
      <c r="F90" s="77">
        <f>SUMIFS(Merged!$U$45:$U$265,Merged!$D$45:$D$265,Table!$D$3, Merged!$E$45:$E$265,Report_For_Each_Project!C83)</f>
        <v>0</v>
      </c>
      <c r="G90" s="77">
        <f>1/8*(SUMIFS(Merged!$V$45:$V$265,Merged!$D$45:$D$265,Table!$D$3, Merged!$E$45:$E$265,Report_For_Each_Project!C83))</f>
        <v>0</v>
      </c>
      <c r="H90" s="113">
        <f>1/8*(SUMIFS(Merged!$W$45:$W$265,Merged!$D$45:$D$265,Table!$D$3, Merged!$E$45:$E$265,Report_For_Each_Project!C83)-SUM(SUMIFS(Merged!$W$45:$W$265,Merged!$D$45:$D$265,Table!$D$3,Merged!$X$45:$X$265,{"Ongoing","N/A",""},Merged!$E$45:$E$265,Report_For_Each_Project!C83)))</f>
        <v>0</v>
      </c>
      <c r="I90" s="78" t="str">
        <f t="shared" ref="I90:I91" si="1">IFERROR(F90/E90,"N/A")</f>
        <v>N/A</v>
      </c>
    </row>
    <row r="91" spans="1:9" x14ac:dyDescent="0.25">
      <c r="C91" s="106">
        <v>2</v>
      </c>
      <c r="D91" s="77" t="s">
        <v>2</v>
      </c>
      <c r="E91" s="77">
        <f>SUMIFS(Merged!$T$45:$T$265,Merged!$D$45:$D$265,Table!$C$3, Merged!$E$45:$E$265,Report_For_Each_Project!C83)</f>
        <v>146.25</v>
      </c>
      <c r="F91" s="77">
        <f>SUMIFS(Merged!$U$45:$U$265,Merged!$D$45:$D$265,Table!$C$3, Merged!$E$45:$E$265,Report_For_Each_Project!C83)-SUM(SUMIFS(Merged!$U$45:$U$265,Merged!$D$45:$D$265,Table!$C$3,Merged!$X$45:$X$265,{"Ongoing","N/A",""},Merged!$E$45:$E$265,Report_For_Each_Project!C83))</f>
        <v>146.25</v>
      </c>
      <c r="G91" s="77">
        <f>1/8*(SUMIFS(Merged!$V$45:$V$265,Merged!$D$45:$D$265,Table!$C$3, Merged!$E$45:$E$265,Report_For_Each_Project!C83))</f>
        <v>1.125</v>
      </c>
      <c r="H91" s="113">
        <f>1/8*(SUMIFS(Merged!$W$45:$W$265,Merged!$D$45:$D$265,Table!$C$3, Merged!$E$45:$E$265,Report_For_Each_Project!C83)-SUM(SUMIFS(Merged!$W$45:$W$265,Merged!$D$45:$D$265,Table!$C$3,Merged!$X$45:$X$265,{"Ongoing","N/A",""},Merged!$E$45:$E$265,Report_For_Each_Project!C83)))</f>
        <v>1.125</v>
      </c>
      <c r="I91" s="78">
        <f t="shared" si="1"/>
        <v>1</v>
      </c>
    </row>
    <row r="93" spans="1:9" x14ac:dyDescent="0.25">
      <c r="C93" t="s">
        <v>468</v>
      </c>
    </row>
    <row r="94" spans="1:9" x14ac:dyDescent="0.25">
      <c r="D94" t="s">
        <v>857</v>
      </c>
    </row>
    <row r="96" spans="1:9" x14ac:dyDescent="0.25">
      <c r="A96" s="103">
        <f>A83+1</f>
        <v>8</v>
      </c>
      <c r="B96" s="103" t="s">
        <v>65</v>
      </c>
      <c r="C96" s="103" t="s">
        <v>784</v>
      </c>
    </row>
    <row r="97" spans="1:9" x14ac:dyDescent="0.25">
      <c r="B97" s="103" t="s">
        <v>461</v>
      </c>
      <c r="C97">
        <f>SUM(G103:G104)</f>
        <v>1.5</v>
      </c>
      <c r="D97" t="s">
        <v>462</v>
      </c>
    </row>
    <row r="98" spans="1:9" x14ac:dyDescent="0.25">
      <c r="B98" s="103" t="s">
        <v>474</v>
      </c>
      <c r="C98">
        <f>SUM(INT((WEEKDAY(F98-{2,3,4,5,6})+H98-F98)/7))</f>
        <v>1</v>
      </c>
      <c r="D98" t="s">
        <v>462</v>
      </c>
      <c r="E98" t="s">
        <v>342</v>
      </c>
      <c r="F98" s="7">
        <v>43928</v>
      </c>
      <c r="G98" s="7" t="s">
        <v>342</v>
      </c>
      <c r="H98" s="7">
        <v>43928</v>
      </c>
    </row>
    <row r="99" spans="1:9" x14ac:dyDescent="0.25">
      <c r="B99" s="103" t="s">
        <v>475</v>
      </c>
      <c r="C99">
        <f>SUM(INT((WEEKDAY(F99-{2,3,4,5,6})+H99-F99)/7))</f>
        <v>2</v>
      </c>
      <c r="D99" t="s">
        <v>462</v>
      </c>
      <c r="E99" t="s">
        <v>342</v>
      </c>
      <c r="F99" s="7">
        <v>43928</v>
      </c>
      <c r="G99" s="7" t="s">
        <v>473</v>
      </c>
      <c r="H99" s="7">
        <v>43929</v>
      </c>
    </row>
    <row r="100" spans="1:9" x14ac:dyDescent="0.25">
      <c r="B100" s="103" t="s">
        <v>18</v>
      </c>
      <c r="C100" t="s">
        <v>492</v>
      </c>
      <c r="F100" s="7"/>
      <c r="G100" s="7"/>
      <c r="H100" s="7"/>
    </row>
    <row r="102" spans="1:9" ht="45" x14ac:dyDescent="0.25">
      <c r="C102" s="104" t="s">
        <v>29</v>
      </c>
      <c r="D102" s="104" t="s">
        <v>30</v>
      </c>
      <c r="E102" s="105" t="s">
        <v>463</v>
      </c>
      <c r="F102" s="105" t="s">
        <v>464</v>
      </c>
      <c r="G102" s="105" t="s">
        <v>465</v>
      </c>
      <c r="H102" s="105" t="s">
        <v>466</v>
      </c>
      <c r="I102" s="105" t="s">
        <v>33</v>
      </c>
    </row>
    <row r="103" spans="1:9" x14ac:dyDescent="0.25">
      <c r="C103" s="106">
        <v>1</v>
      </c>
      <c r="D103" s="77" t="s">
        <v>3</v>
      </c>
      <c r="E103" s="77">
        <f>SUMIFS(Merged!$T$45:$T$265,Merged!$D$45:$D$265,Table!$D$3, Merged!$E$45:$E$265,Report_For_Each_Project!C96)</f>
        <v>0</v>
      </c>
      <c r="F103" s="77">
        <f>SUMIFS(Merged!$U$45:$U$265,Merged!$D$45:$D$265,Table!$D$3, Merged!$E$45:$E$265,Report_For_Each_Project!C96)</f>
        <v>0</v>
      </c>
      <c r="G103" s="77">
        <f>1/8*(SUMIFS(Merged!$V$45:$V$265,Merged!$D$45:$D$265,Table!$D$3, Merged!$E$45:$E$265,Report_For_Each_Project!C96))</f>
        <v>0</v>
      </c>
      <c r="H103" s="113">
        <f>1/8*(SUMIFS(Merged!$W$45:$W$265,Merged!$D$45:$D$265,Table!$D$3, Merged!$E$45:$E$265,Report_For_Each_Project!C96)-SUM(SUMIFS(Merged!$W$45:$W$265,Merged!$D$45:$D$265,Table!$D$3,Merged!$X$45:$X$265,{"Ongoing","N/A",""},Merged!$E$45:$E$265,Report_For_Each_Project!C96)))</f>
        <v>0</v>
      </c>
      <c r="I103" s="78" t="str">
        <f t="shared" ref="I103:I104" si="2">IFERROR(F103/E103,"N/A")</f>
        <v>N/A</v>
      </c>
    </row>
    <row r="104" spans="1:9" x14ac:dyDescent="0.25">
      <c r="C104" s="106">
        <v>2</v>
      </c>
      <c r="D104" s="77" t="s">
        <v>2</v>
      </c>
      <c r="E104" s="77">
        <f>SUMIFS(Merged!$T$45:$T$265,Merged!$D$45:$D$265,Table!$C$3, Merged!$E$45:$E$265,Report_For_Each_Project!C96)</f>
        <v>195</v>
      </c>
      <c r="F104" s="77">
        <f>SUMIFS(Merged!$U$45:$U$265,Merged!$D$45:$D$265,Table!$C$3, Merged!$E$45:$E$265,Report_For_Each_Project!C96)-SUM(SUMIFS(Merged!$U$45:$U$265,Merged!$D$45:$D$265,Table!$C$3,Merged!$X$45:$X$265,{"Ongoing","N/A",""},Merged!$E$45:$E$265,Report_For_Each_Project!C96))</f>
        <v>195</v>
      </c>
      <c r="G104" s="77">
        <f>1/8*(SUMIFS(Merged!$V$45:$V$265,Merged!$D$45:$D$265,Table!$C$3, Merged!$E$45:$E$265,Report_For_Each_Project!C96))</f>
        <v>1.5</v>
      </c>
      <c r="H104" s="113">
        <f>1/8*(SUMIFS(Merged!$W$45:$W$265,Merged!$D$45:$D$265,Table!$C$3, Merged!$E$45:$E$265,Report_For_Each_Project!C96)-SUM(SUMIFS(Merged!$W$45:$W$265,Merged!$D$45:$D$265,Table!$C$3,Merged!$X$45:$X$265,{"Ongoing","N/A",""},Merged!$E$45:$E$265,Report_For_Each_Project!C96)))</f>
        <v>2</v>
      </c>
      <c r="I104" s="78">
        <f t="shared" si="2"/>
        <v>1</v>
      </c>
    </row>
    <row r="106" spans="1:9" x14ac:dyDescent="0.25">
      <c r="C106" t="s">
        <v>468</v>
      </c>
    </row>
    <row r="107" spans="1:9" x14ac:dyDescent="0.25">
      <c r="D107" s="108" t="s">
        <v>854</v>
      </c>
    </row>
    <row r="108" spans="1:9" x14ac:dyDescent="0.25">
      <c r="D108" s="108" t="s">
        <v>855</v>
      </c>
    </row>
    <row r="109" spans="1:9" x14ac:dyDescent="0.25">
      <c r="D109" s="108" t="s">
        <v>856</v>
      </c>
    </row>
    <row r="110" spans="1:9" x14ac:dyDescent="0.25">
      <c r="D110" s="108" t="s">
        <v>857</v>
      </c>
    </row>
    <row r="112" spans="1:9" x14ac:dyDescent="0.25">
      <c r="A112" s="103">
        <f>A96+1</f>
        <v>9</v>
      </c>
      <c r="B112" s="103" t="s">
        <v>65</v>
      </c>
      <c r="C112" s="103" t="s">
        <v>842</v>
      </c>
    </row>
    <row r="113" spans="1:9" x14ac:dyDescent="0.25">
      <c r="B113" s="103" t="s">
        <v>461</v>
      </c>
      <c r="C113">
        <f>SUM(G119:G120)</f>
        <v>4.6550000000000002</v>
      </c>
      <c r="D113" t="s">
        <v>462</v>
      </c>
    </row>
    <row r="114" spans="1:9" x14ac:dyDescent="0.25">
      <c r="B114" s="103" t="s">
        <v>474</v>
      </c>
      <c r="C114">
        <f>SUM(INT((WEEKDAY(F114-{2,3,4,5,6})+H114-F114)/7))-1-0.5</f>
        <v>2.5</v>
      </c>
      <c r="D114" t="s">
        <v>462</v>
      </c>
      <c r="E114" t="s">
        <v>853</v>
      </c>
      <c r="F114" s="7">
        <v>43928</v>
      </c>
      <c r="G114" s="7" t="s">
        <v>473</v>
      </c>
      <c r="H114" s="7">
        <v>43931</v>
      </c>
    </row>
    <row r="115" spans="1:9" x14ac:dyDescent="0.25">
      <c r="B115" s="103" t="s">
        <v>475</v>
      </c>
      <c r="C115">
        <f>SUM(INT((WEEKDAY(F115-{2,3,4,5,6})+H115-F115)/7))</f>
        <v>3</v>
      </c>
      <c r="D115" t="s">
        <v>462</v>
      </c>
      <c r="E115" t="s">
        <v>756</v>
      </c>
      <c r="F115" s="7">
        <v>43929</v>
      </c>
      <c r="G115" s="7" t="s">
        <v>473</v>
      </c>
      <c r="H115" s="7">
        <v>43931</v>
      </c>
    </row>
    <row r="116" spans="1:9" x14ac:dyDescent="0.25">
      <c r="B116" s="103" t="s">
        <v>18</v>
      </c>
      <c r="C116" t="s">
        <v>470</v>
      </c>
      <c r="F116" s="7"/>
      <c r="G116" s="7"/>
      <c r="H116" s="7"/>
    </row>
    <row r="118" spans="1:9" ht="45" x14ac:dyDescent="0.25">
      <c r="C118" s="104" t="s">
        <v>29</v>
      </c>
      <c r="D118" s="104" t="s">
        <v>30</v>
      </c>
      <c r="E118" s="105" t="s">
        <v>463</v>
      </c>
      <c r="F118" s="105" t="s">
        <v>464</v>
      </c>
      <c r="G118" s="105" t="s">
        <v>465</v>
      </c>
      <c r="H118" s="105" t="s">
        <v>466</v>
      </c>
      <c r="I118" s="105" t="s">
        <v>33</v>
      </c>
    </row>
    <row r="119" spans="1:9" x14ac:dyDescent="0.25">
      <c r="C119" s="106">
        <v>1</v>
      </c>
      <c r="D119" s="77" t="s">
        <v>3</v>
      </c>
      <c r="E119" s="77">
        <f>SUMIFS(Merged!$T$45:$T$265,Merged!$D$45:$D$265,Table!$D$3, Merged!$E$45:$E$265,Report_For_Each_Project!C112)</f>
        <v>1707.75</v>
      </c>
      <c r="F119" s="77">
        <f>SUMIFS(Merged!$U$45:$U$265,Merged!$D$45:$D$265,Table!$D$3, Merged!$E$45:$E$265,Report_For_Each_Project!C112)</f>
        <v>1707.75</v>
      </c>
      <c r="G119" s="77">
        <f>1/8*(SUMIFS(Merged!$V$45:$V$265,Merged!$D$45:$D$265,Table!$D$3, Merged!$E$45:$E$265,Report_For_Each_Project!C112))</f>
        <v>3.7949999999999999</v>
      </c>
      <c r="H119" s="113">
        <f>1/8*(SUMIFS(Merged!$W$45:$W$265,Merged!$D$45:$D$265,Table!$D$3, Merged!$E$45:$E$265,Report_For_Each_Project!C112)-SUM(SUMIFS(Merged!$W$45:$W$265,Merged!$D$45:$D$265,Table!$D$3,Merged!$X$45:$X$265,{"Ongoing","N/A",""},Merged!$E$45:$E$265,Report_For_Each_Project!C112)))</f>
        <v>4.875</v>
      </c>
      <c r="I119" s="78">
        <f>IFERROR(F119/E119,"N/A")</f>
        <v>1</v>
      </c>
    </row>
    <row r="120" spans="1:9" x14ac:dyDescent="0.25">
      <c r="C120" s="106">
        <v>2</v>
      </c>
      <c r="D120" s="77" t="s">
        <v>2</v>
      </c>
      <c r="E120" s="77">
        <f>SUMIFS(Merged!$T$45:$T$265,Merged!$D$45:$D$265,Table!$C$3, Merged!$E$45:$E$265,Report_For_Each_Project!C112)</f>
        <v>111.8</v>
      </c>
      <c r="F120" s="77">
        <f>SUMIFS(Merged!$U$45:$U$265,Merged!$D$45:$D$265,Table!$C$3, Merged!$E$45:$E$265,Report_For_Each_Project!C112)-SUM(SUMIFS(Merged!$U$45:$U$265,Merged!$D$45:$D$265,Table!$C$3,Merged!$X$45:$X$265,{"Ongoing","N/A",""},Merged!$E$45:$E$265,Report_For_Each_Project!C112))</f>
        <v>111.8</v>
      </c>
      <c r="G120" s="77">
        <f>1/8*(SUMIFS(Merged!$V$45:$V$265,Merged!$D$45:$D$265,Table!$C$3, Merged!$E$45:$E$265,Report_For_Each_Project!C112))</f>
        <v>0.86</v>
      </c>
      <c r="H120" s="113">
        <f>1/8*(SUMIFS(Merged!$W$45:$W$265,Merged!$D$45:$D$265,Table!$C$3, Merged!$E$45:$E$265,Report_For_Each_Project!C112)-SUM(SUMIFS(Merged!$W$45:$W$265,Merged!$D$45:$D$265,Table!$C$3,Merged!$X$45:$X$265,{"Ongoing","N/A",""},Merged!$E$45:$E$265,Report_For_Each_Project!C112)))</f>
        <v>0.75</v>
      </c>
      <c r="I120" s="78">
        <f>IFERROR(F120/E120,"N/A")</f>
        <v>1</v>
      </c>
    </row>
    <row r="122" spans="1:9" x14ac:dyDescent="0.25">
      <c r="C122" t="s">
        <v>468</v>
      </c>
    </row>
    <row r="123" spans="1:9" x14ac:dyDescent="0.25">
      <c r="D123" t="s">
        <v>491</v>
      </c>
    </row>
    <row r="126" spans="1:9" x14ac:dyDescent="0.25">
      <c r="A126" s="103">
        <f>A112+1</f>
        <v>10</v>
      </c>
      <c r="B126" s="103" t="s">
        <v>65</v>
      </c>
      <c r="C126" s="103" t="s">
        <v>866</v>
      </c>
    </row>
    <row r="127" spans="1:9" x14ac:dyDescent="0.25">
      <c r="B127" s="103" t="s">
        <v>461</v>
      </c>
      <c r="C127">
        <f>SUM(G133:G134)</f>
        <v>1.75</v>
      </c>
      <c r="D127" t="s">
        <v>462</v>
      </c>
    </row>
    <row r="128" spans="1:9" x14ac:dyDescent="0.25">
      <c r="B128" s="103" t="s">
        <v>474</v>
      </c>
      <c r="F128" s="7"/>
      <c r="G128" s="7"/>
      <c r="H128" s="7"/>
    </row>
    <row r="129" spans="1:9" x14ac:dyDescent="0.25">
      <c r="B129" s="103" t="s">
        <v>475</v>
      </c>
      <c r="F129" s="7"/>
      <c r="G129" s="7"/>
      <c r="H129" s="7"/>
    </row>
    <row r="130" spans="1:9" x14ac:dyDescent="0.25">
      <c r="B130" s="103" t="s">
        <v>18</v>
      </c>
      <c r="C130" t="s">
        <v>470</v>
      </c>
      <c r="F130" s="7"/>
      <c r="G130" s="7"/>
      <c r="H130" s="7"/>
    </row>
    <row r="132" spans="1:9" ht="45" x14ac:dyDescent="0.25">
      <c r="C132" s="104" t="s">
        <v>29</v>
      </c>
      <c r="D132" s="104" t="s">
        <v>30</v>
      </c>
      <c r="E132" s="105" t="s">
        <v>463</v>
      </c>
      <c r="F132" s="105" t="s">
        <v>464</v>
      </c>
      <c r="G132" s="105" t="s">
        <v>465</v>
      </c>
      <c r="H132" s="105" t="s">
        <v>466</v>
      </c>
      <c r="I132" s="105" t="s">
        <v>33</v>
      </c>
    </row>
    <row r="133" spans="1:9" x14ac:dyDescent="0.25">
      <c r="C133" s="106">
        <v>1</v>
      </c>
      <c r="D133" s="77" t="s">
        <v>3</v>
      </c>
      <c r="E133" s="77">
        <f>SUMIFS(Merged!$T$45:$T$265,Merged!$D$45:$D$265,Table!$D$3, Merged!$E$45:$E$265,Report_For_Each_Project!C126)</f>
        <v>0</v>
      </c>
      <c r="F133" s="77">
        <f>SUMIFS(Merged!$U$45:$U$265,Merged!$D$45:$D$265,Table!$D$3, Merged!$E$45:$E$265,Report_For_Each_Project!C126)</f>
        <v>0</v>
      </c>
      <c r="G133" s="77">
        <f>1/8*(SUMIFS(Merged!$V$45:$V$265,Merged!$D$45:$D$265,Table!$D$3, Merged!$E$45:$E$265,Report_For_Each_Project!C126))</f>
        <v>0</v>
      </c>
      <c r="H133" s="113">
        <f>1/8*(SUMIFS(Merged!$W$45:$W$265,Merged!$D$45:$D$265,Table!$D$3, Merged!$E$45:$E$265,Report_For_Each_Project!C126)-SUM(SUMIFS(Merged!$W$45:$W$265,Merged!$D$45:$D$265,Table!$D$3,Merged!$X$45:$X$265,{"Ongoing","N/A",""},Merged!$E$45:$E$265,Report_For_Each_Project!C126)))</f>
        <v>0</v>
      </c>
      <c r="I133" s="78" t="str">
        <f t="shared" ref="I133:I134" si="3">IFERROR(F133/E133,"N/A")</f>
        <v>N/A</v>
      </c>
    </row>
    <row r="134" spans="1:9" x14ac:dyDescent="0.25">
      <c r="C134" s="106">
        <v>2</v>
      </c>
      <c r="D134" s="77" t="s">
        <v>2</v>
      </c>
      <c r="E134" s="77">
        <f>SUMIFS(Merged!$T$45:$T$265,Merged!$D$45:$D$265,Table!$C$3, Merged!$E$45:$E$265,Report_For_Each_Project!C126)</f>
        <v>227.5</v>
      </c>
      <c r="F134" s="77">
        <f>SUMIFS(Merged!$U$45:$U$265,Merged!$D$45:$D$265,Table!$C$3, Merged!$E$45:$E$265,Report_For_Each_Project!C126)-SUM(SUMIFS(Merged!$U$45:$U$265,Merged!$D$45:$D$265,Table!$C$3,Merged!$X$45:$X$265,{"Ongoing","N/A",""},Merged!$E$45:$E$265,Report_For_Each_Project!C126))</f>
        <v>227.5</v>
      </c>
      <c r="G134" s="77">
        <f>1/8*(SUMIFS(Merged!$V$45:$V$265,Merged!$D$45:$D$265,Table!$C$3, Merged!$E$45:$E$265,Report_For_Each_Project!C126))</f>
        <v>1.75</v>
      </c>
      <c r="H134" s="113">
        <f>1/8*(SUMIFS(Merged!$W$45:$W$265,Merged!$D$45:$D$265,Table!$C$3, Merged!$E$45:$E$265,Report_For_Each_Project!C126)-SUM(SUMIFS(Merged!$W$45:$W$265,Merged!$D$45:$D$265,Table!$C$3,Merged!$X$45:$X$265,{"Ongoing","N/A",""},Merged!$E$45:$E$265,Report_For_Each_Project!C126)))</f>
        <v>1.5</v>
      </c>
      <c r="I134" s="78">
        <f t="shared" si="3"/>
        <v>1</v>
      </c>
    </row>
    <row r="136" spans="1:9" x14ac:dyDescent="0.25">
      <c r="C136" t="s">
        <v>468</v>
      </c>
    </row>
    <row r="137" spans="1:9" x14ac:dyDescent="0.25">
      <c r="D137" t="s">
        <v>491</v>
      </c>
    </row>
    <row r="139" spans="1:9" x14ac:dyDescent="0.25">
      <c r="A139" s="103">
        <f>A126+1</f>
        <v>11</v>
      </c>
      <c r="B139" s="103" t="s">
        <v>65</v>
      </c>
      <c r="C139" s="103" t="s">
        <v>876</v>
      </c>
    </row>
    <row r="140" spans="1:9" x14ac:dyDescent="0.25">
      <c r="B140" s="103" t="s">
        <v>461</v>
      </c>
      <c r="C140">
        <f>SUM(G146:G147)</f>
        <v>0.4</v>
      </c>
      <c r="D140" t="s">
        <v>462</v>
      </c>
    </row>
    <row r="141" spans="1:9" x14ac:dyDescent="0.25">
      <c r="B141" s="103" t="s">
        <v>474</v>
      </c>
      <c r="F141" s="7"/>
      <c r="G141" s="7"/>
      <c r="H141" s="7"/>
    </row>
    <row r="142" spans="1:9" x14ac:dyDescent="0.25">
      <c r="B142" s="103" t="s">
        <v>475</v>
      </c>
      <c r="F142" s="7"/>
      <c r="G142" s="7"/>
      <c r="H142" s="7"/>
    </row>
    <row r="143" spans="1:9" x14ac:dyDescent="0.25">
      <c r="B143" s="103" t="s">
        <v>18</v>
      </c>
      <c r="C143" t="s">
        <v>470</v>
      </c>
      <c r="F143" s="7"/>
      <c r="G143" s="7"/>
      <c r="H143" s="7"/>
    </row>
    <row r="145" spans="3:9" ht="45" x14ac:dyDescent="0.25">
      <c r="C145" s="104" t="s">
        <v>29</v>
      </c>
      <c r="D145" s="104" t="s">
        <v>30</v>
      </c>
      <c r="E145" s="105" t="s">
        <v>463</v>
      </c>
      <c r="F145" s="105" t="s">
        <v>464</v>
      </c>
      <c r="G145" s="105" t="s">
        <v>465</v>
      </c>
      <c r="H145" s="105" t="s">
        <v>466</v>
      </c>
      <c r="I145" s="105" t="s">
        <v>33</v>
      </c>
    </row>
    <row r="146" spans="3:9" x14ac:dyDescent="0.25">
      <c r="C146" s="106">
        <v>1</v>
      </c>
      <c r="D146" s="77" t="s">
        <v>3</v>
      </c>
      <c r="E146" s="77">
        <f>SUMIFS(Merged!$T$45:$T$265,Merged!$D$45:$D$265,Table!$D$3, Merged!$E$45:$E$265,Report_For_Each_Project!C139)</f>
        <v>0</v>
      </c>
      <c r="F146" s="77">
        <f>SUMIFS(Merged!$U$45:$U$265,Merged!$D$45:$D$265,Table!$D$3, Merged!$E$45:$E$265,Report_For_Each_Project!C139)</f>
        <v>0</v>
      </c>
      <c r="G146" s="77">
        <f>1/8*(SUMIFS(Merged!$V$45:$V$265,Merged!$D$45:$D$265,Table!$D$3, Merged!$E$45:$E$265,Report_For_Each_Project!C139))</f>
        <v>0</v>
      </c>
      <c r="H146" s="113">
        <f>1/8*(SUMIFS(Merged!$W$45:$W$265,Merged!$D$45:$D$265,Table!$D$3, Merged!$E$45:$E$265,Report_For_Each_Project!C139)-SUM(SUMIFS(Merged!$W$45:$W$265,Merged!$D$45:$D$265,Table!$D$3,Merged!$X$45:$X$265,{"Ongoing","N/A",""},Merged!$E$45:$E$265,Report_For_Each_Project!C139)))</f>
        <v>0</v>
      </c>
      <c r="I146" s="78" t="str">
        <f t="shared" ref="I146:I147" si="4">IFERROR(F146/E146,"N/A")</f>
        <v>N/A</v>
      </c>
    </row>
    <row r="147" spans="3:9" x14ac:dyDescent="0.25">
      <c r="C147" s="106">
        <v>2</v>
      </c>
      <c r="D147" s="77" t="s">
        <v>2</v>
      </c>
      <c r="E147" s="77">
        <f>SUMIFS(Merged!$T$45:$T$265,Merged!$D$45:$D$265,Table!$C$3, Merged!$E$45:$E$265,Report_For_Each_Project!C139)</f>
        <v>52</v>
      </c>
      <c r="F147" s="77">
        <f>SUMIFS(Merged!$U$45:$U$265,Merged!$D$45:$D$265,Table!$C$3, Merged!$E$45:$E$265,Report_For_Each_Project!C139)-SUM(SUMIFS(Merged!$U$45:$U$265,Merged!$D$45:$D$265,Table!$C$3,Merged!$X$45:$X$265,{"Ongoing","N/A",""},Merged!$E$45:$E$265,Report_For_Each_Project!C139))</f>
        <v>52</v>
      </c>
      <c r="G147" s="77">
        <f>1/8*(SUMIFS(Merged!$V$45:$V$265,Merged!$D$45:$D$265,Table!$C$3, Merged!$E$45:$E$265,Report_For_Each_Project!C139))</f>
        <v>0.4</v>
      </c>
      <c r="H147" s="113">
        <f>1/8*(SUMIFS(Merged!$W$45:$W$265,Merged!$D$45:$D$265,Table!$C$3, Merged!$E$45:$E$265,Report_For_Each_Project!C139)-SUM(SUMIFS(Merged!$W$45:$W$265,Merged!$D$45:$D$265,Table!$C$3,Merged!$X$45:$X$265,{"Ongoing","N/A",""},Merged!$E$45:$E$265,Report_For_Each_Project!C139)))</f>
        <v>0.4</v>
      </c>
      <c r="I147" s="78">
        <f t="shared" si="4"/>
        <v>1</v>
      </c>
    </row>
    <row r="149" spans="3:9" x14ac:dyDescent="0.25">
      <c r="C149" t="s">
        <v>468</v>
      </c>
    </row>
    <row r="150" spans="3:9" x14ac:dyDescent="0.25">
      <c r="D150" t="s">
        <v>491</v>
      </c>
    </row>
  </sheetData>
  <customSheetViews>
    <customSheetView guid="{250915DF-0B97-45D7-B29D-7EED4C89C1C1}" scale="85">
      <selection activeCell="F148" sqref="E148:F148"/>
      <pageMargins left="0.7" right="0.7" top="0.75" bottom="0.75" header="0.3" footer="0.3"/>
      <pageSetup orientation="portrait" r:id="rId1"/>
    </customSheetView>
    <customSheetView guid="{A2C66332-A809-458E-971B-FDB6D62C74C3}" topLeftCell="A22">
      <selection activeCell="C60" sqref="C60"/>
      <pageMargins left="0.7" right="0.7" top="0.75" bottom="0.75" header="0.3" footer="0.3"/>
    </customSheetView>
    <customSheetView guid="{7ECC2B8E-6A82-42F5-8AB0-4A51C54EA5EC}" scale="85" topLeftCell="A61">
      <selection activeCell="K36" sqref="K36"/>
      <pageMargins left="0.7" right="0.7" top="0.75" bottom="0.75" header="0.3" footer="0.3"/>
      <pageSetup orientation="portrait" r:id="rId2"/>
    </customSheetView>
    <customSheetView guid="{336B6883-2145-4B58-921E-CEC7185A847E}" topLeftCell="A10">
      <selection activeCell="L50" sqref="L50"/>
      <pageMargins left="0.7" right="0.7" top="0.75" bottom="0.75" header="0.3" footer="0.3"/>
    </customSheetView>
  </customSheetViews>
  <conditionalFormatting sqref="H9">
    <cfRule type="cellIs" dxfId="224" priority="86" operator="greaterThan">
      <formula>G9</formula>
    </cfRule>
  </conditionalFormatting>
  <conditionalFormatting sqref="H10">
    <cfRule type="cellIs" dxfId="223" priority="85" operator="greaterThan">
      <formula>G10</formula>
    </cfRule>
  </conditionalFormatting>
  <conditionalFormatting sqref="H36">
    <cfRule type="cellIs" dxfId="222" priority="38" operator="greaterThan">
      <formula>G36</formula>
    </cfRule>
  </conditionalFormatting>
  <conditionalFormatting sqref="H37">
    <cfRule type="cellIs" dxfId="221" priority="37" operator="greaterThan">
      <formula>G37</formula>
    </cfRule>
  </conditionalFormatting>
  <conditionalFormatting sqref="I9:I10">
    <cfRule type="cellIs" dxfId="220" priority="77" operator="equal">
      <formula>1</formula>
    </cfRule>
    <cfRule type="cellIs" dxfId="219" priority="78" operator="lessThan">
      <formula>1</formula>
    </cfRule>
  </conditionalFormatting>
  <conditionalFormatting sqref="I64:I65">
    <cfRule type="cellIs" dxfId="218" priority="27" operator="equal">
      <formula>1</formula>
    </cfRule>
    <cfRule type="cellIs" dxfId="217" priority="28" operator="lessThan">
      <formula>1</formula>
    </cfRule>
  </conditionalFormatting>
  <conditionalFormatting sqref="I49:I50">
    <cfRule type="cellIs" dxfId="216" priority="31" operator="equal">
      <formula>1</formula>
    </cfRule>
    <cfRule type="cellIs" dxfId="215" priority="32" operator="lessThan">
      <formula>1</formula>
    </cfRule>
  </conditionalFormatting>
  <conditionalFormatting sqref="I36:I37">
    <cfRule type="cellIs" dxfId="214" priority="35" operator="equal">
      <formula>1</formula>
    </cfRule>
    <cfRule type="cellIs" dxfId="213" priority="36" operator="lessThan">
      <formula>1</formula>
    </cfRule>
  </conditionalFormatting>
  <conditionalFormatting sqref="H23">
    <cfRule type="cellIs" dxfId="212" priority="42" operator="greaterThan">
      <formula>G23</formula>
    </cfRule>
  </conditionalFormatting>
  <conditionalFormatting sqref="H24">
    <cfRule type="cellIs" dxfId="211" priority="41" operator="greaterThan">
      <formula>G24</formula>
    </cfRule>
  </conditionalFormatting>
  <conditionalFormatting sqref="I23:I24">
    <cfRule type="cellIs" dxfId="210" priority="39" operator="equal">
      <formula>1</formula>
    </cfRule>
    <cfRule type="cellIs" dxfId="209" priority="40" operator="lessThan">
      <formula>1</formula>
    </cfRule>
  </conditionalFormatting>
  <conditionalFormatting sqref="H49">
    <cfRule type="cellIs" dxfId="208" priority="34" operator="greaterThan">
      <formula>G49</formula>
    </cfRule>
  </conditionalFormatting>
  <conditionalFormatting sqref="H50">
    <cfRule type="cellIs" dxfId="207" priority="33" operator="greaterThan">
      <formula>G50</formula>
    </cfRule>
  </conditionalFormatting>
  <conditionalFormatting sqref="H64">
    <cfRule type="cellIs" dxfId="206" priority="30" operator="greaterThan">
      <formula>G64</formula>
    </cfRule>
  </conditionalFormatting>
  <conditionalFormatting sqref="H65">
    <cfRule type="cellIs" dxfId="205" priority="29" operator="greaterThan">
      <formula>G65</formula>
    </cfRule>
  </conditionalFormatting>
  <conditionalFormatting sqref="H77">
    <cfRule type="cellIs" dxfId="204" priority="26" operator="greaterThan">
      <formula>G77</formula>
    </cfRule>
  </conditionalFormatting>
  <conditionalFormatting sqref="H78">
    <cfRule type="cellIs" dxfId="203" priority="25" operator="greaterThan">
      <formula>G78</formula>
    </cfRule>
  </conditionalFormatting>
  <conditionalFormatting sqref="I77:I78">
    <cfRule type="cellIs" dxfId="202" priority="23" operator="equal">
      <formula>1</formula>
    </cfRule>
    <cfRule type="cellIs" dxfId="201" priority="24" operator="lessThan">
      <formula>1</formula>
    </cfRule>
  </conditionalFormatting>
  <conditionalFormatting sqref="I90:I91">
    <cfRule type="cellIs" dxfId="200" priority="21" operator="equal">
      <formula>1</formula>
    </cfRule>
    <cfRule type="cellIs" dxfId="199" priority="22" operator="lessThan">
      <formula>1</formula>
    </cfRule>
  </conditionalFormatting>
  <conditionalFormatting sqref="I103:I104">
    <cfRule type="cellIs" dxfId="198" priority="19" operator="equal">
      <formula>1</formula>
    </cfRule>
    <cfRule type="cellIs" dxfId="197" priority="20" operator="lessThan">
      <formula>1</formula>
    </cfRule>
  </conditionalFormatting>
  <conditionalFormatting sqref="I119">
    <cfRule type="cellIs" dxfId="196" priority="17" operator="equal">
      <formula>1</formula>
    </cfRule>
    <cfRule type="cellIs" dxfId="195" priority="18" operator="lessThan">
      <formula>1</formula>
    </cfRule>
  </conditionalFormatting>
  <conditionalFormatting sqref="I120">
    <cfRule type="cellIs" dxfId="194" priority="15" operator="equal">
      <formula>1</formula>
    </cfRule>
    <cfRule type="cellIs" dxfId="193" priority="16" operator="lessThan">
      <formula>1</formula>
    </cfRule>
  </conditionalFormatting>
  <conditionalFormatting sqref="I133:I134">
    <cfRule type="cellIs" dxfId="192" priority="13" operator="equal">
      <formula>1</formula>
    </cfRule>
    <cfRule type="cellIs" dxfId="191" priority="14" operator="lessThan">
      <formula>1</formula>
    </cfRule>
  </conditionalFormatting>
  <conditionalFormatting sqref="I146:I147">
    <cfRule type="cellIs" dxfId="190" priority="11" operator="equal">
      <formula>1</formula>
    </cfRule>
    <cfRule type="cellIs" dxfId="189" priority="12" operator="lessThan">
      <formula>1</formula>
    </cfRule>
  </conditionalFormatting>
  <conditionalFormatting sqref="H90">
    <cfRule type="cellIs" dxfId="188" priority="10" operator="greaterThan">
      <formula>G90</formula>
    </cfRule>
  </conditionalFormatting>
  <conditionalFormatting sqref="H91">
    <cfRule type="cellIs" dxfId="187" priority="9" operator="greaterThan">
      <formula>G91</formula>
    </cfRule>
  </conditionalFormatting>
  <conditionalFormatting sqref="H103">
    <cfRule type="cellIs" dxfId="186" priority="8" operator="greaterThan">
      <formula>G103</formula>
    </cfRule>
  </conditionalFormatting>
  <conditionalFormatting sqref="H104">
    <cfRule type="cellIs" dxfId="185" priority="7" operator="greaterThan">
      <formula>G104</formula>
    </cfRule>
  </conditionalFormatting>
  <conditionalFormatting sqref="H119">
    <cfRule type="cellIs" dxfId="184" priority="6" operator="greaterThan">
      <formula>G119</formula>
    </cfRule>
  </conditionalFormatting>
  <conditionalFormatting sqref="H120">
    <cfRule type="cellIs" dxfId="183" priority="5" operator="greaterThan">
      <formula>G120</formula>
    </cfRule>
  </conditionalFormatting>
  <conditionalFormatting sqref="H133">
    <cfRule type="cellIs" dxfId="182" priority="4" operator="greaterThan">
      <formula>G133</formula>
    </cfRule>
  </conditionalFormatting>
  <conditionalFormatting sqref="H134">
    <cfRule type="cellIs" dxfId="181" priority="3" operator="greaterThan">
      <formula>G134</formula>
    </cfRule>
  </conditionalFormatting>
  <conditionalFormatting sqref="H146">
    <cfRule type="cellIs" dxfId="180" priority="2" operator="greaterThan">
      <formula>G146</formula>
    </cfRule>
  </conditionalFormatting>
  <conditionalFormatting sqref="H147">
    <cfRule type="cellIs" dxfId="179" priority="1" operator="greaterThan">
      <formula>G147</formula>
    </cfRule>
  </conditionalFormatting>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6"/>
  <sheetViews>
    <sheetView zoomScale="85" zoomScaleNormal="85" workbookViewId="0">
      <selection activeCell="H16" sqref="H16"/>
    </sheetView>
  </sheetViews>
  <sheetFormatPr defaultRowHeight="15" x14ac:dyDescent="0.25"/>
  <cols>
    <col min="1" max="1" width="10" bestFit="1" customWidth="1"/>
    <col min="2" max="2" width="12.140625" bestFit="1" customWidth="1"/>
    <col min="3" max="3" width="2" bestFit="1" customWidth="1"/>
    <col min="4" max="4" width="18.7109375" bestFit="1" customWidth="1"/>
    <col min="5" max="5" width="14.85546875" bestFit="1" customWidth="1"/>
    <col min="6" max="6" width="28.5703125" bestFit="1" customWidth="1"/>
    <col min="7" max="7" width="16.5703125" bestFit="1" customWidth="1"/>
    <col min="8" max="8" width="21" customWidth="1"/>
    <col min="11" max="11" width="8.42578125" customWidth="1"/>
  </cols>
  <sheetData>
    <row r="1" spans="1:8" x14ac:dyDescent="0.25">
      <c r="A1" s="1" t="s">
        <v>47</v>
      </c>
      <c r="B1" s="68">
        <v>43896</v>
      </c>
      <c r="D1" s="68">
        <f ca="1">TODAY()</f>
        <v>43931</v>
      </c>
      <c r="F1" s="7"/>
    </row>
    <row r="2" spans="1:8" x14ac:dyDescent="0.25">
      <c r="A2" s="1" t="s">
        <v>34</v>
      </c>
      <c r="B2" s="8">
        <f ca="1">SUM(INT((WEEKDAY(B1-{2,3,4,5,6}) +D1-B1)/7))</f>
        <v>26</v>
      </c>
    </row>
    <row r="3" spans="1:8" x14ac:dyDescent="0.25">
      <c r="A3" s="1" t="s">
        <v>758</v>
      </c>
      <c r="B3" s="8">
        <v>1</v>
      </c>
    </row>
    <row r="4" spans="1:8" x14ac:dyDescent="0.25">
      <c r="A4" s="1" t="s">
        <v>289</v>
      </c>
      <c r="B4">
        <f ca="1">IF(TODAY()&lt;D1,SUM(INT((WEEKDAY(B1-{2,3,4,5,6})+TODAY()-B1)/7)),SUM(INT((WEEKDAY(B1-{2,3,4,5,6})+D1-B1)/7)))</f>
        <v>26</v>
      </c>
    </row>
    <row r="5" spans="1:8" x14ac:dyDescent="0.25">
      <c r="A5" s="1"/>
    </row>
    <row r="6" spans="1:8" x14ac:dyDescent="0.25">
      <c r="B6" s="1" t="s">
        <v>38</v>
      </c>
    </row>
    <row r="7" spans="1:8" ht="45" x14ac:dyDescent="0.25">
      <c r="C7" s="11" t="s">
        <v>29</v>
      </c>
      <c r="D7" s="11" t="s">
        <v>30</v>
      </c>
      <c r="E7" s="11" t="s">
        <v>31</v>
      </c>
      <c r="F7" s="11" t="s">
        <v>32</v>
      </c>
      <c r="G7" s="12" t="s">
        <v>229</v>
      </c>
      <c r="H7" s="12" t="s">
        <v>33</v>
      </c>
    </row>
    <row r="8" spans="1:8" x14ac:dyDescent="0.25">
      <c r="C8" s="9">
        <v>1</v>
      </c>
      <c r="D8" s="10" t="s">
        <v>3</v>
      </c>
      <c r="E8" s="92">
        <f>Merged!D8</f>
        <v>7692.75</v>
      </c>
      <c r="F8" s="92">
        <f>Merged!E8</f>
        <v>7692.75</v>
      </c>
      <c r="G8" s="92">
        <f>E8/Table!$D$4</f>
        <v>17.094999999999999</v>
      </c>
      <c r="H8" s="78">
        <f>IFERROR(F8/E8,"N/A")</f>
        <v>1</v>
      </c>
    </row>
    <row r="9" spans="1:8" x14ac:dyDescent="0.25">
      <c r="C9" s="9">
        <v>2</v>
      </c>
      <c r="D9" s="10" t="s">
        <v>2</v>
      </c>
      <c r="E9" s="92">
        <f>Merged!D17</f>
        <v>7532.308</v>
      </c>
      <c r="F9" s="92">
        <f>Merged!E17</f>
        <v>7532.308</v>
      </c>
      <c r="G9" s="92">
        <f>E9/Table!$C$4</f>
        <v>57.940830769230772</v>
      </c>
      <c r="H9" s="78">
        <f>IFERROR(F9/E9,"N/A")</f>
        <v>1</v>
      </c>
    </row>
    <row r="10" spans="1:8" x14ac:dyDescent="0.25">
      <c r="C10" s="65"/>
      <c r="D10" s="45"/>
      <c r="E10" s="45"/>
      <c r="F10" s="45"/>
      <c r="G10" s="66"/>
    </row>
    <row r="11" spans="1:8" x14ac:dyDescent="0.25">
      <c r="B11" s="1" t="s">
        <v>39</v>
      </c>
    </row>
    <row r="12" spans="1:8" ht="30" x14ac:dyDescent="0.25">
      <c r="C12" s="70" t="s">
        <v>29</v>
      </c>
      <c r="D12" s="70" t="s">
        <v>35</v>
      </c>
      <c r="E12" s="12" t="s">
        <v>888</v>
      </c>
      <c r="F12" s="12" t="s">
        <v>889</v>
      </c>
      <c r="G12" s="12" t="s">
        <v>498</v>
      </c>
      <c r="H12" s="12" t="s">
        <v>499</v>
      </c>
    </row>
    <row r="13" spans="1:8" x14ac:dyDescent="0.25">
      <c r="C13" s="6">
        <v>1</v>
      </c>
      <c r="D13" s="6" t="s">
        <v>315</v>
      </c>
      <c r="E13" s="92">
        <f>Merged!D4</f>
        <v>1921.5</v>
      </c>
      <c r="F13" s="92">
        <f>Merged!E13</f>
        <v>2008.425999999999</v>
      </c>
      <c r="G13" s="92">
        <f>E13/Table!$D$4</f>
        <v>4.2699999999999996</v>
      </c>
      <c r="H13" s="92">
        <f>F13/Table!$C$4</f>
        <v>15.449430769230762</v>
      </c>
    </row>
    <row r="14" spans="1:8" x14ac:dyDescent="0.25">
      <c r="C14" s="6">
        <v>2</v>
      </c>
      <c r="D14" s="6" t="s">
        <v>316</v>
      </c>
      <c r="E14" s="92">
        <f>Merged!D5</f>
        <v>1811.25</v>
      </c>
      <c r="F14" s="98">
        <f>Merged!E14</f>
        <v>2207.7339999999995</v>
      </c>
      <c r="G14" s="113">
        <f>E14/Table!$D$4</f>
        <v>4.0250000000000004</v>
      </c>
      <c r="H14" s="113">
        <f>F14/Table!$C$4</f>
        <v>16.982569230769226</v>
      </c>
    </row>
    <row r="15" spans="1:8" x14ac:dyDescent="0.25">
      <c r="C15" s="43">
        <v>3</v>
      </c>
      <c r="D15" s="43" t="s">
        <v>317</v>
      </c>
      <c r="E15" s="92">
        <f>Merged!D6</f>
        <v>2277</v>
      </c>
      <c r="F15" s="98">
        <f>Merged!E15</f>
        <v>1269.6160000000002</v>
      </c>
      <c r="G15" s="113">
        <f>E15/Table!$D$4</f>
        <v>5.0599999999999996</v>
      </c>
      <c r="H15" s="113">
        <f>F15/Table!$C$4</f>
        <v>9.7662769230769246</v>
      </c>
    </row>
    <row r="16" spans="1:8" x14ac:dyDescent="0.25">
      <c r="C16" s="43">
        <v>4</v>
      </c>
      <c r="D16" s="43" t="s">
        <v>318</v>
      </c>
      <c r="E16" s="92">
        <f>Merged!D7</f>
        <v>1683</v>
      </c>
      <c r="F16" s="98">
        <f>Merged!E16</f>
        <v>2046.5319999999995</v>
      </c>
      <c r="G16" s="113">
        <f>E16/Table!$D$4</f>
        <v>3.74</v>
      </c>
      <c r="H16" s="113">
        <f>F16/Table!$C$4</f>
        <v>15.742553846153841</v>
      </c>
    </row>
    <row r="17" spans="2:6" x14ac:dyDescent="0.25">
      <c r="C17" s="44"/>
      <c r="D17" s="44"/>
      <c r="E17" s="45"/>
      <c r="F17" s="45"/>
    </row>
    <row r="18" spans="2:6" x14ac:dyDescent="0.25">
      <c r="B18" s="1" t="s">
        <v>40</v>
      </c>
    </row>
    <row r="19" spans="2:6" ht="30" customHeight="1" x14ac:dyDescent="0.25">
      <c r="C19" s="11" t="s">
        <v>29</v>
      </c>
      <c r="D19" s="118" t="s">
        <v>41</v>
      </c>
      <c r="E19" s="119"/>
      <c r="F19" s="120"/>
    </row>
    <row r="20" spans="2:6" x14ac:dyDescent="0.25">
      <c r="C20" s="6">
        <v>1</v>
      </c>
      <c r="D20" s="74" t="s">
        <v>763</v>
      </c>
      <c r="E20" s="75"/>
      <c r="F20" s="76"/>
    </row>
    <row r="21" spans="2:6" x14ac:dyDescent="0.25">
      <c r="C21" s="6">
        <v>2</v>
      </c>
      <c r="D21" s="74" t="s">
        <v>70</v>
      </c>
      <c r="E21" s="75"/>
      <c r="F21" s="76"/>
    </row>
    <row r="22" spans="2:6" x14ac:dyDescent="0.25">
      <c r="C22" s="43">
        <v>3</v>
      </c>
      <c r="D22" s="74" t="s">
        <v>70</v>
      </c>
      <c r="E22" s="75"/>
      <c r="F22" s="76"/>
    </row>
    <row r="23" spans="2:6" x14ac:dyDescent="0.25">
      <c r="C23" s="43">
        <v>4</v>
      </c>
      <c r="D23" s="74" t="s">
        <v>70</v>
      </c>
      <c r="E23" s="75"/>
      <c r="F23" s="76"/>
    </row>
    <row r="25" spans="2:6" x14ac:dyDescent="0.25">
      <c r="B25" s="1" t="s">
        <v>42</v>
      </c>
    </row>
    <row r="26" spans="2:6" x14ac:dyDescent="0.25">
      <c r="C26" s="72" t="s">
        <v>29</v>
      </c>
      <c r="D26" s="72" t="s">
        <v>35</v>
      </c>
      <c r="E26" s="12" t="s">
        <v>495</v>
      </c>
      <c r="F26" s="12" t="s">
        <v>496</v>
      </c>
    </row>
    <row r="27" spans="2:6" x14ac:dyDescent="0.25">
      <c r="C27" s="43">
        <v>1</v>
      </c>
      <c r="D27" s="43" t="s">
        <v>315</v>
      </c>
      <c r="E27" s="73">
        <v>0</v>
      </c>
      <c r="F27" s="71">
        <v>2</v>
      </c>
    </row>
    <row r="28" spans="2:6" x14ac:dyDescent="0.25">
      <c r="C28" s="43">
        <v>2</v>
      </c>
      <c r="D28" s="43" t="s">
        <v>316</v>
      </c>
      <c r="E28" s="73">
        <v>0</v>
      </c>
      <c r="F28" s="71">
        <v>1</v>
      </c>
    </row>
    <row r="29" spans="2:6" x14ac:dyDescent="0.25">
      <c r="C29" s="43">
        <v>3</v>
      </c>
      <c r="D29" s="43" t="s">
        <v>317</v>
      </c>
      <c r="E29" s="71">
        <v>0</v>
      </c>
      <c r="F29" s="73">
        <v>1</v>
      </c>
    </row>
    <row r="30" spans="2:6" x14ac:dyDescent="0.25">
      <c r="C30" s="43">
        <v>4</v>
      </c>
      <c r="D30" s="43" t="s">
        <v>318</v>
      </c>
      <c r="E30" s="71">
        <v>0</v>
      </c>
      <c r="F30" s="71">
        <v>0</v>
      </c>
    </row>
    <row r="32" spans="2:6" x14ac:dyDescent="0.25">
      <c r="B32" s="1" t="s">
        <v>43</v>
      </c>
    </row>
    <row r="33" spans="2:6" x14ac:dyDescent="0.25">
      <c r="C33" s="11" t="s">
        <v>29</v>
      </c>
      <c r="D33" s="11" t="s">
        <v>35</v>
      </c>
      <c r="E33" s="12" t="s">
        <v>45</v>
      </c>
      <c r="F33" s="12" t="s">
        <v>46</v>
      </c>
    </row>
    <row r="34" spans="2:6" x14ac:dyDescent="0.25">
      <c r="C34" s="43">
        <v>1</v>
      </c>
      <c r="D34" s="43" t="s">
        <v>315</v>
      </c>
      <c r="E34" s="46" t="s">
        <v>70</v>
      </c>
      <c r="F34" s="46" t="s">
        <v>70</v>
      </c>
    </row>
    <row r="35" spans="2:6" x14ac:dyDescent="0.25">
      <c r="C35" s="43">
        <v>2</v>
      </c>
      <c r="D35" s="43" t="s">
        <v>316</v>
      </c>
      <c r="E35" s="46" t="s">
        <v>70</v>
      </c>
      <c r="F35" s="46" t="s">
        <v>70</v>
      </c>
    </row>
    <row r="36" spans="2:6" x14ac:dyDescent="0.25">
      <c r="C36" s="43">
        <v>3</v>
      </c>
      <c r="D36" s="43" t="s">
        <v>317</v>
      </c>
      <c r="E36" s="91">
        <v>10</v>
      </c>
      <c r="F36" s="73" t="s">
        <v>759</v>
      </c>
    </row>
    <row r="37" spans="2:6" x14ac:dyDescent="0.25">
      <c r="C37" s="43">
        <v>4</v>
      </c>
      <c r="D37" s="43" t="s">
        <v>318</v>
      </c>
      <c r="E37" s="46" t="s">
        <v>70</v>
      </c>
      <c r="F37" s="46" t="s">
        <v>70</v>
      </c>
    </row>
    <row r="38" spans="2:6" x14ac:dyDescent="0.25">
      <c r="C38" s="44"/>
      <c r="D38" s="44"/>
      <c r="E38" s="45"/>
      <c r="F38" s="44"/>
    </row>
    <row r="40" spans="2:6" x14ac:dyDescent="0.25">
      <c r="B40" s="1" t="s">
        <v>48</v>
      </c>
    </row>
    <row r="41" spans="2:6" x14ac:dyDescent="0.25">
      <c r="C41" s="1" t="s">
        <v>50</v>
      </c>
    </row>
    <row r="42" spans="2:6" x14ac:dyDescent="0.25">
      <c r="D42" t="s">
        <v>49</v>
      </c>
    </row>
    <row r="43" spans="2:6" x14ac:dyDescent="0.25">
      <c r="D43" t="s">
        <v>217</v>
      </c>
    </row>
    <row r="44" spans="2:6" x14ac:dyDescent="0.25">
      <c r="C44" s="1" t="s">
        <v>51</v>
      </c>
    </row>
    <row r="45" spans="2:6" x14ac:dyDescent="0.25">
      <c r="D45" t="s">
        <v>52</v>
      </c>
    </row>
    <row r="46" spans="2:6" x14ac:dyDescent="0.25">
      <c r="D46" t="s">
        <v>53</v>
      </c>
    </row>
  </sheetData>
  <customSheetViews>
    <customSheetView guid="{250915DF-0B97-45D7-B29D-7EED4C89C1C1}" scale="85">
      <selection activeCell="F26" sqref="F26"/>
      <pageMargins left="0.7" right="0.7" top="0.75" bottom="0.75" header="0.3" footer="0.3"/>
      <pageSetup orientation="portrait" r:id="rId1"/>
    </customSheetView>
    <customSheetView guid="{A2C66332-A809-458E-971B-FDB6D62C74C3}">
      <selection activeCell="E35" sqref="E35"/>
      <pageMargins left="0.7" right="0.7" top="0.75" bottom="0.75" header="0.3" footer="0.3"/>
    </customSheetView>
    <customSheetView guid="{4E06BDBF-2CED-473B-850B-2A6C7311FF41}" topLeftCell="A16">
      <selection activeCell="D6" sqref="D6"/>
      <pageMargins left="0.7" right="0.7" top="0.75" bottom="0.75" header="0.3" footer="0.3"/>
    </customSheetView>
    <customSheetView guid="{72A6EB0A-84D5-4B8A-AC51-54CCD061630B}">
      <selection activeCell="H33" sqref="H33"/>
      <pageMargins left="0.7" right="0.7" top="0.75" bottom="0.75" header="0.3" footer="0.3"/>
    </customSheetView>
    <customSheetView guid="{7E0EA425-A420-4443-B9E0-CDF0AA9E5D09}" topLeftCell="A16">
      <selection activeCell="D6" sqref="D6"/>
      <pageMargins left="0.7" right="0.7" top="0.75" bottom="0.75" header="0.3" footer="0.3"/>
    </customSheetView>
    <customSheetView guid="{60D2C030-4E31-4E07-8E1C-44D2EE84B177}" topLeftCell="A16">
      <selection activeCell="D6" sqref="D6"/>
      <pageMargins left="0.7" right="0.7" top="0.75" bottom="0.75" header="0.3" footer="0.3"/>
    </customSheetView>
    <customSheetView guid="{7ECC2B8E-6A82-42F5-8AB0-4A51C54EA5EC}">
      <selection activeCell="H9" sqref="H9"/>
      <pageMargins left="0.7" right="0.7" top="0.75" bottom="0.75" header="0.3" footer="0.3"/>
    </customSheetView>
    <customSheetView guid="{336B6883-2145-4B58-921E-CEC7185A847E}">
      <selection activeCell="H33" sqref="H33"/>
      <pageMargins left="0.7" right="0.7" top="0.75" bottom="0.75" header="0.3" footer="0.3"/>
    </customSheetView>
  </customSheetViews>
  <conditionalFormatting sqref="H8:H9">
    <cfRule type="cellIs" dxfId="178" priority="1" operator="equal">
      <formula>1</formula>
    </cfRule>
    <cfRule type="cellIs" dxfId="177" priority="2" operator="lessThan">
      <formula>1</formula>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46"/>
  <sheetViews>
    <sheetView zoomScale="85" zoomScaleNormal="85" workbookViewId="0">
      <selection activeCell="R10" sqref="R10"/>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8" max="8" width="23" customWidth="1"/>
    <col min="11" max="11" width="2" bestFit="1" customWidth="1"/>
    <col min="12" max="12" width="18.5703125" bestFit="1" customWidth="1"/>
    <col min="13" max="13" width="14.85546875" bestFit="1" customWidth="1"/>
    <col min="14" max="14" width="11.42578125" bestFit="1" customWidth="1"/>
    <col min="15" max="15" width="11.5703125" bestFit="1" customWidth="1"/>
    <col min="16" max="16" width="16.42578125" bestFit="1" customWidth="1"/>
    <col min="17" max="17" width="17.42578125" bestFit="1" customWidth="1"/>
    <col min="18" max="18" width="17.42578125" customWidth="1"/>
    <col min="19" max="19" width="3.140625" customWidth="1"/>
    <col min="20" max="20" width="18.140625" bestFit="1" customWidth="1"/>
    <col min="24" max="24" width="21.5703125" bestFit="1" customWidth="1"/>
  </cols>
  <sheetData>
    <row r="1" spans="1:24" x14ac:dyDescent="0.25">
      <c r="A1" s="1" t="s">
        <v>47</v>
      </c>
      <c r="B1" s="68">
        <v>43896</v>
      </c>
      <c r="D1" s="68">
        <f ca="1">TODAY()</f>
        <v>43931</v>
      </c>
      <c r="F1" s="7"/>
    </row>
    <row r="2" spans="1:24" x14ac:dyDescent="0.25">
      <c r="A2" s="1" t="s">
        <v>34</v>
      </c>
      <c r="B2" s="8">
        <f ca="1">SUM(INT((WEEKDAY(B1-{2,3,4,5,6}) +D1-B1)/7))</f>
        <v>26</v>
      </c>
    </row>
    <row r="3" spans="1:24" x14ac:dyDescent="0.25">
      <c r="A3" s="1" t="s">
        <v>758</v>
      </c>
      <c r="B3" s="8">
        <v>1</v>
      </c>
    </row>
    <row r="4" spans="1:24" x14ac:dyDescent="0.25">
      <c r="A4" s="1" t="s">
        <v>289</v>
      </c>
      <c r="B4">
        <f ca="1">IF(TODAY()&lt;D1,SUM(INT((WEEKDAY(B1-{2,3,4,5,6})+TODAY()-B1)/7)),SUM(INT((WEEKDAY(B1-{2,3,4,5,6})+D1-B1)/7)))</f>
        <v>26</v>
      </c>
    </row>
    <row r="5" spans="1:24" x14ac:dyDescent="0.25">
      <c r="A5" s="1"/>
    </row>
    <row r="6" spans="1:24" x14ac:dyDescent="0.25">
      <c r="B6" s="1" t="s">
        <v>38</v>
      </c>
      <c r="K6" s="1" t="s">
        <v>883</v>
      </c>
      <c r="S6" s="1" t="s">
        <v>884</v>
      </c>
    </row>
    <row r="7" spans="1:24" ht="45" x14ac:dyDescent="0.25">
      <c r="C7" s="111" t="s">
        <v>29</v>
      </c>
      <c r="D7" s="111" t="s">
        <v>30</v>
      </c>
      <c r="E7" s="111" t="s">
        <v>31</v>
      </c>
      <c r="F7" s="111" t="s">
        <v>32</v>
      </c>
      <c r="G7" s="12" t="s">
        <v>229</v>
      </c>
      <c r="H7" s="12" t="s">
        <v>33</v>
      </c>
      <c r="K7" s="111" t="s">
        <v>29</v>
      </c>
      <c r="L7" s="111" t="s">
        <v>30</v>
      </c>
      <c r="M7" s="111" t="s">
        <v>31</v>
      </c>
      <c r="N7" s="111" t="s">
        <v>32</v>
      </c>
      <c r="O7" s="12" t="s">
        <v>229</v>
      </c>
      <c r="P7" s="12" t="s">
        <v>33</v>
      </c>
      <c r="S7" s="111" t="s">
        <v>29</v>
      </c>
      <c r="T7" s="111" t="s">
        <v>30</v>
      </c>
      <c r="U7" s="111" t="s">
        <v>31</v>
      </c>
      <c r="V7" s="111" t="s">
        <v>32</v>
      </c>
      <c r="W7" s="12" t="s">
        <v>229</v>
      </c>
      <c r="X7" s="12" t="s">
        <v>33</v>
      </c>
    </row>
    <row r="8" spans="1:24" x14ac:dyDescent="0.25">
      <c r="C8" s="113">
        <v>1</v>
      </c>
      <c r="D8" s="113" t="s">
        <v>3</v>
      </c>
      <c r="E8" s="113">
        <f>SUM(Data_20200305_20200320!D8,Data_20200321_20200420!D8)</f>
        <v>7692.75</v>
      </c>
      <c r="F8" s="113">
        <f>SUM(Data_20200305_20200320!E8,Data_20200321_20200420!E8)</f>
        <v>7692.75</v>
      </c>
      <c r="G8" s="113">
        <f>E8/Table!$D$4</f>
        <v>17.094999999999999</v>
      </c>
      <c r="H8" s="78">
        <f>IFERROR(F8/E8,"N/A")</f>
        <v>1</v>
      </c>
      <c r="K8" s="113">
        <v>1</v>
      </c>
      <c r="L8" s="113" t="s">
        <v>3</v>
      </c>
      <c r="M8" s="113">
        <f>SUM(Data_20200321_20200420!D8)</f>
        <v>6972.75</v>
      </c>
      <c r="N8" s="113">
        <f>SUM(Data_20200321_20200420!E8)</f>
        <v>6972.75</v>
      </c>
      <c r="O8" s="113">
        <f>M8/Table!$D$4</f>
        <v>15.494999999999999</v>
      </c>
      <c r="P8" s="78">
        <f>IFERROR(N8/M8,"N/A")</f>
        <v>1</v>
      </c>
      <c r="S8" s="113">
        <v>1</v>
      </c>
      <c r="T8" s="113" t="s">
        <v>3</v>
      </c>
      <c r="U8" s="113">
        <f>SUM(Data_20200305_20200320!D8)</f>
        <v>720</v>
      </c>
      <c r="V8" s="113">
        <f>SUM(Data_20200305_20200320!E8)</f>
        <v>720</v>
      </c>
      <c r="W8" s="113">
        <f>U8/Table!$D$4</f>
        <v>1.6</v>
      </c>
      <c r="X8" s="78">
        <f>IFERROR(V8/U8,"N/A")</f>
        <v>1</v>
      </c>
    </row>
    <row r="9" spans="1:24" x14ac:dyDescent="0.25">
      <c r="C9" s="113">
        <v>2</v>
      </c>
      <c r="D9" s="113" t="s">
        <v>2</v>
      </c>
      <c r="E9" s="113">
        <f>SUM(Data_20200305_20200320!D17,Data_20200321_20200420!D17)</f>
        <v>7532.3080000000009</v>
      </c>
      <c r="F9" s="113">
        <f>SUM(Data_20200305_20200320!E17,Data_20200321_20200420!E17)</f>
        <v>7532.3080000000009</v>
      </c>
      <c r="G9" s="113">
        <f>E9/Table!$C$4</f>
        <v>57.940830769230779</v>
      </c>
      <c r="H9" s="78">
        <f>IFERROR(F9/E9,"N/A")</f>
        <v>1</v>
      </c>
      <c r="K9" s="113">
        <v>2</v>
      </c>
      <c r="L9" s="113" t="s">
        <v>2</v>
      </c>
      <c r="M9" s="113">
        <f>SUM(Data_20200321_20200420!D17)</f>
        <v>4150.8360000000002</v>
      </c>
      <c r="N9" s="113">
        <f>SUM(Data_20200321_20200420!E17)</f>
        <v>4150.8360000000002</v>
      </c>
      <c r="O9" s="113">
        <f>M9/Table!$C$4</f>
        <v>31.929507692307695</v>
      </c>
      <c r="P9" s="78">
        <f>IFERROR(N9/M9,"N/A")</f>
        <v>1</v>
      </c>
      <c r="S9" s="113">
        <v>2</v>
      </c>
      <c r="T9" s="113" t="s">
        <v>2</v>
      </c>
      <c r="U9" s="113">
        <f>SUM(Data_20200305_20200320!D17)</f>
        <v>3381.4720000000002</v>
      </c>
      <c r="V9" s="113">
        <f>SUM(Data_20200305_20200320!E17)</f>
        <v>3381.4720000000002</v>
      </c>
      <c r="W9" s="113">
        <f>U9/Table!$C$4</f>
        <v>26.011323076923077</v>
      </c>
      <c r="X9" s="78">
        <f>IFERROR(V9/U9,"N/A")</f>
        <v>1</v>
      </c>
    </row>
    <row r="10" spans="1:24" x14ac:dyDescent="0.25">
      <c r="C10" s="65"/>
      <c r="D10" s="45"/>
      <c r="E10" s="45"/>
      <c r="F10" s="45"/>
      <c r="G10" s="66"/>
    </row>
    <row r="11" spans="1:24" x14ac:dyDescent="0.25">
      <c r="B11" s="1" t="s">
        <v>39</v>
      </c>
      <c r="L11" s="1"/>
      <c r="S11" s="1"/>
    </row>
    <row r="12" spans="1:24" ht="45" x14ac:dyDescent="0.25">
      <c r="C12" s="111" t="s">
        <v>29</v>
      </c>
      <c r="D12" s="111" t="s">
        <v>35</v>
      </c>
      <c r="E12" s="12" t="s">
        <v>36</v>
      </c>
      <c r="F12" s="12" t="s">
        <v>37</v>
      </c>
      <c r="G12" s="12" t="s">
        <v>498</v>
      </c>
      <c r="H12" s="12" t="s">
        <v>499</v>
      </c>
      <c r="K12" s="111" t="s">
        <v>29</v>
      </c>
      <c r="L12" s="111" t="s">
        <v>35</v>
      </c>
      <c r="M12" s="12" t="s">
        <v>36</v>
      </c>
      <c r="N12" s="12" t="s">
        <v>37</v>
      </c>
      <c r="O12" s="12" t="s">
        <v>498</v>
      </c>
      <c r="P12" s="12" t="s">
        <v>499</v>
      </c>
      <c r="S12" s="111" t="s">
        <v>29</v>
      </c>
      <c r="T12" s="111" t="s">
        <v>35</v>
      </c>
      <c r="U12" s="12" t="s">
        <v>36</v>
      </c>
      <c r="V12" s="12" t="s">
        <v>37</v>
      </c>
      <c r="W12" s="12" t="s">
        <v>498</v>
      </c>
      <c r="X12" s="12" t="s">
        <v>499</v>
      </c>
    </row>
    <row r="13" spans="1:24" x14ac:dyDescent="0.25">
      <c r="C13" s="113">
        <v>1</v>
      </c>
      <c r="D13" s="43" t="s">
        <v>315</v>
      </c>
      <c r="E13" s="113">
        <f>SUM(M13,U13)</f>
        <v>1921.5</v>
      </c>
      <c r="F13" s="113">
        <f>SUM(N13,V13)</f>
        <v>2008.4260000000004</v>
      </c>
      <c r="G13" s="113">
        <f>E13/Table!$D$4</f>
        <v>4.2699999999999996</v>
      </c>
      <c r="H13" s="113">
        <f>F13/Table!$C$4</f>
        <v>15.449430769230773</v>
      </c>
      <c r="K13" s="43">
        <v>1</v>
      </c>
      <c r="L13" s="43" t="s">
        <v>315</v>
      </c>
      <c r="M13" s="113">
        <f>VLOOKUP(SUBSTITUTE(SUBSTITUTE(SUBSTITUTE(SUBSTITUTE(L13,"Nguyen Trung Hieu","hieu.nguyen-trung"),"Nguyen Tai Hau","hau.nguyen-tai"),"Nguyen Duy Bang","bang.nguyen-duy"),"Luu Cong Dac","dac.luu-cong"),Data_20200305_20200320!$C$4:$H$7,2,0)</f>
        <v>225</v>
      </c>
      <c r="N13" s="113">
        <f>VLOOKUP(SUBSTITUTE(SUBSTITUTE(SUBSTITUTE(SUBSTITUTE(L13,"Nguyen Trung Hieu","hieu.nguyen-trung"),"Nguyen Tai Hau","hau.nguyen-tai"),"Nguyen Duy Bang","bang.nguyen-duy"),"Luu Cong Dac","dac.luu-cong"),Data_20200305_20200320!$C$13:$H$16,2,0)</f>
        <v>1036.1840000000002</v>
      </c>
      <c r="O13" s="113">
        <f>M13/Table!$D$4</f>
        <v>0.5</v>
      </c>
      <c r="P13" s="113">
        <f>N13/Table!$C$4</f>
        <v>7.9706461538461557</v>
      </c>
      <c r="S13" s="43">
        <v>1</v>
      </c>
      <c r="T13" s="43" t="s">
        <v>315</v>
      </c>
      <c r="U13" s="113">
        <f>VLOOKUP(SUBSTITUTE(SUBSTITUTE(SUBSTITUTE(SUBSTITUTE(T13,"Nguyen Trung Hieu","hieu.nguyen-trung"),"Nguyen Tai Hau","hau.nguyen-tai"),"Nguyen Duy Bang","bang.nguyen-duy"),"Luu Cong Dac","dac.luu-cong"),Data_20200321_20200420!$C$4:$H$7,2,0)</f>
        <v>1696.5</v>
      </c>
      <c r="V13" s="113">
        <f>VLOOKUP(SUBSTITUTE(SUBSTITUTE(SUBSTITUTE(SUBSTITUTE(T13,"Nguyen Trung Hieu","hieu.nguyen-trung"),"Nguyen Tai Hau","hau.nguyen-tai"),"Nguyen Duy Bang","bang.nguyen-duy"),"Luu Cong Dac","dac.luu-cong"),Data_20200321_20200420!$C$13:$H$16,2,0)</f>
        <v>972.24200000000008</v>
      </c>
      <c r="W13" s="113">
        <f>U13/Table!$D$4</f>
        <v>3.77</v>
      </c>
      <c r="X13" s="113">
        <f>V13/Table!$C$4</f>
        <v>7.4787846153846163</v>
      </c>
    </row>
    <row r="14" spans="1:24" x14ac:dyDescent="0.25">
      <c r="C14" s="113">
        <v>2</v>
      </c>
      <c r="D14" s="43" t="s">
        <v>316</v>
      </c>
      <c r="E14" s="113">
        <f t="shared" ref="E14:E16" si="0">SUM(M14,U14)</f>
        <v>1811.25</v>
      </c>
      <c r="F14" s="113">
        <f t="shared" ref="F14:F16" si="1">SUM(N14,V14)</f>
        <v>2207.7340000000004</v>
      </c>
      <c r="G14" s="113">
        <f>E14/Table!$D$4</f>
        <v>4.0250000000000004</v>
      </c>
      <c r="H14" s="113">
        <f>F14/Table!$C$4</f>
        <v>16.982569230769233</v>
      </c>
      <c r="K14" s="43">
        <v>2</v>
      </c>
      <c r="L14" s="43" t="s">
        <v>316</v>
      </c>
      <c r="M14" s="113">
        <f>VLOOKUP(SUBSTITUTE(SUBSTITUTE(SUBSTITUTE(SUBSTITUTE(L14,"Nguyen Trung Hieu","hieu.nguyen-trung"),"Nguyen Tai Hau","hau.nguyen-tai"),"Nguyen Duy Bang","bang.nguyen-duy"),"Luu Cong Dac","dac.luu-cong"),Data_20200305_20200320!$C$4:$H$7,2,0)</f>
        <v>0</v>
      </c>
      <c r="N14" s="113">
        <f>VLOOKUP(SUBSTITUTE(SUBSTITUTE(SUBSTITUTE(SUBSTITUTE(L14,"Nguyen Trung Hieu","hieu.nguyen-trung"),"Nguyen Tai Hau","hau.nguyen-tai"),"Nguyen Duy Bang","bang.nguyen-duy"),"Luu Cong Dac","dac.luu-cong"),Data_20200305_20200320!$C$13:$H$16,2,0)</f>
        <v>1085.0970000000002</v>
      </c>
      <c r="O14" s="113">
        <f>M14/Table!$D$4</f>
        <v>0</v>
      </c>
      <c r="P14" s="113">
        <f>N14/Table!$C$4</f>
        <v>8.3469000000000015</v>
      </c>
      <c r="S14" s="43">
        <v>2</v>
      </c>
      <c r="T14" s="43" t="s">
        <v>316</v>
      </c>
      <c r="U14" s="113">
        <f>VLOOKUP(SUBSTITUTE(SUBSTITUTE(SUBSTITUTE(SUBSTITUTE(T14,"Nguyen Trung Hieu","hieu.nguyen-trung"),"Nguyen Tai Hau","hau.nguyen-tai"),"Nguyen Duy Bang","bang.nguyen-duy"),"Luu Cong Dac","dac.luu-cong"),Data_20200321_20200420!$C$4:$H$7,2,0)</f>
        <v>1811.25</v>
      </c>
      <c r="V14" s="113">
        <f>VLOOKUP(SUBSTITUTE(SUBSTITUTE(SUBSTITUTE(SUBSTITUTE(T14,"Nguyen Trung Hieu","hieu.nguyen-trung"),"Nguyen Tai Hau","hau.nguyen-tai"),"Nguyen Duy Bang","bang.nguyen-duy"),"Luu Cong Dac","dac.luu-cong"),Data_20200321_20200420!$C$13:$H$16,2,0)</f>
        <v>1122.6370000000002</v>
      </c>
      <c r="W14" s="113">
        <f>U14/Table!$D$4</f>
        <v>4.0250000000000004</v>
      </c>
      <c r="X14" s="113">
        <f>V14/Table!$C$4</f>
        <v>8.6356692307692313</v>
      </c>
    </row>
    <row r="15" spans="1:24" x14ac:dyDescent="0.25">
      <c r="C15" s="113">
        <v>3</v>
      </c>
      <c r="D15" s="43" t="s">
        <v>317</v>
      </c>
      <c r="E15" s="113">
        <f t="shared" si="0"/>
        <v>2277</v>
      </c>
      <c r="F15" s="113">
        <f t="shared" si="1"/>
        <v>1269.6160000000002</v>
      </c>
      <c r="G15" s="113">
        <f>E15/Table!$D$4</f>
        <v>5.0599999999999996</v>
      </c>
      <c r="H15" s="113">
        <f>F15/Table!$C$4</f>
        <v>9.7662769230769246</v>
      </c>
      <c r="K15" s="43">
        <v>3</v>
      </c>
      <c r="L15" s="43" t="s">
        <v>317</v>
      </c>
      <c r="M15" s="113">
        <f>VLOOKUP(SUBSTITUTE(SUBSTITUTE(SUBSTITUTE(SUBSTITUTE(L15,"Nguyen Trung Hieu","hieu.nguyen-trung"),"Nguyen Tai Hau","hau.nguyen-tai"),"Nguyen Duy Bang","bang.nguyen-duy"),"Luu Cong Dac","dac.luu-cong"),Data_20200305_20200320!$C$4:$H$7,2,0)</f>
        <v>495</v>
      </c>
      <c r="N15" s="113">
        <f>VLOOKUP(SUBSTITUTE(SUBSTITUTE(SUBSTITUTE(SUBSTITUTE(L15,"Nguyen Trung Hieu","hieu.nguyen-trung"),"Nguyen Tai Hau","hau.nguyen-tai"),"Nguyen Duy Bang","bang.nguyen-duy"),"Luu Cong Dac","dac.luu-cong"),Data_20200305_20200320!$C$13:$H$16,2,0)</f>
        <v>286</v>
      </c>
      <c r="O15" s="113">
        <f>M15/Table!$D$4</f>
        <v>1.1000000000000001</v>
      </c>
      <c r="P15" s="113">
        <f>N15/Table!$C$4</f>
        <v>2.2000000000000002</v>
      </c>
      <c r="S15" s="43">
        <v>3</v>
      </c>
      <c r="T15" s="43" t="s">
        <v>317</v>
      </c>
      <c r="U15" s="113">
        <f>VLOOKUP(SUBSTITUTE(SUBSTITUTE(SUBSTITUTE(SUBSTITUTE(T15,"Nguyen Trung Hieu","hieu.nguyen-trung"),"Nguyen Tai Hau","hau.nguyen-tai"),"Nguyen Duy Bang","bang.nguyen-duy"),"Luu Cong Dac","dac.luu-cong"),Data_20200321_20200420!$C$4:$H$7,2,0)</f>
        <v>1782</v>
      </c>
      <c r="V15" s="113">
        <f>VLOOKUP(SUBSTITUTE(SUBSTITUTE(SUBSTITUTE(SUBSTITUTE(T15,"Nguyen Trung Hieu","hieu.nguyen-trung"),"Nguyen Tai Hau","hau.nguyen-tai"),"Nguyen Duy Bang","bang.nguyen-duy"),"Luu Cong Dac","dac.luu-cong"),Data_20200321_20200420!$C$13:$H$16,2,0)</f>
        <v>983.61600000000021</v>
      </c>
      <c r="W15" s="113">
        <f>U15/Table!$D$4</f>
        <v>3.96</v>
      </c>
      <c r="X15" s="113">
        <f>V15/Table!$C$4</f>
        <v>7.5662769230769245</v>
      </c>
    </row>
    <row r="16" spans="1:24" x14ac:dyDescent="0.25">
      <c r="C16" s="113">
        <v>4</v>
      </c>
      <c r="D16" s="43" t="s">
        <v>318</v>
      </c>
      <c r="E16" s="113">
        <f t="shared" si="0"/>
        <v>1683</v>
      </c>
      <c r="F16" s="113">
        <f t="shared" si="1"/>
        <v>2046.5320000000002</v>
      </c>
      <c r="G16" s="113">
        <f>E16/Table!$D$4</f>
        <v>3.74</v>
      </c>
      <c r="H16" s="113">
        <f>F16/Table!$C$4</f>
        <v>15.742553846153847</v>
      </c>
      <c r="K16" s="43">
        <v>4</v>
      </c>
      <c r="L16" s="43" t="s">
        <v>318</v>
      </c>
      <c r="M16" s="113">
        <f>VLOOKUP(SUBSTITUTE(SUBSTITUTE(SUBSTITUTE(SUBSTITUTE(L16,"Nguyen Trung Hieu","hieu.nguyen-trung"),"Nguyen Tai Hau","hau.nguyen-tai"),"Nguyen Duy Bang","bang.nguyen-duy"),"Luu Cong Dac","dac.luu-cong"),Data_20200305_20200320!$C$4:$H$7,2,0)</f>
        <v>0</v>
      </c>
      <c r="N16" s="113">
        <f>VLOOKUP(SUBSTITUTE(SUBSTITUTE(SUBSTITUTE(SUBSTITUTE(L16,"Nguyen Trung Hieu","hieu.nguyen-trung"),"Nguyen Tai Hau","hau.nguyen-tai"),"Nguyen Duy Bang","bang.nguyen-duy"),"Luu Cong Dac","dac.luu-cong"),Data_20200305_20200320!$C$13:$H$16,2,0)</f>
        <v>974.19099999999992</v>
      </c>
      <c r="O16" s="113">
        <f>M16/Table!$D$4</f>
        <v>0</v>
      </c>
      <c r="P16" s="113">
        <f>N16/Table!$C$4</f>
        <v>7.493776923076922</v>
      </c>
      <c r="S16" s="43">
        <v>4</v>
      </c>
      <c r="T16" s="43" t="s">
        <v>318</v>
      </c>
      <c r="U16" s="113">
        <f>VLOOKUP(SUBSTITUTE(SUBSTITUTE(SUBSTITUTE(SUBSTITUTE(T16,"Nguyen Trung Hieu","hieu.nguyen-trung"),"Nguyen Tai Hau","hau.nguyen-tai"),"Nguyen Duy Bang","bang.nguyen-duy"),"Luu Cong Dac","dac.luu-cong"),Data_20200321_20200420!$C$4:$H$7,2,0)</f>
        <v>1683</v>
      </c>
      <c r="V16" s="113">
        <f>VLOOKUP(SUBSTITUTE(SUBSTITUTE(SUBSTITUTE(SUBSTITUTE(T16,"Nguyen Trung Hieu","hieu.nguyen-trung"),"Nguyen Tai Hau","hau.nguyen-tai"),"Nguyen Duy Bang","bang.nguyen-duy"),"Luu Cong Dac","dac.luu-cong"),Data_20200321_20200420!$C$13:$H$16,2,0)</f>
        <v>1072.3410000000001</v>
      </c>
      <c r="W16" s="113">
        <f>U16/Table!$D$4</f>
        <v>3.74</v>
      </c>
      <c r="X16" s="113">
        <f>V16/Table!$C$4</f>
        <v>8.2487769230769246</v>
      </c>
    </row>
    <row r="17" spans="2:6" x14ac:dyDescent="0.25">
      <c r="C17" s="44"/>
      <c r="D17" s="44"/>
      <c r="E17" s="45"/>
      <c r="F17" s="45"/>
    </row>
    <row r="18" spans="2:6" x14ac:dyDescent="0.25">
      <c r="B18" s="1" t="s">
        <v>40</v>
      </c>
    </row>
    <row r="19" spans="2:6" x14ac:dyDescent="0.25">
      <c r="C19" s="111" t="s">
        <v>29</v>
      </c>
      <c r="D19" s="118" t="s">
        <v>41</v>
      </c>
      <c r="E19" s="119"/>
      <c r="F19" s="120"/>
    </row>
    <row r="20" spans="2:6" x14ac:dyDescent="0.25">
      <c r="C20" s="113">
        <v>1</v>
      </c>
      <c r="D20" s="74" t="s">
        <v>763</v>
      </c>
      <c r="E20" s="75"/>
      <c r="F20" s="76"/>
    </row>
    <row r="21" spans="2:6" x14ac:dyDescent="0.25">
      <c r="C21" s="113">
        <v>2</v>
      </c>
      <c r="D21" s="74" t="s">
        <v>70</v>
      </c>
      <c r="E21" s="75"/>
      <c r="F21" s="76"/>
    </row>
    <row r="22" spans="2:6" x14ac:dyDescent="0.25">
      <c r="C22" s="113">
        <v>3</v>
      </c>
      <c r="D22" s="74" t="s">
        <v>70</v>
      </c>
      <c r="E22" s="75"/>
      <c r="F22" s="76"/>
    </row>
    <row r="23" spans="2:6" x14ac:dyDescent="0.25">
      <c r="C23" s="113">
        <v>4</v>
      </c>
      <c r="D23" s="74" t="s">
        <v>70</v>
      </c>
      <c r="E23" s="75"/>
      <c r="F23" s="76"/>
    </row>
    <row r="25" spans="2:6" x14ac:dyDescent="0.25">
      <c r="B25" s="1" t="s">
        <v>42</v>
      </c>
    </row>
    <row r="26" spans="2:6" x14ac:dyDescent="0.25">
      <c r="C26" s="111" t="s">
        <v>29</v>
      </c>
      <c r="D26" s="111" t="s">
        <v>35</v>
      </c>
      <c r="E26" s="12" t="s">
        <v>495</v>
      </c>
      <c r="F26" s="12" t="s">
        <v>496</v>
      </c>
    </row>
    <row r="27" spans="2:6" x14ac:dyDescent="0.25">
      <c r="C27" s="113">
        <v>1</v>
      </c>
      <c r="D27" s="43" t="s">
        <v>315</v>
      </c>
      <c r="E27" s="112">
        <v>2</v>
      </c>
      <c r="F27" s="113">
        <v>0</v>
      </c>
    </row>
    <row r="28" spans="2:6" x14ac:dyDescent="0.25">
      <c r="C28" s="113">
        <v>2</v>
      </c>
      <c r="D28" s="43" t="s">
        <v>316</v>
      </c>
      <c r="E28" s="112">
        <v>1</v>
      </c>
      <c r="F28" s="113">
        <v>0</v>
      </c>
    </row>
    <row r="29" spans="2:6" x14ac:dyDescent="0.25">
      <c r="C29" s="113">
        <v>3</v>
      </c>
      <c r="D29" s="43" t="s">
        <v>317</v>
      </c>
      <c r="E29" s="113">
        <v>1</v>
      </c>
      <c r="F29" s="113">
        <v>0</v>
      </c>
    </row>
    <row r="30" spans="2:6" x14ac:dyDescent="0.25">
      <c r="C30" s="113">
        <v>4</v>
      </c>
      <c r="D30" s="43" t="s">
        <v>318</v>
      </c>
      <c r="E30" s="113">
        <v>0</v>
      </c>
      <c r="F30" s="113">
        <v>0</v>
      </c>
    </row>
    <row r="32" spans="2:6" x14ac:dyDescent="0.25">
      <c r="B32" s="1" t="s">
        <v>43</v>
      </c>
    </row>
    <row r="33" spans="2:6" x14ac:dyDescent="0.25">
      <c r="C33" s="111" t="s">
        <v>29</v>
      </c>
      <c r="D33" s="111" t="s">
        <v>35</v>
      </c>
      <c r="E33" s="12" t="s">
        <v>45</v>
      </c>
      <c r="F33" s="12" t="s">
        <v>46</v>
      </c>
    </row>
    <row r="34" spans="2:6" x14ac:dyDescent="0.25">
      <c r="C34" s="113">
        <v>1</v>
      </c>
      <c r="D34" s="43" t="s">
        <v>315</v>
      </c>
      <c r="E34" s="112" t="s">
        <v>70</v>
      </c>
      <c r="F34" s="112" t="s">
        <v>70</v>
      </c>
    </row>
    <row r="35" spans="2:6" x14ac:dyDescent="0.25">
      <c r="C35" s="113">
        <v>2</v>
      </c>
      <c r="D35" s="43" t="s">
        <v>316</v>
      </c>
      <c r="E35" s="112" t="s">
        <v>70</v>
      </c>
      <c r="F35" s="112" t="s">
        <v>70</v>
      </c>
    </row>
    <row r="36" spans="2:6" x14ac:dyDescent="0.25">
      <c r="C36" s="113">
        <v>3</v>
      </c>
      <c r="D36" s="43" t="s">
        <v>317</v>
      </c>
      <c r="E36" s="112">
        <v>10</v>
      </c>
      <c r="F36" s="117" t="s">
        <v>759</v>
      </c>
    </row>
    <row r="37" spans="2:6" x14ac:dyDescent="0.25">
      <c r="C37" s="113">
        <v>4</v>
      </c>
      <c r="D37" s="43" t="s">
        <v>318</v>
      </c>
      <c r="E37" s="112" t="s">
        <v>70</v>
      </c>
      <c r="F37" s="112" t="s">
        <v>70</v>
      </c>
    </row>
    <row r="38" spans="2:6" x14ac:dyDescent="0.25">
      <c r="C38" s="44"/>
      <c r="D38" s="44"/>
      <c r="E38" s="45"/>
      <c r="F38" s="44"/>
    </row>
    <row r="40" spans="2:6" x14ac:dyDescent="0.25">
      <c r="B40" s="1" t="s">
        <v>48</v>
      </c>
    </row>
    <row r="41" spans="2:6" x14ac:dyDescent="0.25">
      <c r="C41" s="1" t="s">
        <v>50</v>
      </c>
    </row>
    <row r="42" spans="2:6" x14ac:dyDescent="0.25">
      <c r="D42" t="s">
        <v>49</v>
      </c>
    </row>
    <row r="43" spans="2:6" x14ac:dyDescent="0.25">
      <c r="D43" t="s">
        <v>217</v>
      </c>
    </row>
    <row r="44" spans="2:6" x14ac:dyDescent="0.25">
      <c r="C44" s="1" t="s">
        <v>51</v>
      </c>
    </row>
    <row r="45" spans="2:6" x14ac:dyDescent="0.25">
      <c r="D45" t="s">
        <v>52</v>
      </c>
    </row>
    <row r="46" spans="2:6" x14ac:dyDescent="0.25">
      <c r="D46" t="s">
        <v>53</v>
      </c>
    </row>
  </sheetData>
  <customSheetViews>
    <customSheetView guid="{250915DF-0B97-45D7-B29D-7EED4C89C1C1}">
      <selection activeCell="D1" sqref="D1"/>
      <pageMargins left="0.7" right="0.7" top="0.75" bottom="0.75" header="0.3" footer="0.3"/>
    </customSheetView>
  </customSheetViews>
  <conditionalFormatting sqref="H8:H9">
    <cfRule type="cellIs" dxfId="176" priority="5" operator="equal">
      <formula>1</formula>
    </cfRule>
    <cfRule type="cellIs" dxfId="175" priority="6" operator="lessThan">
      <formula>1</formula>
    </cfRule>
  </conditionalFormatting>
  <conditionalFormatting sqref="P8:P9">
    <cfRule type="cellIs" dxfId="174" priority="3" operator="equal">
      <formula>1</formula>
    </cfRule>
    <cfRule type="cellIs" dxfId="173" priority="4" operator="lessThan">
      <formula>1</formula>
    </cfRule>
  </conditionalFormatting>
  <conditionalFormatting sqref="X8:X9">
    <cfRule type="cellIs" dxfId="172" priority="1" operator="equal">
      <formula>1</formula>
    </cfRule>
    <cfRule type="cellIs" dxfId="171" priority="2" operator="lessThan">
      <formula>1</formula>
    </cfRule>
  </conditionalFormatting>
  <pageMargins left="0.7" right="0.7" top="0.75" bottom="0.75" header="0.3" footer="0.3"/>
  <pageSetup orientation="portrait" horizontalDpi="30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30"/>
  <sheetViews>
    <sheetView workbookViewId="0">
      <selection activeCell="E19" sqref="E19"/>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3" t="s">
        <v>11</v>
      </c>
    </row>
    <row r="3" spans="2:5" x14ac:dyDescent="0.25">
      <c r="B3" s="2" t="s">
        <v>4</v>
      </c>
      <c r="C3" s="14" t="s">
        <v>2</v>
      </c>
      <c r="D3" s="14" t="s">
        <v>3</v>
      </c>
    </row>
    <row r="4" spans="2:5" x14ac:dyDescent="0.25">
      <c r="B4" s="14">
        <v>1</v>
      </c>
      <c r="C4" s="15">
        <v>130</v>
      </c>
      <c r="D4" s="15">
        <v>450</v>
      </c>
    </row>
    <row r="6" spans="2:5" x14ac:dyDescent="0.25">
      <c r="B6" s="1" t="s">
        <v>54</v>
      </c>
    </row>
    <row r="7" spans="2:5" x14ac:dyDescent="0.25">
      <c r="B7" s="2" t="s">
        <v>0</v>
      </c>
      <c r="C7" s="2" t="s">
        <v>1</v>
      </c>
      <c r="D7" s="2" t="s">
        <v>59</v>
      </c>
      <c r="E7" s="4" t="s">
        <v>56</v>
      </c>
    </row>
    <row r="8" spans="2:5" ht="60" x14ac:dyDescent="0.25">
      <c r="B8" s="16">
        <v>1</v>
      </c>
      <c r="C8" s="16" t="s">
        <v>2</v>
      </c>
      <c r="D8" s="16" t="s">
        <v>57</v>
      </c>
      <c r="E8" s="17" t="s">
        <v>9</v>
      </c>
    </row>
    <row r="9" spans="2:5" ht="75" x14ac:dyDescent="0.25">
      <c r="B9" s="16">
        <v>2</v>
      </c>
      <c r="C9" s="16" t="s">
        <v>3</v>
      </c>
      <c r="D9" s="16" t="s">
        <v>58</v>
      </c>
      <c r="E9" s="17" t="s">
        <v>10</v>
      </c>
    </row>
    <row r="11" spans="2:5" x14ac:dyDescent="0.25">
      <c r="B11" s="1" t="s">
        <v>55</v>
      </c>
    </row>
    <row r="12" spans="2:5" x14ac:dyDescent="0.25">
      <c r="B12" s="2" t="s">
        <v>0</v>
      </c>
      <c r="C12" s="2" t="s">
        <v>5</v>
      </c>
      <c r="D12" s="2" t="s">
        <v>497</v>
      </c>
    </row>
    <row r="13" spans="2:5" x14ac:dyDescent="0.25">
      <c r="B13" s="3">
        <v>1</v>
      </c>
      <c r="C13" s="3" t="s">
        <v>6</v>
      </c>
      <c r="D13" s="2"/>
    </row>
    <row r="14" spans="2:5" x14ac:dyDescent="0.25">
      <c r="B14" s="3">
        <v>2</v>
      </c>
      <c r="C14" s="3" t="s">
        <v>73</v>
      </c>
      <c r="D14" s="3"/>
    </row>
    <row r="15" spans="2:5" x14ac:dyDescent="0.25">
      <c r="B15" s="3">
        <v>3</v>
      </c>
      <c r="C15" s="3" t="s">
        <v>74</v>
      </c>
      <c r="D15" s="3"/>
    </row>
    <row r="16" spans="2:5" x14ac:dyDescent="0.25">
      <c r="B16" s="3">
        <v>4</v>
      </c>
      <c r="C16" s="3" t="s">
        <v>75</v>
      </c>
      <c r="D16" s="3"/>
    </row>
    <row r="17" spans="2:5" x14ac:dyDescent="0.25">
      <c r="B17" s="3">
        <v>5</v>
      </c>
      <c r="C17" s="3" t="s">
        <v>76</v>
      </c>
      <c r="D17" s="3"/>
    </row>
    <row r="18" spans="2:5" x14ac:dyDescent="0.25">
      <c r="B18" s="3">
        <v>6</v>
      </c>
      <c r="C18" s="3" t="s">
        <v>77</v>
      </c>
      <c r="D18" s="3"/>
    </row>
    <row r="19" spans="2:5" x14ac:dyDescent="0.25">
      <c r="B19" s="3">
        <v>7</v>
      </c>
      <c r="C19" s="3" t="s">
        <v>78</v>
      </c>
      <c r="D19" s="3"/>
    </row>
    <row r="20" spans="2:5" x14ac:dyDescent="0.25">
      <c r="B20" s="3">
        <v>8</v>
      </c>
      <c r="C20" s="3" t="s">
        <v>79</v>
      </c>
      <c r="D20" s="3"/>
    </row>
    <row r="22" spans="2:5" x14ac:dyDescent="0.25">
      <c r="B22" s="13" t="s">
        <v>20</v>
      </c>
    </row>
    <row r="23" spans="2:5" x14ac:dyDescent="0.25">
      <c r="B23" s="2" t="s">
        <v>0</v>
      </c>
      <c r="C23" s="2" t="s">
        <v>18</v>
      </c>
    </row>
    <row r="24" spans="2:5" x14ac:dyDescent="0.25">
      <c r="B24" s="2">
        <v>1</v>
      </c>
      <c r="C24" s="3" t="s">
        <v>21</v>
      </c>
      <c r="E24" s="37"/>
    </row>
    <row r="25" spans="2:5" x14ac:dyDescent="0.25">
      <c r="B25" s="2">
        <v>2</v>
      </c>
      <c r="C25" s="3" t="s">
        <v>25</v>
      </c>
    </row>
    <row r="26" spans="2:5" x14ac:dyDescent="0.25">
      <c r="B26" s="2">
        <v>3</v>
      </c>
      <c r="C26" s="3" t="s">
        <v>19</v>
      </c>
    </row>
    <row r="27" spans="2:5" x14ac:dyDescent="0.25">
      <c r="B27" s="2">
        <v>4</v>
      </c>
      <c r="C27" s="3" t="s">
        <v>82</v>
      </c>
    </row>
    <row r="28" spans="2:5" x14ac:dyDescent="0.25">
      <c r="B28" s="2">
        <v>5</v>
      </c>
      <c r="C28" s="3" t="s">
        <v>22</v>
      </c>
    </row>
    <row r="29" spans="2:5" x14ac:dyDescent="0.25">
      <c r="B29" s="2">
        <v>6</v>
      </c>
      <c r="C29" s="3" t="s">
        <v>102</v>
      </c>
    </row>
    <row r="30" spans="2:5" x14ac:dyDescent="0.25">
      <c r="B30" s="2">
        <v>7</v>
      </c>
      <c r="C30" s="3" t="s">
        <v>83</v>
      </c>
    </row>
  </sheetData>
  <customSheetViews>
    <customSheetView guid="{250915DF-0B97-45D7-B29D-7EED4C89C1C1}">
      <selection activeCell="E21" sqref="E21"/>
      <pageMargins left="0.7" right="0.7" top="0.75" bottom="0.75" header="0.3" footer="0.3"/>
    </customSheetView>
    <customSheetView guid="{A2C66332-A809-458E-971B-FDB6D62C74C3}">
      <selection activeCell="E29" sqref="E29"/>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72A6EB0A-84D5-4B8A-AC51-54CCD061630B}" topLeftCell="A13">
      <selection activeCell="B24" sqref="B24:C29"/>
      <pageMargins left="0.7" right="0.7" top="0.75" bottom="0.75" header="0.3" footer="0.3"/>
    </customSheetView>
    <customSheetView guid="{7E0EA425-A420-4443-B9E0-CDF0AA9E5D09}" topLeftCell="A13">
      <selection activeCell="B24" sqref="B24:C29"/>
      <pageMargins left="0.7" right="0.7" top="0.75" bottom="0.75" header="0.3" footer="0.3"/>
    </customSheetView>
    <customSheetView guid="{60D2C030-4E31-4E07-8E1C-44D2EE84B177}" topLeftCell="A19">
      <selection activeCell="B24" sqref="B24:C29"/>
      <pageMargins left="0.7" right="0.7" top="0.75" bottom="0.75" header="0.3" footer="0.3"/>
    </customSheetView>
    <customSheetView guid="{7ECC2B8E-6A82-42F5-8AB0-4A51C54EA5EC}">
      <selection activeCell="E42" sqref="E42"/>
      <pageMargins left="0.7" right="0.7" top="0.75" bottom="0.75" header="0.3" footer="0.3"/>
    </customSheetView>
    <customSheetView guid="{336B6883-2145-4B58-921E-CEC7185A847E}" topLeftCell="A13">
      <selection activeCell="B24" sqref="B24:C29"/>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9"/>
  <sheetViews>
    <sheetView workbookViewId="0">
      <selection activeCell="H21" sqref="H21"/>
    </sheetView>
  </sheetViews>
  <sheetFormatPr defaultRowHeight="15" x14ac:dyDescent="0.25"/>
  <cols>
    <col min="2" max="2" width="33.42578125" customWidth="1"/>
    <col min="3" max="3" width="82.140625" bestFit="1" customWidth="1"/>
    <col min="4" max="4" width="11.28515625" bestFit="1" customWidth="1"/>
  </cols>
  <sheetData>
    <row r="1" spans="1:6" x14ac:dyDescent="0.25">
      <c r="A1" s="1" t="s">
        <v>93</v>
      </c>
    </row>
    <row r="2" spans="1:6" x14ac:dyDescent="0.25">
      <c r="B2" s="34" t="s">
        <v>95</v>
      </c>
      <c r="C2" t="s">
        <v>96</v>
      </c>
    </row>
    <row r="3" spans="1:6" x14ac:dyDescent="0.25">
      <c r="B3" s="34" t="s">
        <v>98</v>
      </c>
      <c r="C3" t="s">
        <v>97</v>
      </c>
    </row>
    <row r="4" spans="1:6" x14ac:dyDescent="0.25">
      <c r="B4" s="34"/>
    </row>
    <row r="5" spans="1:6" x14ac:dyDescent="0.25">
      <c r="B5" s="33" t="s">
        <v>91</v>
      </c>
    </row>
    <row r="6" spans="1:6" x14ac:dyDescent="0.25">
      <c r="B6" s="34" t="s">
        <v>99</v>
      </c>
      <c r="C6" t="s">
        <v>100</v>
      </c>
    </row>
    <row r="7" spans="1:6" x14ac:dyDescent="0.25">
      <c r="B7" s="34"/>
    </row>
    <row r="8" spans="1:6" x14ac:dyDescent="0.25">
      <c r="B8" s="33" t="s">
        <v>92</v>
      </c>
      <c r="C8" t="s">
        <v>94</v>
      </c>
    </row>
    <row r="11" spans="1:6" x14ac:dyDescent="0.25">
      <c r="B11" s="39" t="s">
        <v>65</v>
      </c>
      <c r="C11" s="39" t="s">
        <v>8</v>
      </c>
      <c r="D11" s="39" t="s">
        <v>228</v>
      </c>
      <c r="E11" s="39" t="s">
        <v>229</v>
      </c>
      <c r="F11" s="39" t="s">
        <v>230</v>
      </c>
    </row>
    <row r="12" spans="1:6" x14ac:dyDescent="0.25">
      <c r="B12" s="40" t="s">
        <v>842</v>
      </c>
      <c r="C12" s="3" t="s">
        <v>231</v>
      </c>
      <c r="D12" s="3" t="s">
        <v>202</v>
      </c>
      <c r="E12" s="3">
        <v>1.01</v>
      </c>
      <c r="F12" s="3" t="s">
        <v>232</v>
      </c>
    </row>
    <row r="13" spans="1:6" x14ac:dyDescent="0.25">
      <c r="B13" s="41"/>
      <c r="C13" s="3" t="s">
        <v>233</v>
      </c>
      <c r="D13" s="3" t="s">
        <v>201</v>
      </c>
      <c r="E13" s="3">
        <v>1.0249999999999999</v>
      </c>
      <c r="F13" s="3" t="s">
        <v>232</v>
      </c>
    </row>
    <row r="14" spans="1:6" x14ac:dyDescent="0.25">
      <c r="B14" s="41"/>
      <c r="C14" s="3" t="s">
        <v>234</v>
      </c>
      <c r="D14" s="19" t="s">
        <v>654</v>
      </c>
      <c r="E14" s="3">
        <v>1.04</v>
      </c>
      <c r="F14" s="19" t="s">
        <v>660</v>
      </c>
    </row>
    <row r="15" spans="1:6" x14ac:dyDescent="0.25">
      <c r="B15" s="42"/>
      <c r="C15" s="3" t="s">
        <v>235</v>
      </c>
      <c r="D15" s="19" t="s">
        <v>203</v>
      </c>
      <c r="E15" s="3">
        <v>1.58</v>
      </c>
      <c r="F15" s="3" t="s">
        <v>660</v>
      </c>
    </row>
    <row r="18" spans="1:1" x14ac:dyDescent="0.25">
      <c r="A18" s="1" t="s">
        <v>312</v>
      </c>
    </row>
    <row r="38" spans="2:2" x14ac:dyDescent="0.25">
      <c r="B38" t="s">
        <v>313</v>
      </c>
    </row>
    <row r="39" spans="2:2" x14ac:dyDescent="0.25">
      <c r="B39" t="s">
        <v>314</v>
      </c>
    </row>
  </sheetData>
  <customSheetViews>
    <customSheetView guid="{250915DF-0B97-45D7-B29D-7EED4C89C1C1}" topLeftCell="A13">
      <selection activeCell="H21" sqref="H21"/>
      <pageMargins left="0.7" right="0.7" top="0.75" bottom="0.75" header="0.3" footer="0.3"/>
    </customSheetView>
    <customSheetView guid="{A2C66332-A809-458E-971B-FDB6D62C74C3}">
      <selection activeCell="C14" sqref="C14"/>
      <pageMargins left="0.7" right="0.7" top="0.75" bottom="0.75" header="0.3" footer="0.3"/>
    </customSheetView>
    <customSheetView guid="{4E06BDBF-2CED-473B-850B-2A6C7311FF41}">
      <selection activeCell="B6" sqref="B6:C6"/>
      <pageMargins left="0.7" right="0.7" top="0.75" bottom="0.75" header="0.3" footer="0.3"/>
    </customSheetView>
    <customSheetView guid="{72A6EB0A-84D5-4B8A-AC51-54CCD061630B}">
      <selection activeCell="B6" sqref="B6:C6"/>
      <pageMargins left="0.7" right="0.7" top="0.75" bottom="0.75" header="0.3" footer="0.3"/>
    </customSheetView>
    <customSheetView guid="{7E0EA425-A420-4443-B9E0-CDF0AA9E5D09}">
      <selection activeCell="B6" sqref="B6:C6"/>
      <pageMargins left="0.7" right="0.7" top="0.75" bottom="0.75" header="0.3" footer="0.3"/>
    </customSheetView>
    <customSheetView guid="{60D2C030-4E31-4E07-8E1C-44D2EE84B177}">
      <pageMargins left="0.7" right="0.7" top="0.75" bottom="0.75" header="0.3" footer="0.3"/>
    </customSheetView>
    <customSheetView guid="{7ECC2B8E-6A82-42F5-8AB0-4A51C54EA5EC}" topLeftCell="A16">
      <selection activeCell="C38" sqref="C38"/>
      <pageMargins left="0.7" right="0.7" top="0.75" bottom="0.75" header="0.3" footer="0.3"/>
    </customSheetView>
    <customSheetView guid="{336B6883-2145-4B58-921E-CEC7185A847E}">
      <selection activeCell="B6" sqref="B6:C6"/>
      <pageMargins left="0.7" right="0.7" top="0.75" bottom="0.75" header="0.3" footer="0.3"/>
    </customSheetView>
  </customSheetView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K213"/>
  <sheetViews>
    <sheetView zoomScale="85" zoomScaleNormal="85" workbookViewId="0"/>
  </sheetViews>
  <sheetFormatPr defaultRowHeight="15" x14ac:dyDescent="0.25"/>
  <cols>
    <col min="3" max="3" width="19.85546875" customWidth="1"/>
    <col min="4" max="4" width="11.5703125" customWidth="1"/>
    <col min="5" max="5" width="27.85546875" customWidth="1"/>
    <col min="6" max="6" width="19.5703125" customWidth="1"/>
    <col min="7" max="7" width="12.28515625" bestFit="1" customWidth="1"/>
    <col min="8" max="8" width="48.140625" bestFit="1" customWidth="1"/>
    <col min="9" max="9" width="16.7109375" customWidth="1"/>
    <col min="10" max="10" width="16.85546875" customWidth="1"/>
    <col min="11" max="11" width="19" customWidth="1"/>
    <col min="12" max="12" width="18" customWidth="1"/>
    <col min="13" max="13" width="27.5703125" customWidth="1"/>
    <col min="14" max="14" width="12.85546875" customWidth="1"/>
    <col min="15" max="15" width="8.42578125" customWidth="1"/>
    <col min="16" max="16" width="19.28515625" customWidth="1"/>
    <col min="17" max="17" width="18.28515625" customWidth="1"/>
    <col min="18" max="18" width="16" customWidth="1"/>
    <col min="19" max="19" width="13.5703125" customWidth="1"/>
    <col min="20" max="20" width="14.85546875" customWidth="1"/>
    <col min="21" max="21" width="12.85546875" bestFit="1" customWidth="1"/>
    <col min="22" max="22" width="14" customWidth="1"/>
    <col min="23" max="23" width="11.140625" bestFit="1" customWidth="1"/>
    <col min="24" max="24" width="19.28515625" bestFit="1" customWidth="1"/>
    <col min="25" max="25" width="18.28515625" bestFit="1" customWidth="1"/>
    <col min="26" max="26" width="16.5703125" bestFit="1" customWidth="1"/>
    <col min="27" max="27" width="14.28515625" bestFit="1" customWidth="1"/>
    <col min="28" max="28" width="13.85546875" bestFit="1" customWidth="1"/>
    <col min="29" max="29" width="17.140625" bestFit="1" customWidth="1"/>
    <col min="30" max="30" width="7.7109375" bestFit="1" customWidth="1"/>
    <col min="31" max="31" width="4.42578125" bestFit="1" customWidth="1"/>
    <col min="32" max="32" width="18.42578125" customWidth="1"/>
    <col min="33" max="33" width="12" bestFit="1" customWidth="1"/>
    <col min="34" max="34" width="13.5703125" bestFit="1" customWidth="1"/>
    <col min="35" max="36" width="44.42578125" bestFit="1" customWidth="1"/>
    <col min="37" max="37" width="39.85546875" customWidth="1"/>
  </cols>
  <sheetData>
    <row r="1" spans="1:27" x14ac:dyDescent="0.25">
      <c r="A1" s="1" t="s">
        <v>887</v>
      </c>
    </row>
    <row r="2" spans="1:27" x14ac:dyDescent="0.25">
      <c r="B2" s="1" t="s">
        <v>61</v>
      </c>
      <c r="J2" s="1" t="s">
        <v>61</v>
      </c>
    </row>
    <row r="3" spans="1:27" x14ac:dyDescent="0.25">
      <c r="B3" s="2" t="s">
        <v>0</v>
      </c>
      <c r="C3" s="2" t="s">
        <v>8</v>
      </c>
      <c r="D3" s="2" t="s">
        <v>467</v>
      </c>
      <c r="E3" s="2" t="s">
        <v>62</v>
      </c>
      <c r="F3" s="2" t="s">
        <v>494</v>
      </c>
      <c r="G3" s="2" t="s">
        <v>23</v>
      </c>
      <c r="H3" s="4" t="s">
        <v>28</v>
      </c>
      <c r="J3" s="2" t="s">
        <v>0</v>
      </c>
      <c r="K3" s="2" t="s">
        <v>8</v>
      </c>
      <c r="L3" s="2" t="s">
        <v>26</v>
      </c>
      <c r="M3" s="2" t="s">
        <v>27</v>
      </c>
      <c r="N3" s="2" t="s">
        <v>24</v>
      </c>
      <c r="O3" s="2" t="s">
        <v>23</v>
      </c>
      <c r="P3" s="4" t="s">
        <v>28</v>
      </c>
    </row>
    <row r="4" spans="1:27" x14ac:dyDescent="0.25">
      <c r="B4" s="3">
        <v>1</v>
      </c>
      <c r="C4" s="36" t="s">
        <v>6</v>
      </c>
      <c r="D4" s="77">
        <f>SUMIFS($T$44:$T$212,$D$44:$D$212,Table!$D$3,$P$44:$P$212,C4)</f>
        <v>1696.5</v>
      </c>
      <c r="E4" s="77">
        <f>SUMIFS($T$44:$T$212,$D$44:$D$212,Table!$D$3,$P$44:$P$212,C4)-SUM(SUMIFS($T$44:$T$212,$D$44:$D$212,Table!$D$3,$P$44:$P$212,C4,$X$44:$X$212,{"Ongoing","N/A",""}))</f>
        <v>1696.5</v>
      </c>
      <c r="F4" s="77">
        <f>1/8*(SUMIFS($W$44:$W$212,$D$44:$D$212,Table!$D$3,$P$44:$P$212,C4)-SUM(SUMIFS($W$44:$W$212,$D$44:$D$212,Table!$D$3,$P$44:$P$212,C4,$X$44:$X$212,{"Ongoing","N/A",""})))</f>
        <v>4.625</v>
      </c>
      <c r="G4" s="77">
        <f>IF(ISERROR(E4/(F4)),"N/A",E4/F4)</f>
        <v>366.81081081081084</v>
      </c>
      <c r="H4" s="78">
        <f>IF(ISERROR(E4/D4),"N/A",E4/D4)</f>
        <v>1</v>
      </c>
      <c r="J4" s="3">
        <v>1</v>
      </c>
      <c r="K4" s="36" t="s">
        <v>6</v>
      </c>
      <c r="L4" s="77">
        <f>SUMIFS($S$44:$S$212,$D$44:$D$212,Table!$D$3,$P$44:$P$212,K4)</f>
        <v>3004</v>
      </c>
      <c r="M4" s="77">
        <f>SUMIFS($T$44:$T$212,$D$44:$D$212,Table!$D$3,$P$44:$P$212,K4)-SUM(SUMIFS($T$44:$T$212,$D$44:$D$212,Table!$D$3,$P$44:$P$212,K4,$X$44:$X$212,{"Ongoing","N/A",""}))</f>
        <v>1696.5</v>
      </c>
      <c r="N4" s="77">
        <f>1/8*(SUMIFS($W$44:$W$212,$D$44:$D$212,Table!$D$3,$P$44:$P$212,K4)-SUM(SUMIFS($W$44:$W$212,$D$44:$D$212,Table!$D$3,$P$44:$P$212,K4,$X$44:$X$212,{"Ongoing","N/A",""})))</f>
        <v>4.625</v>
      </c>
      <c r="O4" s="77">
        <f>IF(ISERROR(M4/(N4)),"N/A",M4/N4)</f>
        <v>366.81081081081084</v>
      </c>
      <c r="P4" s="78">
        <f>IF(ISERROR(M4/L4),"N/A",M4/L4)</f>
        <v>0.56474700399467381</v>
      </c>
    </row>
    <row r="5" spans="1:27" x14ac:dyDescent="0.25">
      <c r="B5" s="3">
        <v>2</v>
      </c>
      <c r="C5" s="36" t="s">
        <v>73</v>
      </c>
      <c r="D5" s="77">
        <f>SUMIFS($T$44:$T$212,$D$44:$D$212,Table!$D$3,$P$44:$P$212,C5)</f>
        <v>1811.25</v>
      </c>
      <c r="E5" s="77">
        <f>SUMIFS($T$44:$T$212,$D$44:$D$212,Table!$D$3,$P$44:$P$212,C5)-SUM(SUMIFS($T$44:$T$212,$D$44:$D$212,Table!$D$3,$P$44:$P$212,C5,$X$44:$X$212,{"Ongoing","N/A",""}))</f>
        <v>1811.25</v>
      </c>
      <c r="F5" s="77">
        <f>1/8*(SUMIFS($W$44:$W$212,$D$44:$D$212,Table!$D$3,$P$44:$P$212,C5)-SUM(SUMIFS($W$44:$W$212,$D$44:$D$212,Table!$D$3,$P$44:$P$212,C5,$X$44:$X$212,{"Ongoing","N/A",""})))</f>
        <v>3</v>
      </c>
      <c r="G5" s="77">
        <f t="shared" ref="G5:G7" si="0">IF(ISERROR(E5/(F5)),"N/A",E5/F5)</f>
        <v>603.75</v>
      </c>
      <c r="H5" s="78">
        <f t="shared" ref="H5:H8" si="1">IF(ISERROR(E5/D5),"N/A",E5/D5)</f>
        <v>1</v>
      </c>
      <c r="J5" s="3">
        <v>2</v>
      </c>
      <c r="K5" s="36" t="s">
        <v>73</v>
      </c>
      <c r="L5" s="77">
        <f>SUMIFS($S$44:$S$212,$D$44:$D$212,Table!$D$3,$P$44:$P$212,K5)</f>
        <v>3218</v>
      </c>
      <c r="M5" s="77">
        <f>SUMIFS($T$44:$T$212,$D$44:$D$212,Table!$D$3,$P$44:$P$212,K5)-SUM(SUMIFS($T$44:$T$212,$D$44:$D$212,Table!$D$3,$P$44:$P$212,K5,$X$44:$X$212,{"Ongoing","N/A",""}))</f>
        <v>1811.25</v>
      </c>
      <c r="N5" s="77">
        <f>1/8*(SUMIFS($W$44:$W$212,$D$44:$D$212,Table!$D$3,$P$44:$P$212,K5)-SUM(SUMIFS($W$44:$W$212,$D$44:$D$212,Table!$D$3,$P$44:$P$212,K5,$X$44:$X$212,{"Ongoing","N/A",""})))</f>
        <v>3</v>
      </c>
      <c r="O5" s="77">
        <f t="shared" ref="O5:O7" si="2">IF(ISERROR(M5/(N5)),"N/A",M5/N5)</f>
        <v>603.75</v>
      </c>
      <c r="P5" s="78">
        <f t="shared" ref="P5:P8" si="3">IF(ISERROR(M5/L5),"N/A",M5/L5)</f>
        <v>0.56284959602237417</v>
      </c>
    </row>
    <row r="6" spans="1:27" x14ac:dyDescent="0.25">
      <c r="B6" s="3">
        <v>3</v>
      </c>
      <c r="C6" s="36" t="s">
        <v>74</v>
      </c>
      <c r="D6" s="77">
        <f>SUMIFS($T$44:$T$212,$D$44:$D$212,Table!$D$3,$P$44:$P$212,C6)</f>
        <v>1782</v>
      </c>
      <c r="E6" s="77">
        <f>SUMIFS($T$44:$T$212,$D$44:$D$212,Table!$D$3,$P$44:$P$212,C6)-SUM(SUMIFS($T$44:$T$212,$D$44:$D$212,Table!$D$3,$P$44:$P$212,C6,$X$44:$X$212,{"Ongoing","N/A",""}))</f>
        <v>1782</v>
      </c>
      <c r="F6" s="77">
        <f>1/8*(SUMIFS($W$44:$W$212,$D$44:$D$212,Table!$D$3,$P$44:$P$212,C6)-SUM(SUMIFS($W$44:$W$212,$D$44:$D$212,Table!$D$3,$P$44:$P$212,C6,$X$44:$X$212,{"Ongoing","N/A",""})))</f>
        <v>4</v>
      </c>
      <c r="G6" s="77">
        <f t="shared" si="0"/>
        <v>445.5</v>
      </c>
      <c r="H6" s="78">
        <f t="shared" si="1"/>
        <v>1</v>
      </c>
      <c r="J6" s="3">
        <v>3</v>
      </c>
      <c r="K6" s="36" t="s">
        <v>74</v>
      </c>
      <c r="L6" s="77">
        <f>SUMIFS($S$44:$S$212,$D$44:$D$212,Table!$D$3,$P$44:$P$212,K6)</f>
        <v>2056</v>
      </c>
      <c r="M6" s="77">
        <f>SUMIFS($T$44:$T$212,$D$44:$D$212,Table!$D$3,$P$44:$P$212,K6)-SUM(SUMIFS($T$44:$T$212,$D$44:$D$212,Table!$D$3,$P$44:$P$212,K6,$X$44:$X$212,{"Ongoing","N/A",""}))</f>
        <v>1782</v>
      </c>
      <c r="N6" s="77">
        <f>1/8*(SUMIFS($W$44:$W$212,$D$44:$D$212,Table!$D$3,$P$44:$P$212,K6)-SUM(SUMIFS($W$44:$W$212,$D$44:$D$212,Table!$D$3,$P$44:$P$212,K6,$X$44:$X$212,{"Ongoing","N/A",""})))</f>
        <v>4</v>
      </c>
      <c r="O6" s="77">
        <f t="shared" si="2"/>
        <v>445.5</v>
      </c>
      <c r="P6" s="78">
        <f t="shared" si="3"/>
        <v>0.86673151750972766</v>
      </c>
    </row>
    <row r="7" spans="1:27" x14ac:dyDescent="0.25">
      <c r="B7" s="3">
        <v>4</v>
      </c>
      <c r="C7" s="36" t="s">
        <v>75</v>
      </c>
      <c r="D7" s="77">
        <f>SUMIFS($T$44:$T$212,$D$44:$D$212,Table!$D$3,$P$44:$P$212,C7)</f>
        <v>1683</v>
      </c>
      <c r="E7" s="77">
        <f>SUMIFS($T$44:$T$212,$D$44:$D$212,Table!$D$3,$P$44:$P$212,C7)-SUM(SUMIFS($T$44:$T$212,$D$44:$D$212,Table!$D$3,$P$44:$P$212,C7,$X$44:$X$212,{"Ongoing","N/A",""}))</f>
        <v>1683</v>
      </c>
      <c r="F7" s="77">
        <f>1/8*(SUMIFS($W$44:$W$212,$D$44:$D$212,Table!$D$3,$P$44:$P$212,C7)-SUM(SUMIFS($W$44:$W$212,$D$44:$D$212,Table!$D$3,$P$44:$P$212,C7,$X$44:$X$212,{"Ongoing","N/A",""})))</f>
        <v>3.25</v>
      </c>
      <c r="G7" s="77">
        <f t="shared" si="0"/>
        <v>517.84615384615381</v>
      </c>
      <c r="H7" s="78">
        <f t="shared" si="1"/>
        <v>1</v>
      </c>
      <c r="J7" s="3">
        <v>4</v>
      </c>
      <c r="K7" s="36" t="s">
        <v>75</v>
      </c>
      <c r="L7" s="77">
        <f>SUMIFS($S$44:$S$212,$D$44:$D$212,Table!$D$3,$P$44:$P$212,K7)</f>
        <v>4213</v>
      </c>
      <c r="M7" s="77">
        <f>SUMIFS($T$44:$T$212,$D$44:$D$212,Table!$D$3,$P$44:$P$212,K7)-SUM(SUMIFS($T$44:$T$212,$D$44:$D$212,Table!$D$3,$P$44:$P$212,K7,$X$44:$X$212,{"Ongoing","N/A",""}))</f>
        <v>1683</v>
      </c>
      <c r="N7" s="77">
        <f>1/8*(SUMIFS($W$44:$W$212,$D$44:$D$212,Table!$D$3,$P$44:$P$212,K7)-SUM(SUMIFS($W$44:$W$212,$D$44:$D$212,Table!$D$3,$P$44:$P$212,K7,$X$44:$X$212,{"Ongoing","N/A",""})))</f>
        <v>3.25</v>
      </c>
      <c r="O7" s="77">
        <f t="shared" si="2"/>
        <v>517.84615384615381</v>
      </c>
      <c r="P7" s="78">
        <f t="shared" si="3"/>
        <v>0.39947780678851175</v>
      </c>
    </row>
    <row r="8" spans="1:27" x14ac:dyDescent="0.25">
      <c r="B8" s="2" t="s">
        <v>287</v>
      </c>
      <c r="C8" s="35"/>
      <c r="D8" s="79">
        <f>SUMIFS($T$44:$T$212,$D$44:$D$212,Table!$D$3)</f>
        <v>6972.75</v>
      </c>
      <c r="E8" s="79">
        <f>SUMIFS($T$44:$T$212,$D$44:$D$212,Table!$D$3)-SUM(SUMIFS($T$44:$T$212,$D$44:$D$212,Table!$D$3,$X$44:$X$212,{"Ongoing","N/A",""}))</f>
        <v>6972.75</v>
      </c>
      <c r="F8" s="79">
        <f>1/8*(SUMIFS($W$44:$W$212,$D$44:$D$212,Table!$D$3)-SUM(SUMIFS($W$44:$W$212,$D$44:$D$212,Table!$D$3,$X$44:$X$212,{"Ongoing","N/A",""})))</f>
        <v>14.875</v>
      </c>
      <c r="G8" s="77">
        <f>IF(ISERROR(E8/(F8)),"N/A",E8/F8)</f>
        <v>468.75630252100842</v>
      </c>
      <c r="H8" s="78">
        <f t="shared" si="1"/>
        <v>1</v>
      </c>
      <c r="J8" s="2" t="s">
        <v>287</v>
      </c>
      <c r="K8" s="35"/>
      <c r="L8" s="79">
        <f>SUMIFS($S$44:$S$212,$D$44:$D$212,Table!$D$3)</f>
        <v>12491</v>
      </c>
      <c r="M8" s="79">
        <f>SUMIFS($S$44:$S$212,$D$44:$D$212,Table!$D$3)-SUM(SUMIFS($S$44:$S$212,$D$44:$D$212,Table!$D$3,$X$44:$X$212,{"Ongoing","N/A",""}))</f>
        <v>12491</v>
      </c>
      <c r="N8" s="79">
        <f>1/8*(SUMIFS($W$44:$W$212,$D$44:$D$212,Table!$D$3)-SUM(SUMIFS($W$44:$W$212,$D$44:$D$212,Table!$D$3,$X$44:$X$212,{"Ongoing","N/A",""})))</f>
        <v>14.875</v>
      </c>
      <c r="O8" s="77">
        <f>IF(ISERROR(M8/(N8)),"N/A",M8/N8)</f>
        <v>839.73109243697479</v>
      </c>
      <c r="P8" s="78">
        <f t="shared" si="3"/>
        <v>1</v>
      </c>
    </row>
    <row r="11" spans="1:27" x14ac:dyDescent="0.25">
      <c r="B11" s="1" t="s">
        <v>60</v>
      </c>
      <c r="J11" s="1" t="s">
        <v>60</v>
      </c>
    </row>
    <row r="12" spans="1:27" x14ac:dyDescent="0.25">
      <c r="B12" s="2" t="s">
        <v>0</v>
      </c>
      <c r="C12" s="2" t="s">
        <v>8</v>
      </c>
      <c r="D12" s="2" t="s">
        <v>467</v>
      </c>
      <c r="E12" s="2" t="s">
        <v>62</v>
      </c>
      <c r="F12" s="2" t="s">
        <v>494</v>
      </c>
      <c r="G12" s="2" t="s">
        <v>23</v>
      </c>
      <c r="H12" s="4" t="s">
        <v>28</v>
      </c>
      <c r="J12" s="2" t="s">
        <v>0</v>
      </c>
      <c r="K12" s="2" t="s">
        <v>8</v>
      </c>
      <c r="L12" s="2" t="s">
        <v>26</v>
      </c>
      <c r="M12" s="2" t="s">
        <v>27</v>
      </c>
      <c r="N12" s="2" t="s">
        <v>24</v>
      </c>
      <c r="O12" s="2" t="s">
        <v>23</v>
      </c>
      <c r="P12" s="4" t="s">
        <v>28</v>
      </c>
    </row>
    <row r="13" spans="1:27" x14ac:dyDescent="0.25">
      <c r="B13" s="3">
        <v>1</v>
      </c>
      <c r="C13" s="36" t="s">
        <v>6</v>
      </c>
      <c r="D13" s="77">
        <f>SUMIFS($T$44:$T$212,$D$44:$D$212,Table!$C$3,$P$44:$P$212,C13)</f>
        <v>972.24200000000008</v>
      </c>
      <c r="E13" s="77">
        <f>SUMIFS($U$44:$U$212,$D$44:$D$212,Table!$C$3,$P$44:$P$212,C13)-SUM(SUMIFS($U$44:$U$212,$D$44:$D$212,Table!$C$3,$P$44:$P$212,C13,$X$44:$X$212,{"Ongoing","N/A",""}))</f>
        <v>972.24200000000008</v>
      </c>
      <c r="F13" s="77">
        <f>1/8*(SUMIFS($W$44:$W$212,$D$44:$D$212,Table!$C$3,$P$44:$P$212,C13)-SUM(SUMIFS($W$44:$W$212,$D$44:$D$212,Table!$C$3,$P$44:$P$212,C13,$X$44:$X$212,{"Ongoing","N/A",""})))</f>
        <v>7.5</v>
      </c>
      <c r="G13" s="77">
        <f>IF(ISERROR(E13/(F13)),"N/A",E13/F13)</f>
        <v>129.63226666666668</v>
      </c>
      <c r="H13" s="78">
        <f>IF(ISERROR(E13/D13),"N/A",E13/D13)</f>
        <v>1</v>
      </c>
      <c r="J13" s="3">
        <v>1</v>
      </c>
      <c r="K13" s="36" t="s">
        <v>6</v>
      </c>
      <c r="L13" s="77">
        <f>SUMIFS($S$44:$S$212,$D$44:$D$212,Table!$C$3,$P$44:$P$212,K13)</f>
        <v>162</v>
      </c>
      <c r="M13" s="77">
        <f>SUMIFS($S$44:$S$212,$D$44:$D$212,Table!$C$3,$P$44:$P$212,K13)-SUM(SUMIFS($S$44:$S$212,$D$44:$D$212,Table!$C$3,$P$44:$P$212,K13,$X$44:$X$212,{"Ongoing","N/A",""}))</f>
        <v>162</v>
      </c>
      <c r="N13" s="77">
        <f>1/8*(SUMIFS($W$44:$W$212,$D$44:$D$212,Table!$C$3,$P$44:$P$212,K13)-SUM(SUMIFS($W$44:$W$212,$D$44:$D$212,Table!$C$3,$P$44:$P$212,K13,$X$44:$X$212,{"Ongoing","N/A",""})))</f>
        <v>7.5</v>
      </c>
      <c r="O13" s="77">
        <f>IF(ISERROR(M13/(N13)),"N/A",M13/N13)</f>
        <v>21.6</v>
      </c>
      <c r="P13" s="78">
        <f>IF(ISERROR(M13/L13),"N/A",M13/L13)</f>
        <v>1</v>
      </c>
    </row>
    <row r="14" spans="1:27" x14ac:dyDescent="0.25">
      <c r="B14" s="3">
        <v>2</v>
      </c>
      <c r="C14" s="36" t="s">
        <v>73</v>
      </c>
      <c r="D14" s="77">
        <f>SUMIFS($T$44:$T$212,$D$44:$D$212,Table!$C$3,$P$44:$P$212,C14)</f>
        <v>1122.6370000000002</v>
      </c>
      <c r="E14" s="77">
        <f>SUMIFS($U$44:$U$212,$D$44:$D$212,Table!$C$3,$P$44:$P$212,C14)-SUM(SUMIFS($U$44:$U$212,$D$44:$D$212,Table!$C$3,$P$44:$P$212,C14,$X$44:$X$212,{"Ongoing","N/A",""}))</f>
        <v>1122.6370000000002</v>
      </c>
      <c r="F14" s="77">
        <f>1/8*(SUMIFS($W$44:$W$212,$D$44:$D$212,Table!$C$3,$P$44:$P$212,C14)-SUM(SUMIFS($W$44:$W$212,$D$44:$D$212,Table!$C$3,$P$44:$P$212,C14,$X$44:$X$212,{"Ongoing","N/A",""})))</f>
        <v>6.3250000000000002</v>
      </c>
      <c r="G14" s="77">
        <f t="shared" ref="G14:G17" si="4">IF(ISERROR(E14/(F14)),"N/A",E14/F14)</f>
        <v>177.49201581027671</v>
      </c>
      <c r="H14" s="78">
        <f t="shared" ref="H14:H17" si="5">IF(ISERROR(E14/D14),"N/A",E14/D14)</f>
        <v>1</v>
      </c>
      <c r="J14" s="3">
        <v>2</v>
      </c>
      <c r="K14" s="36" t="s">
        <v>73</v>
      </c>
      <c r="L14" s="77">
        <f>SUMIFS($S$44:$S$212,$D$44:$D$212,Table!$C$3,$P$44:$P$212,K14)</f>
        <v>0</v>
      </c>
      <c r="M14" s="77">
        <f>SUMIFS($S$44:$S$212,$D$44:$D$212,Table!$C$3,$P$44:$P$212,K14)-SUM(SUMIFS($S$44:$S$212,$D$44:$D$212,Table!$C$3,$P$44:$P$212,K14,$X$44:$X$212,{"Ongoing","N/A",""}))</f>
        <v>0</v>
      </c>
      <c r="N14" s="77">
        <f>1/8*(SUMIFS($W$44:$W$212,$D$44:$D$212,Table!$C$3,$P$44:$P$212,K14)-SUM(SUMIFS($W$44:$W$212,$D$44:$D$212,Table!$C$3,$P$44:$P$212,K14,$X$44:$X$212,{"Ongoing","N/A",""})))</f>
        <v>6.3250000000000002</v>
      </c>
      <c r="O14" s="77">
        <f t="shared" ref="O14:O17" si="6">IF(ISERROR(M14/(N14)),"N/A",M14/N14)</f>
        <v>0</v>
      </c>
      <c r="P14" s="78" t="str">
        <f t="shared" ref="P14:P17" si="7">IF(ISERROR(M14/L14),"N/A",M14/L14)</f>
        <v>N/A</v>
      </c>
    </row>
    <row r="15" spans="1:27" x14ac:dyDescent="0.25">
      <c r="B15" s="3">
        <v>3</v>
      </c>
      <c r="C15" s="36" t="s">
        <v>74</v>
      </c>
      <c r="D15" s="77">
        <f>SUMIFS($T$44:$T$212,$D$44:$D$212,Table!$C$3,$P$44:$P$212,C15)</f>
        <v>983.61600000000021</v>
      </c>
      <c r="E15" s="77">
        <f>SUMIFS($U$44:$U$212,$D$44:$D$212,Table!$C$3,$P$44:$P$212,C15)-SUM(SUMIFS($U$44:$U$212,$D$44:$D$212,Table!$C$3,$P$44:$P$212,C15,$X$44:$X$212,{"Ongoing","N/A",""}))</f>
        <v>983.61600000000021</v>
      </c>
      <c r="F15" s="77">
        <f>1/8*(SUMIFS($W$44:$W$212,$D$44:$D$212,Table!$C$3,$P$44:$P$212,C15)-SUM(SUMIFS($W$44:$W$212,$D$44:$D$212,Table!$C$3,$P$44:$P$212,C15,$X$44:$X$212,{"Ongoing","N/A",""})))</f>
        <v>9.625</v>
      </c>
      <c r="G15" s="77">
        <f t="shared" si="4"/>
        <v>102.19387012987015</v>
      </c>
      <c r="H15" s="78">
        <f t="shared" si="5"/>
        <v>1</v>
      </c>
      <c r="J15" s="3">
        <v>3</v>
      </c>
      <c r="K15" s="36" t="s">
        <v>74</v>
      </c>
      <c r="L15" s="77">
        <f>SUMIFS($S$44:$S$212,$D$44:$D$212,Table!$C$3,$P$44:$P$212,K15)</f>
        <v>0</v>
      </c>
      <c r="M15" s="77">
        <f>SUMIFS($S$44:$S$212,$D$44:$D$212,Table!$C$3,$P$44:$P$212,K15)-SUM(SUMIFS($S$44:$S$212,$D$44:$D$212,Table!$C$3,$P$44:$P$212,K15,$X$44:$X$212,{"Ongoing","N/A",""}))</f>
        <v>0</v>
      </c>
      <c r="N15" s="77">
        <f>1/8*(SUMIFS($W$44:$W$212,$D$44:$D$212,Table!$C$3,$P$44:$P$212,K15)-SUM(SUMIFS($W$44:$W$212,$D$44:$D$212,Table!$C$3,$P$44:$P$212,K15,$X$44:$X$212,{"Ongoing","N/A",""})))</f>
        <v>9.625</v>
      </c>
      <c r="O15" s="77">
        <f t="shared" si="6"/>
        <v>0</v>
      </c>
      <c r="P15" s="78" t="str">
        <f t="shared" si="7"/>
        <v>N/A</v>
      </c>
      <c r="AA15" s="7"/>
    </row>
    <row r="16" spans="1:27" x14ac:dyDescent="0.25">
      <c r="B16" s="3">
        <v>4</v>
      </c>
      <c r="C16" s="36" t="s">
        <v>75</v>
      </c>
      <c r="D16" s="77">
        <f>SUMIFS($T$44:$T$212,$D$44:$D$212,Table!$C$3,$P$44:$P$212,C16)</f>
        <v>1072.3410000000001</v>
      </c>
      <c r="E16" s="77">
        <f>SUMIFS($U$44:$U$212,$D$44:$D$212,Table!$C$3,$P$44:$P$212,C16)-SUM(SUMIFS($U$44:$U$212,$D$44:$D$212,Table!$C$3,$P$44:$P$212,C16,$X$44:$X$212,{"Ongoing","N/A",""}))</f>
        <v>1072.3410000000001</v>
      </c>
      <c r="F16" s="77">
        <f>1/8*(SUMIFS($W$44:$W$212,$D$44:$D$212,Table!$C$3,$P$44:$P$212,C16)-SUM(SUMIFS($W$44:$W$212,$D$44:$D$212,Table!$C$3,$P$44:$P$212,C16,$X$44:$X$212,{"Ongoing","N/A",""})))</f>
        <v>5.5</v>
      </c>
      <c r="G16" s="77">
        <f t="shared" si="4"/>
        <v>194.97109090909092</v>
      </c>
      <c r="H16" s="78">
        <f t="shared" si="5"/>
        <v>1</v>
      </c>
      <c r="J16" s="3">
        <v>4</v>
      </c>
      <c r="K16" s="36" t="s">
        <v>75</v>
      </c>
      <c r="L16" s="77">
        <f>SUMIFS($S$44:$S$212,$D$44:$D$212,Table!$C$3,$P$44:$P$212,K16)</f>
        <v>0</v>
      </c>
      <c r="M16" s="77">
        <f>SUMIFS($S$44:$S$212,$D$44:$D$212,Table!$C$3,$P$44:$P$212,K16)-SUM(SUMIFS($S$44:$S$212,$D$44:$D$212,Table!$C$3,$P$44:$P$212,K16,$X$44:$X$212,{"Ongoing","N/A",""}))</f>
        <v>0</v>
      </c>
      <c r="N16" s="77">
        <f>1/8*(SUMIFS($W$44:$W$212,$D$44:$D$212,Table!$C$3,$P$44:$P$212,K16)-SUM(SUMIFS($W$44:$W$212,$D$44:$D$212,Table!$C$3,$P$44:$P$212,K16,$X$44:$X$212,{"Ongoing","N/A",""})))</f>
        <v>5.5</v>
      </c>
      <c r="O16" s="77">
        <f t="shared" si="6"/>
        <v>0</v>
      </c>
      <c r="P16" s="78" t="str">
        <f t="shared" si="7"/>
        <v>N/A</v>
      </c>
      <c r="AA16" s="7"/>
    </row>
    <row r="17" spans="2:27" x14ac:dyDescent="0.25">
      <c r="B17" s="2" t="s">
        <v>287</v>
      </c>
      <c r="C17" s="35"/>
      <c r="D17" s="79">
        <f>ROUND(SUMIFS($T$44:$T$212,$D$44:$D$212,Table!$C$3),3)</f>
        <v>4150.8360000000002</v>
      </c>
      <c r="E17" s="79">
        <f>ROUND(SUMIFS($T$44:$T$212,$D$44:$D$212,Table!$C$3)-SUM(SUMIFS($T$44:$T$212,$D$44:$D$212,Table!$C$3,$X$44:$X$212,{"Ongoing","N/A",""})),3)</f>
        <v>4150.8360000000002</v>
      </c>
      <c r="F17" s="79">
        <f>1/8*(SUMIFS($W$44:$W$212,$D$44:$D$212,Table!$C$3)-SUM(SUMIFS($W$44:$W$212,$D$44:$D$212,Table!$C$3,$X$44:$X$212,{"Ongoing","N/A",""})))</f>
        <v>28.95</v>
      </c>
      <c r="G17" s="77">
        <f t="shared" si="4"/>
        <v>143.37948186528499</v>
      </c>
      <c r="H17" s="78">
        <f t="shared" si="5"/>
        <v>1</v>
      </c>
      <c r="J17" s="2" t="s">
        <v>287</v>
      </c>
      <c r="K17" s="35"/>
      <c r="L17" s="79">
        <f>SUMIFS($S$44:$S$212,$D$44:$D$212,Table!$C$3)</f>
        <v>162</v>
      </c>
      <c r="M17" s="79">
        <f>SUMIFS($S$44:$S$212,$D$44:$D$212,Table!$C$3)-SUM(SUMIFS($S$44:$S$212,$D$44:$D$212,Table!$C$3,$X$44:$X$212,{"Ongoing","N/A",""}))</f>
        <v>162</v>
      </c>
      <c r="N17" s="79">
        <f>1/8*(SUMIFS($W$44:$W$212,$D$44:$D$212,Table!$C$3)-SUM(SUMIFS($W$44:$W$212,$D$44:$D$212,Table!$C$3,$X$44:$X$212,{"Ongoing","N/A",""})))</f>
        <v>28.95</v>
      </c>
      <c r="O17" s="77">
        <f t="shared" si="6"/>
        <v>5.5958549222797931</v>
      </c>
      <c r="P17" s="78">
        <f t="shared" si="7"/>
        <v>1</v>
      </c>
      <c r="AA17" s="7"/>
    </row>
    <row r="20" spans="2:27" x14ac:dyDescent="0.25">
      <c r="B20" s="1" t="s">
        <v>288</v>
      </c>
      <c r="J20" s="1" t="s">
        <v>288</v>
      </c>
    </row>
    <row r="21" spans="2:27" x14ac:dyDescent="0.25">
      <c r="B21" s="2" t="s">
        <v>0</v>
      </c>
      <c r="C21" s="2" t="s">
        <v>8</v>
      </c>
      <c r="D21" s="2" t="s">
        <v>467</v>
      </c>
      <c r="E21" s="2" t="s">
        <v>62</v>
      </c>
      <c r="F21" s="2" t="s">
        <v>229</v>
      </c>
      <c r="G21" s="2" t="s">
        <v>23</v>
      </c>
      <c r="H21" s="4" t="s">
        <v>28</v>
      </c>
      <c r="J21" s="2" t="s">
        <v>0</v>
      </c>
      <c r="K21" s="2" t="s">
        <v>8</v>
      </c>
      <c r="L21" s="2" t="s">
        <v>26</v>
      </c>
      <c r="M21" s="2" t="s">
        <v>27</v>
      </c>
      <c r="N21" s="2" t="s">
        <v>24</v>
      </c>
      <c r="O21" s="2" t="s">
        <v>23</v>
      </c>
      <c r="P21" s="4" t="s">
        <v>28</v>
      </c>
    </row>
    <row r="22" spans="2:27" x14ac:dyDescent="0.25">
      <c r="B22" s="3">
        <v>1</v>
      </c>
      <c r="C22" s="36" t="s">
        <v>6</v>
      </c>
      <c r="D22" s="77">
        <f>SUM(D13*Table!$D$4/Table!$C$4,D4)</f>
        <v>5061.9530769230769</v>
      </c>
      <c r="E22" s="77">
        <f>SUM(E13*Table!$D$4/Table!$C$4,E4)</f>
        <v>5061.9530769230769</v>
      </c>
      <c r="F22" s="77">
        <f ca="1">$C$41</f>
        <v>15</v>
      </c>
      <c r="G22" s="77">
        <f t="shared" ref="G22" ca="1" si="8">IF(ISERROR(E22/(F22)),"N/A",E22/F22)</f>
        <v>337.46353846153846</v>
      </c>
      <c r="H22" s="78">
        <f t="shared" ref="H22:H26" si="9">IF(ISERROR(E22/D22),"N/A",E22/D22)</f>
        <v>1</v>
      </c>
      <c r="J22" s="3">
        <v>1</v>
      </c>
      <c r="K22" s="36" t="s">
        <v>6</v>
      </c>
      <c r="L22" s="77">
        <f>SUM(L13*Table!$D$4/Table!$C$4,L4)</f>
        <v>3564.7692307692305</v>
      </c>
      <c r="M22" s="77">
        <f>SUM(M13*Table!$D$4/Table!$C$4,M4)</f>
        <v>2257.2692307692305</v>
      </c>
      <c r="N22" s="77">
        <f ca="1">IF(OR(Template_Weekly_Report!E34="-",Template_Weekly_Report!E34=""),Template_Weekly_Report!$B$4,Template_Weekly_Report!$B$4-Template_Weekly_Report!E34)+Table!D13</f>
        <v>26</v>
      </c>
      <c r="O22" s="77">
        <f t="shared" ref="O22" ca="1" si="10">IF(ISERROR(M22/(N22)),"N/A",M22/N22)</f>
        <v>86.818047337278102</v>
      </c>
      <c r="P22" s="78">
        <f t="shared" ref="P22:P26" si="11">IF(ISERROR(M22/L22),"N/A",M22/L22)</f>
        <v>0.63321608907686333</v>
      </c>
    </row>
    <row r="23" spans="2:27" x14ac:dyDescent="0.25">
      <c r="B23" s="3">
        <v>2</v>
      </c>
      <c r="C23" s="36" t="s">
        <v>73</v>
      </c>
      <c r="D23" s="77">
        <f>SUM(D14*Table!$D$4/Table!$C$4,D5)</f>
        <v>5697.3011538461542</v>
      </c>
      <c r="E23" s="77">
        <f>SUM(E14*Table!$D$4/Table!$C$4,E5)</f>
        <v>5697.3011538461542</v>
      </c>
      <c r="F23" s="77">
        <f ca="1">$C$41</f>
        <v>15</v>
      </c>
      <c r="G23" s="77">
        <f ca="1">IF(ISERROR(E23/(F23)),"N/A",E23/F23)</f>
        <v>379.82007692307695</v>
      </c>
      <c r="H23" s="78">
        <f t="shared" si="9"/>
        <v>1</v>
      </c>
      <c r="J23" s="3">
        <v>2</v>
      </c>
      <c r="K23" s="36" t="s">
        <v>73</v>
      </c>
      <c r="L23" s="77">
        <f>SUM(L14*Table!$D$4/Table!$C$4,L5)</f>
        <v>3218</v>
      </c>
      <c r="M23" s="77">
        <f>SUM(M14*Table!$D$4/Table!$C$4,M5)</f>
        <v>1811.25</v>
      </c>
      <c r="N23" s="77">
        <f ca="1">IF(OR(Template_Weekly_Report!E35="-",Template_Weekly_Report!E35=""),Template_Weekly_Report!$B$4,Template_Weekly_Report!$B$4-Template_Weekly_Report!E35)+Table!D14</f>
        <v>26</v>
      </c>
      <c r="O23" s="77">
        <f ca="1">IF(ISERROR(M23/(N23)),"N/A",M23/N23)</f>
        <v>69.663461538461533</v>
      </c>
      <c r="P23" s="78">
        <f t="shared" si="11"/>
        <v>0.56284959602237417</v>
      </c>
    </row>
    <row r="24" spans="2:27" x14ac:dyDescent="0.25">
      <c r="B24" s="3">
        <v>3</v>
      </c>
      <c r="C24" s="36" t="s">
        <v>74</v>
      </c>
      <c r="D24" s="77">
        <f>SUM(D15*Table!$D$4/Table!$C$4,D6)</f>
        <v>5186.8246153846158</v>
      </c>
      <c r="E24" s="77">
        <f>SUM(E15*Table!$D$4/Table!$C$4,E6)</f>
        <v>5186.8246153846158</v>
      </c>
      <c r="F24" s="77">
        <f ca="1">$C$41</f>
        <v>15</v>
      </c>
      <c r="G24" s="77">
        <f t="shared" ref="G24" ca="1" si="12">IF(ISERROR(E24/(F24)),"N/A",E24/F24)</f>
        <v>345.78830769230774</v>
      </c>
      <c r="H24" s="78">
        <f t="shared" si="9"/>
        <v>1</v>
      </c>
      <c r="J24" s="3">
        <v>3</v>
      </c>
      <c r="K24" s="36" t="s">
        <v>74</v>
      </c>
      <c r="L24" s="77">
        <f>SUM(L15*Table!$D$4/Table!$C$4,L6)</f>
        <v>2056</v>
      </c>
      <c r="M24" s="77">
        <f>SUM(M15*Table!$D$4/Table!$C$4,M6)</f>
        <v>1782</v>
      </c>
      <c r="N24" s="77">
        <f ca="1">IF(OR(Template_Weekly_Report!E36="-",Template_Weekly_Report!E36=""),Template_Weekly_Report!$B$4,Template_Weekly_Report!$B$4-Template_Weekly_Report!E36)+Table!D15</f>
        <v>16</v>
      </c>
      <c r="O24" s="77">
        <f t="shared" ref="O24" ca="1" si="13">IF(ISERROR(M24/(N24)),"N/A",M24/N24)</f>
        <v>111.375</v>
      </c>
      <c r="P24" s="78">
        <f t="shared" si="11"/>
        <v>0.86673151750972766</v>
      </c>
    </row>
    <row r="25" spans="2:27" x14ac:dyDescent="0.25">
      <c r="B25" s="3">
        <v>4</v>
      </c>
      <c r="C25" s="36" t="s">
        <v>75</v>
      </c>
      <c r="D25" s="77">
        <f>SUM(D16*Table!$D$4/Table!$C$4,D7)</f>
        <v>5394.9496153846158</v>
      </c>
      <c r="E25" s="77">
        <f>SUM(E16*Table!$D$4/Table!$C$4,E7)</f>
        <v>5394.9496153846158</v>
      </c>
      <c r="F25" s="77">
        <f ca="1">$C$41</f>
        <v>15</v>
      </c>
      <c r="G25" s="77">
        <f ca="1">IF(ISERROR(E25/(F25)),"N/A",E25/F25)</f>
        <v>359.66330769230774</v>
      </c>
      <c r="H25" s="78">
        <f t="shared" si="9"/>
        <v>1</v>
      </c>
      <c r="J25" s="3">
        <v>4</v>
      </c>
      <c r="K25" s="36" t="s">
        <v>75</v>
      </c>
      <c r="L25" s="77">
        <f>SUM(L16*Table!$D$4/Table!$C$4,L7)</f>
        <v>4213</v>
      </c>
      <c r="M25" s="77">
        <f>SUM(M16*Table!$D$4/Table!$C$4,M7)</f>
        <v>1683</v>
      </c>
      <c r="N25" s="77">
        <f ca="1">IF(OR(Template_Weekly_Report!E37="-",Template_Weekly_Report!E37=""),Template_Weekly_Report!$B$4,Template_Weekly_Report!$B$4-Template_Weekly_Report!E37)+Table!D16</f>
        <v>26</v>
      </c>
      <c r="O25" s="77">
        <f ca="1">IF(ISERROR(M25/(N25)),"N/A",M25/N25)</f>
        <v>64.730769230769226</v>
      </c>
      <c r="P25" s="78">
        <f t="shared" si="11"/>
        <v>0.39947780678851175</v>
      </c>
    </row>
    <row r="26" spans="2:27" x14ac:dyDescent="0.25">
      <c r="B26" s="2" t="s">
        <v>287</v>
      </c>
      <c r="C26" s="35"/>
      <c r="D26" s="77">
        <f>SUM(D22:D25)</f>
        <v>21341.028461538463</v>
      </c>
      <c r="E26" s="77">
        <f>SUM(E22:E25)</f>
        <v>21341.028461538463</v>
      </c>
      <c r="F26" s="77">
        <f ca="1">$C$41*4</f>
        <v>60</v>
      </c>
      <c r="G26" s="77">
        <f ca="1">IF(ISERROR(E26/(F26)),"N/A",E26/F26)</f>
        <v>355.68380769230771</v>
      </c>
      <c r="H26" s="78">
        <f t="shared" si="9"/>
        <v>1</v>
      </c>
      <c r="J26" s="2" t="s">
        <v>287</v>
      </c>
      <c r="K26" s="35"/>
      <c r="L26" s="77">
        <f>SUM(L22:L25)</f>
        <v>13051.76923076923</v>
      </c>
      <c r="M26" s="77">
        <f>SUM(M22:M25)</f>
        <v>7533.5192307692305</v>
      </c>
      <c r="N26" s="77">
        <f ca="1">Template_Weekly_Report!B4*COUNTA(C22:C25)</f>
        <v>104</v>
      </c>
      <c r="O26" s="77">
        <f ca="1">IF(ISERROR(M26/(N26)),"N/A",M26/N26)</f>
        <v>72.437684911242599</v>
      </c>
      <c r="P26" s="78">
        <f t="shared" si="11"/>
        <v>0.57720291384015132</v>
      </c>
    </row>
    <row r="29" spans="2:27" x14ac:dyDescent="0.25">
      <c r="B29" s="1" t="s">
        <v>48</v>
      </c>
    </row>
    <row r="30" spans="2:27" x14ac:dyDescent="0.25">
      <c r="C30" s="1" t="s">
        <v>50</v>
      </c>
    </row>
    <row r="31" spans="2:27" x14ac:dyDescent="0.25">
      <c r="D31" t="s">
        <v>49</v>
      </c>
    </row>
    <row r="32" spans="2:27" x14ac:dyDescent="0.25">
      <c r="D32" t="s">
        <v>217</v>
      </c>
    </row>
    <row r="33" spans="2:37" x14ac:dyDescent="0.25">
      <c r="C33" s="1" t="s">
        <v>51</v>
      </c>
    </row>
    <row r="34" spans="2:37" x14ac:dyDescent="0.25">
      <c r="D34" t="s">
        <v>52</v>
      </c>
    </row>
    <row r="35" spans="2:37" x14ac:dyDescent="0.25">
      <c r="D35" t="s">
        <v>53</v>
      </c>
    </row>
    <row r="38" spans="2:37" x14ac:dyDescent="0.25">
      <c r="B38" s="1" t="s">
        <v>47</v>
      </c>
      <c r="C38" s="68">
        <v>43911</v>
      </c>
      <c r="E38" s="68">
        <f ca="1">TODAY()</f>
        <v>43931</v>
      </c>
    </row>
    <row r="39" spans="2:37" x14ac:dyDescent="0.25">
      <c r="B39" s="1" t="s">
        <v>34</v>
      </c>
      <c r="C39" s="8">
        <f ca="1">SUM(INT((WEEKDAY(C38-{2,3,4,5,6}) +E38-C38)/7))</f>
        <v>15</v>
      </c>
    </row>
    <row r="40" spans="2:37" x14ac:dyDescent="0.25">
      <c r="B40" s="1" t="s">
        <v>758</v>
      </c>
      <c r="C40" s="8">
        <v>1</v>
      </c>
    </row>
    <row r="41" spans="2:37" x14ac:dyDescent="0.25">
      <c r="B41" s="1" t="s">
        <v>289</v>
      </c>
      <c r="C41">
        <f ca="1">IF(TODAY()&lt;E38,SUM(INT((WEEKDAY(C38-{2,3,4,5,6})+TODAY()-C38)/7)),SUM(INT((WEEKDAY(C38-{2,3,4,5,6})+E38-C38)/7)))</f>
        <v>15</v>
      </c>
    </row>
    <row r="43" spans="2:37" x14ac:dyDescent="0.25">
      <c r="B43" s="2" t="s">
        <v>0</v>
      </c>
      <c r="C43" s="2" t="s">
        <v>72</v>
      </c>
      <c r="D43" s="2" t="s">
        <v>1</v>
      </c>
      <c r="E43" s="2" t="s">
        <v>65</v>
      </c>
      <c r="F43" s="2" t="s">
        <v>66</v>
      </c>
      <c r="G43" s="2" t="s">
        <v>291</v>
      </c>
      <c r="H43" s="2" t="s">
        <v>67</v>
      </c>
      <c r="I43" s="2" t="s">
        <v>290</v>
      </c>
      <c r="J43" s="2" t="s">
        <v>81</v>
      </c>
      <c r="K43" s="2" t="s">
        <v>80</v>
      </c>
      <c r="L43" s="2" t="s">
        <v>71</v>
      </c>
      <c r="M43" s="2" t="s">
        <v>89</v>
      </c>
      <c r="N43" s="18" t="s">
        <v>64</v>
      </c>
      <c r="O43" s="4" t="s">
        <v>7</v>
      </c>
      <c r="P43" s="4" t="s">
        <v>8</v>
      </c>
      <c r="Q43" s="4" t="s">
        <v>87</v>
      </c>
      <c r="R43" s="4" t="s">
        <v>101</v>
      </c>
      <c r="S43" s="4" t="s">
        <v>84</v>
      </c>
      <c r="T43" s="4" t="s">
        <v>85</v>
      </c>
      <c r="U43" s="4" t="s">
        <v>62</v>
      </c>
      <c r="V43" s="4" t="s">
        <v>88</v>
      </c>
      <c r="W43" s="4" t="s">
        <v>63</v>
      </c>
      <c r="X43" s="4" t="s">
        <v>18</v>
      </c>
      <c r="Y43" s="4" t="s">
        <v>68</v>
      </c>
      <c r="Z43" s="4" t="s">
        <v>69</v>
      </c>
      <c r="AA43" s="2" t="s">
        <v>12</v>
      </c>
      <c r="AB43" s="2" t="s">
        <v>13</v>
      </c>
      <c r="AC43" s="2" t="s">
        <v>86</v>
      </c>
      <c r="AD43" s="2" t="s">
        <v>885</v>
      </c>
      <c r="AE43" s="2" t="s">
        <v>886</v>
      </c>
      <c r="AF43" s="2" t="s">
        <v>14</v>
      </c>
      <c r="AG43" s="2" t="s">
        <v>15</v>
      </c>
      <c r="AH43" s="4" t="s">
        <v>16</v>
      </c>
      <c r="AI43" s="4" t="s">
        <v>17</v>
      </c>
      <c r="AJ43" s="4" t="s">
        <v>90</v>
      </c>
    </row>
    <row r="44" spans="2:37" x14ac:dyDescent="0.25">
      <c r="B44" s="62">
        <v>70</v>
      </c>
      <c r="C44" s="25">
        <v>20200319</v>
      </c>
      <c r="D44" s="24" t="s">
        <v>2</v>
      </c>
      <c r="E44" s="24" t="s">
        <v>455</v>
      </c>
      <c r="F44" s="26" t="s">
        <v>70</v>
      </c>
      <c r="G44" s="24" t="s">
        <v>132</v>
      </c>
      <c r="H44" s="24" t="s">
        <v>344</v>
      </c>
      <c r="I44" s="24" t="s">
        <v>334</v>
      </c>
      <c r="J44" s="24" t="s">
        <v>70</v>
      </c>
      <c r="K44" s="24" t="s">
        <v>845</v>
      </c>
      <c r="L44" s="26" t="s">
        <v>414</v>
      </c>
      <c r="M44" s="26" t="s">
        <v>476</v>
      </c>
      <c r="N44" s="27" t="s">
        <v>573</v>
      </c>
      <c r="O44" s="25" t="s">
        <v>202</v>
      </c>
      <c r="P44" s="24" t="s">
        <v>6</v>
      </c>
      <c r="Q44" s="24"/>
      <c r="R44" s="24"/>
      <c r="S44" s="24"/>
      <c r="T44" s="24">
        <f>ROUND(IF(D44=Table!$C$3,V44*Table!$C$4/8,V44*Table!$D$4/8),3)</f>
        <v>26.244</v>
      </c>
      <c r="U44" s="24">
        <f t="shared" ref="U44:U66" si="14">T44</f>
        <v>26.244</v>
      </c>
      <c r="V44" s="24">
        <v>1.615</v>
      </c>
      <c r="W44" s="24">
        <v>4</v>
      </c>
      <c r="X44" s="24" t="s">
        <v>83</v>
      </c>
      <c r="Y44" s="28">
        <v>43910</v>
      </c>
      <c r="Z44" s="28">
        <v>43920</v>
      </c>
      <c r="AA44" s="28">
        <v>43910</v>
      </c>
      <c r="AB44" s="28">
        <v>43910</v>
      </c>
      <c r="AC44" s="28" t="s">
        <v>204</v>
      </c>
      <c r="AD44" s="30"/>
      <c r="AE44" s="30"/>
      <c r="AF44" s="55">
        <v>1</v>
      </c>
      <c r="AG44" s="55">
        <v>1</v>
      </c>
      <c r="AH44" s="55">
        <v>1</v>
      </c>
      <c r="AI44" s="24"/>
      <c r="AJ44" s="24"/>
      <c r="AK44" s="24"/>
    </row>
    <row r="45" spans="2:37" x14ac:dyDescent="0.25">
      <c r="B45" s="62">
        <v>71</v>
      </c>
      <c r="C45" s="25">
        <v>20200319</v>
      </c>
      <c r="D45" s="24" t="s">
        <v>2</v>
      </c>
      <c r="E45" s="24" t="s">
        <v>455</v>
      </c>
      <c r="F45" s="26" t="s">
        <v>70</v>
      </c>
      <c r="G45" s="24" t="s">
        <v>133</v>
      </c>
      <c r="H45" s="24" t="s">
        <v>345</v>
      </c>
      <c r="I45" s="24" t="s">
        <v>334</v>
      </c>
      <c r="J45" s="24" t="s">
        <v>70</v>
      </c>
      <c r="K45" s="24" t="s">
        <v>845</v>
      </c>
      <c r="L45" s="26" t="s">
        <v>415</v>
      </c>
      <c r="M45" s="26" t="s">
        <v>476</v>
      </c>
      <c r="N45" s="27" t="s">
        <v>574</v>
      </c>
      <c r="O45" s="25" t="s">
        <v>202</v>
      </c>
      <c r="P45" s="24" t="s">
        <v>6</v>
      </c>
      <c r="Q45" s="24"/>
      <c r="R45" s="24"/>
      <c r="S45" s="24"/>
      <c r="T45" s="24">
        <f>ROUND(IF(D45=Table!$C$3,V45*Table!$C$4/8,V45*Table!$D$4/8),3)</f>
        <v>26.244</v>
      </c>
      <c r="U45" s="24">
        <f t="shared" si="14"/>
        <v>26.244</v>
      </c>
      <c r="V45" s="24">
        <v>1.615</v>
      </c>
      <c r="W45" s="24">
        <v>2</v>
      </c>
      <c r="X45" s="24" t="s">
        <v>83</v>
      </c>
      <c r="Y45" s="28">
        <v>43910</v>
      </c>
      <c r="Z45" s="28">
        <v>43920</v>
      </c>
      <c r="AA45" s="28">
        <v>43910</v>
      </c>
      <c r="AB45" s="28">
        <v>43910</v>
      </c>
      <c r="AC45" s="28" t="s">
        <v>204</v>
      </c>
      <c r="AD45" s="30"/>
      <c r="AE45" s="30"/>
      <c r="AF45" s="55">
        <v>1</v>
      </c>
      <c r="AG45" s="55">
        <v>1</v>
      </c>
      <c r="AH45" s="55">
        <v>1</v>
      </c>
      <c r="AI45" s="24"/>
      <c r="AJ45" s="24"/>
      <c r="AK45" s="24"/>
    </row>
    <row r="46" spans="2:37" x14ac:dyDescent="0.25">
      <c r="B46" s="62">
        <v>72</v>
      </c>
      <c r="C46" s="25">
        <v>20200319</v>
      </c>
      <c r="D46" s="24" t="s">
        <v>2</v>
      </c>
      <c r="E46" s="24" t="s">
        <v>455</v>
      </c>
      <c r="F46" s="26" t="s">
        <v>70</v>
      </c>
      <c r="G46" s="24" t="s">
        <v>134</v>
      </c>
      <c r="H46" s="24" t="s">
        <v>346</v>
      </c>
      <c r="I46" s="24" t="s">
        <v>334</v>
      </c>
      <c r="J46" s="24" t="s">
        <v>70</v>
      </c>
      <c r="K46" s="24" t="s">
        <v>845</v>
      </c>
      <c r="L46" s="26" t="s">
        <v>415</v>
      </c>
      <c r="M46" s="26" t="s">
        <v>476</v>
      </c>
      <c r="N46" s="27" t="s">
        <v>575</v>
      </c>
      <c r="O46" s="25" t="s">
        <v>202</v>
      </c>
      <c r="P46" s="24" t="s">
        <v>6</v>
      </c>
      <c r="Q46" s="24"/>
      <c r="R46" s="24"/>
      <c r="S46" s="24"/>
      <c r="T46" s="24">
        <f>ROUND(IF(D46=Table!$C$3,V46*Table!$C$4/8,V46*Table!$D$4/8),3)</f>
        <v>26.244</v>
      </c>
      <c r="U46" s="24">
        <f t="shared" si="14"/>
        <v>26.244</v>
      </c>
      <c r="V46" s="24">
        <v>1.615</v>
      </c>
      <c r="W46" s="24">
        <v>2</v>
      </c>
      <c r="X46" s="24" t="s">
        <v>83</v>
      </c>
      <c r="Y46" s="28">
        <v>43910</v>
      </c>
      <c r="Z46" s="28">
        <v>43920</v>
      </c>
      <c r="AA46" s="28">
        <v>43910</v>
      </c>
      <c r="AB46" s="28">
        <v>43910</v>
      </c>
      <c r="AC46" s="28" t="s">
        <v>204</v>
      </c>
      <c r="AD46" s="30"/>
      <c r="AE46" s="30"/>
      <c r="AF46" s="55">
        <v>1</v>
      </c>
      <c r="AG46" s="55">
        <v>1</v>
      </c>
      <c r="AH46" s="55" t="s">
        <v>219</v>
      </c>
      <c r="AI46" s="24"/>
      <c r="AJ46" s="24"/>
      <c r="AK46" s="24"/>
    </row>
    <row r="47" spans="2:37" x14ac:dyDescent="0.25">
      <c r="B47" s="62">
        <v>73</v>
      </c>
      <c r="C47" s="25">
        <v>20200319</v>
      </c>
      <c r="D47" s="24" t="s">
        <v>2</v>
      </c>
      <c r="E47" s="24" t="s">
        <v>455</v>
      </c>
      <c r="F47" s="26" t="s">
        <v>70</v>
      </c>
      <c r="G47" s="24" t="s">
        <v>428</v>
      </c>
      <c r="H47" s="24" t="s">
        <v>347</v>
      </c>
      <c r="I47" s="24" t="s">
        <v>334</v>
      </c>
      <c r="J47" s="24" t="s">
        <v>70</v>
      </c>
      <c r="K47" s="24" t="s">
        <v>845</v>
      </c>
      <c r="L47" s="26" t="s">
        <v>415</v>
      </c>
      <c r="M47" s="26" t="s">
        <v>476</v>
      </c>
      <c r="N47" s="27" t="s">
        <v>576</v>
      </c>
      <c r="O47" s="25" t="s">
        <v>202</v>
      </c>
      <c r="P47" s="24" t="s">
        <v>6</v>
      </c>
      <c r="Q47" s="24"/>
      <c r="R47" s="24"/>
      <c r="S47" s="24"/>
      <c r="T47" s="24">
        <f>ROUND(IF(D47=Table!$C$3,V47*Table!$C$4/8,V47*Table!$D$4/8),3)</f>
        <v>26.244</v>
      </c>
      <c r="U47" s="24">
        <f t="shared" si="14"/>
        <v>26.244</v>
      </c>
      <c r="V47" s="24">
        <v>1.615</v>
      </c>
      <c r="W47" s="24">
        <v>4</v>
      </c>
      <c r="X47" s="24" t="s">
        <v>83</v>
      </c>
      <c r="Y47" s="28">
        <v>43910</v>
      </c>
      <c r="Z47" s="28">
        <v>43920</v>
      </c>
      <c r="AA47" s="28">
        <v>43913</v>
      </c>
      <c r="AB47" s="28">
        <v>43913</v>
      </c>
      <c r="AC47" s="28" t="s">
        <v>204</v>
      </c>
      <c r="AD47" s="30"/>
      <c r="AE47" s="30"/>
      <c r="AF47" s="55">
        <v>1</v>
      </c>
      <c r="AG47" s="55">
        <v>1</v>
      </c>
      <c r="AH47" s="55" t="s">
        <v>219</v>
      </c>
      <c r="AI47" s="24"/>
      <c r="AJ47" s="24"/>
      <c r="AK47" s="24"/>
    </row>
    <row r="48" spans="2:37" x14ac:dyDescent="0.25">
      <c r="B48" s="62">
        <v>74</v>
      </c>
      <c r="C48" s="25">
        <v>20200319</v>
      </c>
      <c r="D48" s="24" t="s">
        <v>2</v>
      </c>
      <c r="E48" s="24" t="s">
        <v>455</v>
      </c>
      <c r="F48" s="26" t="s">
        <v>70</v>
      </c>
      <c r="G48" s="24" t="s">
        <v>135</v>
      </c>
      <c r="H48" s="24" t="s">
        <v>348</v>
      </c>
      <c r="I48" s="24" t="s">
        <v>334</v>
      </c>
      <c r="J48" s="24" t="s">
        <v>70</v>
      </c>
      <c r="K48" s="24" t="s">
        <v>845</v>
      </c>
      <c r="L48" s="26" t="s">
        <v>415</v>
      </c>
      <c r="M48" s="26" t="s">
        <v>476</v>
      </c>
      <c r="N48" s="27" t="s">
        <v>577</v>
      </c>
      <c r="O48" s="25" t="s">
        <v>202</v>
      </c>
      <c r="P48" s="24" t="s">
        <v>6</v>
      </c>
      <c r="Q48" s="24"/>
      <c r="R48" s="24"/>
      <c r="S48" s="24"/>
      <c r="T48" s="24">
        <f>ROUND(IF(D48=Table!$C$3,V48*Table!$C$4/8,V48*Table!$D$4/8),3)</f>
        <v>26.244</v>
      </c>
      <c r="U48" s="24">
        <f t="shared" si="14"/>
        <v>26.244</v>
      </c>
      <c r="V48" s="24">
        <v>1.615</v>
      </c>
      <c r="W48" s="24">
        <v>2</v>
      </c>
      <c r="X48" s="24" t="s">
        <v>83</v>
      </c>
      <c r="Y48" s="28">
        <v>43910</v>
      </c>
      <c r="Z48" s="28">
        <v>43920</v>
      </c>
      <c r="AA48" s="28">
        <v>43913</v>
      </c>
      <c r="AB48" s="28">
        <v>43913</v>
      </c>
      <c r="AC48" s="28" t="s">
        <v>204</v>
      </c>
      <c r="AD48" s="30"/>
      <c r="AE48" s="30"/>
      <c r="AF48" s="55">
        <v>0.78900000000000003</v>
      </c>
      <c r="AG48" s="55">
        <v>0.82599999999999996</v>
      </c>
      <c r="AH48" s="55" t="s">
        <v>219</v>
      </c>
      <c r="AI48" s="24" t="s">
        <v>500</v>
      </c>
      <c r="AJ48" s="24"/>
      <c r="AK48" s="24"/>
    </row>
    <row r="49" spans="2:37" x14ac:dyDescent="0.25">
      <c r="B49" s="62">
        <v>75</v>
      </c>
      <c r="C49" s="25">
        <v>20200319</v>
      </c>
      <c r="D49" s="24" t="s">
        <v>2</v>
      </c>
      <c r="E49" s="24" t="s">
        <v>455</v>
      </c>
      <c r="F49" s="26" t="s">
        <v>70</v>
      </c>
      <c r="G49" s="24" t="s">
        <v>136</v>
      </c>
      <c r="H49" s="24" t="s">
        <v>349</v>
      </c>
      <c r="I49" s="24" t="s">
        <v>334</v>
      </c>
      <c r="J49" s="24" t="s">
        <v>70</v>
      </c>
      <c r="K49" s="24" t="s">
        <v>845</v>
      </c>
      <c r="L49" s="26" t="s">
        <v>415</v>
      </c>
      <c r="M49" s="26" t="s">
        <v>476</v>
      </c>
      <c r="N49" s="27" t="s">
        <v>578</v>
      </c>
      <c r="O49" s="25" t="s">
        <v>202</v>
      </c>
      <c r="P49" s="24" t="s">
        <v>6</v>
      </c>
      <c r="Q49" s="24"/>
      <c r="R49" s="24"/>
      <c r="S49" s="24"/>
      <c r="T49" s="24">
        <f>ROUND(IF(D49=Table!$C$3,V49*Table!$C$4/8,V49*Table!$D$4/8),3)</f>
        <v>26.244</v>
      </c>
      <c r="U49" s="24">
        <f t="shared" si="14"/>
        <v>26.244</v>
      </c>
      <c r="V49" s="24">
        <v>1.615</v>
      </c>
      <c r="W49" s="24">
        <v>2</v>
      </c>
      <c r="X49" s="24" t="s">
        <v>83</v>
      </c>
      <c r="Y49" s="28">
        <v>43910</v>
      </c>
      <c r="Z49" s="28">
        <v>43920</v>
      </c>
      <c r="AA49" s="28">
        <v>43913</v>
      </c>
      <c r="AB49" s="28">
        <v>43913</v>
      </c>
      <c r="AC49" s="28" t="s">
        <v>204</v>
      </c>
      <c r="AD49" s="30"/>
      <c r="AE49" s="30"/>
      <c r="AF49" s="55">
        <v>1</v>
      </c>
      <c r="AG49" s="55">
        <v>1</v>
      </c>
      <c r="AH49" s="55" t="s">
        <v>219</v>
      </c>
      <c r="AI49" s="24"/>
      <c r="AJ49" s="24"/>
      <c r="AK49" s="24"/>
    </row>
    <row r="50" spans="2:37" x14ac:dyDescent="0.25">
      <c r="B50" s="62">
        <v>76</v>
      </c>
      <c r="C50" s="25">
        <v>20200319</v>
      </c>
      <c r="D50" s="24" t="s">
        <v>2</v>
      </c>
      <c r="E50" s="24" t="s">
        <v>455</v>
      </c>
      <c r="F50" s="26" t="s">
        <v>70</v>
      </c>
      <c r="G50" s="24" t="s">
        <v>137</v>
      </c>
      <c r="H50" s="24" t="s">
        <v>350</v>
      </c>
      <c r="I50" s="24" t="s">
        <v>334</v>
      </c>
      <c r="J50" s="24" t="s">
        <v>70</v>
      </c>
      <c r="K50" s="24" t="s">
        <v>845</v>
      </c>
      <c r="L50" s="26" t="s">
        <v>415</v>
      </c>
      <c r="M50" s="26" t="s">
        <v>476</v>
      </c>
      <c r="N50" s="27" t="s">
        <v>579</v>
      </c>
      <c r="O50" s="25" t="s">
        <v>202</v>
      </c>
      <c r="P50" s="24" t="s">
        <v>6</v>
      </c>
      <c r="Q50" s="24"/>
      <c r="R50" s="24"/>
      <c r="S50" s="24"/>
      <c r="T50" s="24">
        <f>ROUND(IF(D50=Table!$C$3,V50*Table!$C$4/8,V50*Table!$D$4/8),3)</f>
        <v>48.344000000000001</v>
      </c>
      <c r="U50" s="24">
        <f t="shared" si="14"/>
        <v>48.344000000000001</v>
      </c>
      <c r="V50" s="24">
        <v>2.9750000000000001</v>
      </c>
      <c r="W50" s="24">
        <v>4</v>
      </c>
      <c r="X50" s="24" t="s">
        <v>83</v>
      </c>
      <c r="Y50" s="28">
        <v>43910</v>
      </c>
      <c r="Z50" s="28">
        <v>43920</v>
      </c>
      <c r="AA50" s="28">
        <v>43914</v>
      </c>
      <c r="AB50" s="28">
        <v>43914</v>
      </c>
      <c r="AC50" s="28" t="s">
        <v>204</v>
      </c>
      <c r="AD50" s="30"/>
      <c r="AE50" s="30"/>
      <c r="AF50" s="55">
        <v>1</v>
      </c>
      <c r="AG50" s="55">
        <v>1</v>
      </c>
      <c r="AH50" s="55">
        <v>1</v>
      </c>
      <c r="AI50" s="24"/>
      <c r="AJ50" s="24"/>
      <c r="AK50" s="24"/>
    </row>
    <row r="51" spans="2:37" x14ac:dyDescent="0.25">
      <c r="B51" s="62">
        <v>77</v>
      </c>
      <c r="C51" s="25">
        <v>20200319</v>
      </c>
      <c r="D51" s="24" t="s">
        <v>2</v>
      </c>
      <c r="E51" s="24" t="s">
        <v>455</v>
      </c>
      <c r="F51" s="26" t="s">
        <v>70</v>
      </c>
      <c r="G51" s="24" t="s">
        <v>138</v>
      </c>
      <c r="H51" s="24" t="s">
        <v>351</v>
      </c>
      <c r="I51" s="24" t="s">
        <v>334</v>
      </c>
      <c r="J51" s="24" t="s">
        <v>70</v>
      </c>
      <c r="K51" s="24" t="s">
        <v>845</v>
      </c>
      <c r="L51" s="26" t="s">
        <v>415</v>
      </c>
      <c r="M51" s="26" t="s">
        <v>476</v>
      </c>
      <c r="N51" s="27" t="s">
        <v>580</v>
      </c>
      <c r="O51" s="25" t="s">
        <v>202</v>
      </c>
      <c r="P51" s="24" t="s">
        <v>6</v>
      </c>
      <c r="Q51" s="24"/>
      <c r="R51" s="24"/>
      <c r="S51" s="24"/>
      <c r="T51" s="24">
        <f>ROUND(IF(D51=Table!$C$3,V51*Table!$C$4/8,V51*Table!$D$4/8),3)</f>
        <v>70.444000000000003</v>
      </c>
      <c r="U51" s="24">
        <f t="shared" si="14"/>
        <v>70.444000000000003</v>
      </c>
      <c r="V51" s="24">
        <v>4.335</v>
      </c>
      <c r="W51" s="24">
        <v>4</v>
      </c>
      <c r="X51" s="24" t="s">
        <v>83</v>
      </c>
      <c r="Y51" s="28">
        <v>43910</v>
      </c>
      <c r="Z51" s="28">
        <v>43920</v>
      </c>
      <c r="AA51" s="28">
        <v>43914</v>
      </c>
      <c r="AB51" s="28">
        <v>43914</v>
      </c>
      <c r="AC51" s="28" t="s">
        <v>204</v>
      </c>
      <c r="AD51" s="30"/>
      <c r="AE51" s="30"/>
      <c r="AF51" s="55">
        <v>0.872</v>
      </c>
      <c r="AG51" s="55">
        <v>0.88500000000000001</v>
      </c>
      <c r="AH51" s="55">
        <v>1</v>
      </c>
      <c r="AI51" s="24" t="s">
        <v>734</v>
      </c>
      <c r="AJ51" s="24"/>
      <c r="AK51" s="24"/>
    </row>
    <row r="52" spans="2:37" x14ac:dyDescent="0.25">
      <c r="B52" s="62">
        <v>78</v>
      </c>
      <c r="C52" s="25">
        <v>20200319</v>
      </c>
      <c r="D52" s="24" t="s">
        <v>2</v>
      </c>
      <c r="E52" s="24" t="s">
        <v>455</v>
      </c>
      <c r="F52" s="26" t="s">
        <v>70</v>
      </c>
      <c r="G52" s="24" t="s">
        <v>139</v>
      </c>
      <c r="H52" s="24" t="s">
        <v>352</v>
      </c>
      <c r="I52" s="24" t="s">
        <v>334</v>
      </c>
      <c r="J52" s="24" t="s">
        <v>70</v>
      </c>
      <c r="K52" s="24" t="s">
        <v>845</v>
      </c>
      <c r="L52" s="26" t="s">
        <v>415</v>
      </c>
      <c r="M52" s="26" t="s">
        <v>476</v>
      </c>
      <c r="N52" s="27" t="s">
        <v>581</v>
      </c>
      <c r="O52" s="25" t="s">
        <v>202</v>
      </c>
      <c r="P52" s="24" t="s">
        <v>6</v>
      </c>
      <c r="Q52" s="24"/>
      <c r="R52" s="24"/>
      <c r="S52" s="24"/>
      <c r="T52" s="24">
        <f>ROUND(IF(D52=Table!$C$3,V52*Table!$C$4/8,V52*Table!$D$4/8),3)</f>
        <v>65</v>
      </c>
      <c r="U52" s="24">
        <f t="shared" si="14"/>
        <v>65</v>
      </c>
      <c r="V52" s="82">
        <v>4</v>
      </c>
      <c r="W52" s="24">
        <v>4</v>
      </c>
      <c r="X52" s="24" t="s">
        <v>83</v>
      </c>
      <c r="Y52" s="28">
        <v>43910</v>
      </c>
      <c r="Z52" s="28">
        <v>43920</v>
      </c>
      <c r="AA52" s="28">
        <v>43915</v>
      </c>
      <c r="AB52" s="28">
        <v>43915</v>
      </c>
      <c r="AC52" s="28" t="s">
        <v>204</v>
      </c>
      <c r="AD52" s="30"/>
      <c r="AE52" s="30"/>
      <c r="AF52" s="55">
        <v>0.81</v>
      </c>
      <c r="AG52" s="55">
        <v>0.82</v>
      </c>
      <c r="AH52" s="55" t="s">
        <v>219</v>
      </c>
      <c r="AI52" s="24" t="s">
        <v>648</v>
      </c>
      <c r="AJ52" s="24"/>
      <c r="AK52" s="82" t="s">
        <v>647</v>
      </c>
    </row>
    <row r="53" spans="2:37" x14ac:dyDescent="0.25">
      <c r="B53" s="62">
        <v>79</v>
      </c>
      <c r="C53" s="25">
        <v>20200319</v>
      </c>
      <c r="D53" s="24" t="s">
        <v>2</v>
      </c>
      <c r="E53" s="24" t="s">
        <v>455</v>
      </c>
      <c r="F53" s="26" t="s">
        <v>70</v>
      </c>
      <c r="G53" s="24" t="s">
        <v>429</v>
      </c>
      <c r="H53" s="24" t="s">
        <v>353</v>
      </c>
      <c r="I53" s="24" t="s">
        <v>334</v>
      </c>
      <c r="J53" s="24" t="s">
        <v>70</v>
      </c>
      <c r="K53" s="24" t="s">
        <v>845</v>
      </c>
      <c r="L53" s="26" t="s">
        <v>416</v>
      </c>
      <c r="M53" s="26" t="s">
        <v>476</v>
      </c>
      <c r="N53" s="27" t="s">
        <v>582</v>
      </c>
      <c r="O53" s="25" t="s">
        <v>202</v>
      </c>
      <c r="P53" s="24" t="s">
        <v>6</v>
      </c>
      <c r="Q53" s="24"/>
      <c r="R53" s="24"/>
      <c r="S53" s="24"/>
      <c r="T53" s="24">
        <f>ROUND(IF(D53=Table!$C$3,V53*Table!$C$4/8,V53*Table!$D$4/8),3)</f>
        <v>26.244</v>
      </c>
      <c r="U53" s="24">
        <f t="shared" si="14"/>
        <v>26.244</v>
      </c>
      <c r="V53" s="24">
        <v>1.615</v>
      </c>
      <c r="W53" s="24">
        <v>2</v>
      </c>
      <c r="X53" s="24" t="s">
        <v>102</v>
      </c>
      <c r="Y53" s="28">
        <v>43910</v>
      </c>
      <c r="Z53" s="28">
        <v>43920</v>
      </c>
      <c r="AA53" s="28">
        <v>43915</v>
      </c>
      <c r="AB53" s="28">
        <v>43915</v>
      </c>
      <c r="AC53" s="28" t="s">
        <v>205</v>
      </c>
      <c r="AD53" s="30"/>
      <c r="AE53" s="30"/>
      <c r="AF53" s="55">
        <v>0.73299999999999998</v>
      </c>
      <c r="AG53" s="55">
        <v>0.73299999999999998</v>
      </c>
      <c r="AH53" s="55" t="s">
        <v>219</v>
      </c>
      <c r="AI53" s="24" t="s">
        <v>649</v>
      </c>
      <c r="AJ53" s="24"/>
      <c r="AK53" s="82" t="s">
        <v>650</v>
      </c>
    </row>
    <row r="54" spans="2:37" x14ac:dyDescent="0.25">
      <c r="B54" s="62">
        <v>80</v>
      </c>
      <c r="C54" s="25">
        <v>20200319</v>
      </c>
      <c r="D54" s="24" t="s">
        <v>2</v>
      </c>
      <c r="E54" s="24" t="s">
        <v>455</v>
      </c>
      <c r="F54" s="26" t="s">
        <v>70</v>
      </c>
      <c r="G54" s="24" t="s">
        <v>140</v>
      </c>
      <c r="H54" s="24" t="s">
        <v>354</v>
      </c>
      <c r="I54" s="24" t="s">
        <v>334</v>
      </c>
      <c r="J54" s="24" t="s">
        <v>70</v>
      </c>
      <c r="K54" s="24" t="s">
        <v>845</v>
      </c>
      <c r="L54" s="26" t="s">
        <v>415</v>
      </c>
      <c r="M54" s="26" t="s">
        <v>476</v>
      </c>
      <c r="N54" s="27" t="s">
        <v>583</v>
      </c>
      <c r="O54" s="25" t="s">
        <v>202</v>
      </c>
      <c r="P54" s="24" t="s">
        <v>6</v>
      </c>
      <c r="Q54" s="24"/>
      <c r="R54" s="24"/>
      <c r="S54" s="24"/>
      <c r="T54" s="24">
        <f>ROUND(IF(D54=Table!$C$3,V54*Table!$C$4/8,V54*Table!$D$4/8),3)</f>
        <v>26.244</v>
      </c>
      <c r="U54" s="24">
        <f t="shared" si="14"/>
        <v>26.244</v>
      </c>
      <c r="V54" s="24">
        <v>1.615</v>
      </c>
      <c r="W54" s="24">
        <v>2</v>
      </c>
      <c r="X54" s="24" t="s">
        <v>102</v>
      </c>
      <c r="Y54" s="28">
        <v>43910</v>
      </c>
      <c r="Z54" s="28">
        <v>43920</v>
      </c>
      <c r="AA54" s="28">
        <v>43915</v>
      </c>
      <c r="AB54" s="28">
        <v>43915</v>
      </c>
      <c r="AC54" s="28" t="s">
        <v>204</v>
      </c>
      <c r="AD54" s="30"/>
      <c r="AE54" s="30"/>
      <c r="AF54" s="55">
        <v>1</v>
      </c>
      <c r="AG54" s="55">
        <v>1</v>
      </c>
      <c r="AH54" s="55" t="s">
        <v>219</v>
      </c>
      <c r="AI54" s="24"/>
      <c r="AJ54" s="24"/>
      <c r="AK54" s="24"/>
    </row>
    <row r="55" spans="2:37" x14ac:dyDescent="0.25">
      <c r="B55" s="62">
        <v>81</v>
      </c>
      <c r="C55" s="25">
        <v>20200319</v>
      </c>
      <c r="D55" s="24" t="s">
        <v>2</v>
      </c>
      <c r="E55" s="24" t="s">
        <v>455</v>
      </c>
      <c r="F55" s="26" t="s">
        <v>70</v>
      </c>
      <c r="G55" s="24" t="s">
        <v>430</v>
      </c>
      <c r="H55" s="24" t="s">
        <v>355</v>
      </c>
      <c r="I55" s="24" t="s">
        <v>334</v>
      </c>
      <c r="J55" s="24" t="s">
        <v>70</v>
      </c>
      <c r="K55" s="24" t="s">
        <v>845</v>
      </c>
      <c r="L55" s="26" t="s">
        <v>415</v>
      </c>
      <c r="M55" s="26" t="s">
        <v>476</v>
      </c>
      <c r="N55" s="27" t="s">
        <v>584</v>
      </c>
      <c r="O55" s="25" t="s">
        <v>202</v>
      </c>
      <c r="P55" s="24" t="s">
        <v>6</v>
      </c>
      <c r="Q55" s="24"/>
      <c r="R55" s="24"/>
      <c r="S55" s="24"/>
      <c r="T55" s="24">
        <f>ROUND(IF(D55=Table!$C$3,V55*Table!$C$4/8,V55*Table!$D$4/8),3)</f>
        <v>26.244</v>
      </c>
      <c r="U55" s="24">
        <f t="shared" si="14"/>
        <v>26.244</v>
      </c>
      <c r="V55" s="24">
        <v>1.615</v>
      </c>
      <c r="W55" s="24">
        <v>3</v>
      </c>
      <c r="X55" s="24" t="s">
        <v>83</v>
      </c>
      <c r="Y55" s="28">
        <v>43910</v>
      </c>
      <c r="Z55" s="28">
        <v>43920</v>
      </c>
      <c r="AA55" s="28">
        <v>43916</v>
      </c>
      <c r="AB55" s="28">
        <v>43916</v>
      </c>
      <c r="AC55" s="28" t="s">
        <v>204</v>
      </c>
      <c r="AD55" s="30"/>
      <c r="AE55" s="30"/>
      <c r="AF55" s="55">
        <v>1</v>
      </c>
      <c r="AG55" s="55">
        <v>1</v>
      </c>
      <c r="AH55" s="55" t="s">
        <v>219</v>
      </c>
      <c r="AI55" s="24"/>
      <c r="AJ55" s="24"/>
      <c r="AK55" s="24"/>
    </row>
    <row r="56" spans="2:37" x14ac:dyDescent="0.25">
      <c r="B56" s="62">
        <v>82</v>
      </c>
      <c r="C56" s="25">
        <v>20200319</v>
      </c>
      <c r="D56" s="24" t="s">
        <v>2</v>
      </c>
      <c r="E56" s="24" t="s">
        <v>455</v>
      </c>
      <c r="F56" s="26" t="s">
        <v>70</v>
      </c>
      <c r="G56" s="24" t="s">
        <v>295</v>
      </c>
      <c r="H56" s="24" t="s">
        <v>356</v>
      </c>
      <c r="I56" s="24" t="s">
        <v>334</v>
      </c>
      <c r="J56" s="24" t="s">
        <v>70</v>
      </c>
      <c r="K56" s="24" t="s">
        <v>845</v>
      </c>
      <c r="L56" s="26" t="s">
        <v>415</v>
      </c>
      <c r="M56" s="26" t="s">
        <v>476</v>
      </c>
      <c r="N56" s="27" t="s">
        <v>585</v>
      </c>
      <c r="O56" s="25" t="s">
        <v>202</v>
      </c>
      <c r="P56" s="24" t="s">
        <v>6</v>
      </c>
      <c r="Q56" s="24"/>
      <c r="R56" s="24"/>
      <c r="S56" s="24"/>
      <c r="T56" s="24">
        <f>ROUND(IF(D56=Table!$C$3,V56*Table!$C$4/8,V56*Table!$D$4/8),3)</f>
        <v>26.244</v>
      </c>
      <c r="U56" s="24">
        <f t="shared" si="14"/>
        <v>26.244</v>
      </c>
      <c r="V56" s="24">
        <v>1.615</v>
      </c>
      <c r="W56" s="24">
        <v>1</v>
      </c>
      <c r="X56" s="24" t="s">
        <v>83</v>
      </c>
      <c r="Y56" s="28">
        <v>43910</v>
      </c>
      <c r="Z56" s="28">
        <v>43920</v>
      </c>
      <c r="AA56" s="28">
        <v>43916</v>
      </c>
      <c r="AB56" s="28">
        <v>43916</v>
      </c>
      <c r="AC56" s="28" t="s">
        <v>204</v>
      </c>
      <c r="AD56" s="30"/>
      <c r="AE56" s="30"/>
      <c r="AF56" s="55">
        <v>1</v>
      </c>
      <c r="AG56" s="55">
        <v>1</v>
      </c>
      <c r="AH56" s="55" t="s">
        <v>219</v>
      </c>
      <c r="AI56" s="24"/>
      <c r="AJ56" s="24"/>
      <c r="AK56" s="24"/>
    </row>
    <row r="57" spans="2:37" x14ac:dyDescent="0.25">
      <c r="B57" s="62">
        <v>83</v>
      </c>
      <c r="C57" s="25">
        <v>20200319</v>
      </c>
      <c r="D57" s="24" t="s">
        <v>2</v>
      </c>
      <c r="E57" s="24" t="s">
        <v>455</v>
      </c>
      <c r="F57" s="26" t="s">
        <v>70</v>
      </c>
      <c r="G57" s="24" t="s">
        <v>141</v>
      </c>
      <c r="H57" s="24" t="s">
        <v>357</v>
      </c>
      <c r="I57" s="24" t="s">
        <v>334</v>
      </c>
      <c r="J57" s="24" t="s">
        <v>70</v>
      </c>
      <c r="K57" s="24" t="s">
        <v>845</v>
      </c>
      <c r="L57" s="26" t="s">
        <v>415</v>
      </c>
      <c r="M57" s="26" t="s">
        <v>476</v>
      </c>
      <c r="N57" s="27" t="s">
        <v>586</v>
      </c>
      <c r="O57" s="25" t="s">
        <v>202</v>
      </c>
      <c r="P57" s="24" t="s">
        <v>6</v>
      </c>
      <c r="Q57" s="24"/>
      <c r="R57" s="24"/>
      <c r="S57" s="24"/>
      <c r="T57" s="24">
        <f>ROUND(IF(D57=Table!$C$3,V57*Table!$C$4/8,V57*Table!$D$4/8),3)</f>
        <v>81.494</v>
      </c>
      <c r="U57" s="24">
        <f t="shared" si="14"/>
        <v>81.494</v>
      </c>
      <c r="V57" s="24">
        <v>5.0150000000000006</v>
      </c>
      <c r="W57" s="24">
        <v>4</v>
      </c>
      <c r="X57" s="24" t="s">
        <v>83</v>
      </c>
      <c r="Y57" s="28">
        <v>43910</v>
      </c>
      <c r="Z57" s="28">
        <v>43920</v>
      </c>
      <c r="AA57" s="28">
        <v>43917</v>
      </c>
      <c r="AB57" s="28">
        <v>43917</v>
      </c>
      <c r="AC57" s="28" t="s">
        <v>204</v>
      </c>
      <c r="AD57" s="30"/>
      <c r="AE57" s="30"/>
      <c r="AF57" s="55">
        <v>0.95</v>
      </c>
      <c r="AG57" s="55">
        <v>0.95699999999999996</v>
      </c>
      <c r="AH57" s="55">
        <v>1</v>
      </c>
      <c r="AI57" s="24" t="s">
        <v>657</v>
      </c>
      <c r="AJ57" s="24"/>
      <c r="AK57" s="24"/>
    </row>
    <row r="58" spans="2:37" x14ac:dyDescent="0.25">
      <c r="B58" s="62">
        <v>84</v>
      </c>
      <c r="C58" s="25">
        <v>20200319</v>
      </c>
      <c r="D58" s="24" t="s">
        <v>2</v>
      </c>
      <c r="E58" s="24" t="s">
        <v>455</v>
      </c>
      <c r="F58" s="26" t="s">
        <v>70</v>
      </c>
      <c r="G58" s="24" t="s">
        <v>142</v>
      </c>
      <c r="H58" s="24" t="s">
        <v>358</v>
      </c>
      <c r="I58" s="24" t="s">
        <v>334</v>
      </c>
      <c r="J58" s="24" t="s">
        <v>70</v>
      </c>
      <c r="K58" s="24" t="s">
        <v>845</v>
      </c>
      <c r="L58" s="26" t="s">
        <v>415</v>
      </c>
      <c r="M58" s="26" t="s">
        <v>476</v>
      </c>
      <c r="N58" s="27" t="s">
        <v>587</v>
      </c>
      <c r="O58" s="25" t="s">
        <v>202</v>
      </c>
      <c r="P58" s="24" t="s">
        <v>6</v>
      </c>
      <c r="Q58" s="24"/>
      <c r="R58" s="24"/>
      <c r="S58" s="24"/>
      <c r="T58" s="24">
        <f>ROUND(IF(D58=Table!$C$3,V58*Table!$C$4/8,V58*Table!$D$4/8),3)</f>
        <v>26.244</v>
      </c>
      <c r="U58" s="24">
        <f t="shared" si="14"/>
        <v>26.244</v>
      </c>
      <c r="V58" s="24">
        <v>1.615</v>
      </c>
      <c r="W58" s="24">
        <v>1</v>
      </c>
      <c r="X58" s="24" t="s">
        <v>83</v>
      </c>
      <c r="Y58" s="28">
        <v>43910</v>
      </c>
      <c r="Z58" s="28">
        <v>43920</v>
      </c>
      <c r="AA58" s="28">
        <v>43916</v>
      </c>
      <c r="AB58" s="28">
        <v>43916</v>
      </c>
      <c r="AC58" s="28" t="s">
        <v>204</v>
      </c>
      <c r="AD58" s="30"/>
      <c r="AE58" s="30"/>
      <c r="AF58" s="55">
        <v>1</v>
      </c>
      <c r="AG58" s="55">
        <v>1</v>
      </c>
      <c r="AH58" s="55">
        <v>1</v>
      </c>
      <c r="AI58" s="24"/>
      <c r="AJ58" s="24"/>
      <c r="AK58" s="24"/>
    </row>
    <row r="59" spans="2:37" x14ac:dyDescent="0.25">
      <c r="B59" s="62">
        <v>85</v>
      </c>
      <c r="C59" s="25">
        <v>20200319</v>
      </c>
      <c r="D59" s="24" t="s">
        <v>2</v>
      </c>
      <c r="E59" s="24" t="s">
        <v>455</v>
      </c>
      <c r="F59" s="26" t="s">
        <v>70</v>
      </c>
      <c r="G59" s="24" t="s">
        <v>296</v>
      </c>
      <c r="H59" s="24" t="s">
        <v>359</v>
      </c>
      <c r="I59" s="24" t="s">
        <v>334</v>
      </c>
      <c r="J59" s="24" t="s">
        <v>70</v>
      </c>
      <c r="K59" s="24" t="s">
        <v>845</v>
      </c>
      <c r="L59" s="26" t="s">
        <v>415</v>
      </c>
      <c r="M59" s="26" t="s">
        <v>476</v>
      </c>
      <c r="N59" s="27" t="s">
        <v>588</v>
      </c>
      <c r="O59" s="25" t="s">
        <v>202</v>
      </c>
      <c r="P59" s="24" t="s">
        <v>6</v>
      </c>
      <c r="Q59" s="24"/>
      <c r="R59" s="24"/>
      <c r="S59" s="24"/>
      <c r="T59" s="24">
        <f>ROUND(IF(D59=Table!$C$3,V59*Table!$C$4/8,V59*Table!$D$4/8),3)</f>
        <v>26.244</v>
      </c>
      <c r="U59" s="24">
        <f t="shared" si="14"/>
        <v>26.244</v>
      </c>
      <c r="V59" s="24">
        <v>1.615</v>
      </c>
      <c r="W59" s="24">
        <v>1</v>
      </c>
      <c r="X59" s="24" t="s">
        <v>83</v>
      </c>
      <c r="Y59" s="28">
        <v>43910</v>
      </c>
      <c r="Z59" s="28">
        <v>43920</v>
      </c>
      <c r="AA59" s="28">
        <v>43916</v>
      </c>
      <c r="AB59" s="28">
        <v>43916</v>
      </c>
      <c r="AC59" s="28" t="s">
        <v>204</v>
      </c>
      <c r="AD59" s="30"/>
      <c r="AE59" s="30"/>
      <c r="AF59" s="55">
        <v>1</v>
      </c>
      <c r="AG59" s="55">
        <v>1</v>
      </c>
      <c r="AH59" s="55">
        <v>1</v>
      </c>
      <c r="AI59" s="24"/>
      <c r="AJ59" s="24"/>
      <c r="AK59" s="24"/>
    </row>
    <row r="60" spans="2:37" x14ac:dyDescent="0.25">
      <c r="B60" s="62">
        <v>86</v>
      </c>
      <c r="C60" s="25">
        <v>20200319</v>
      </c>
      <c r="D60" s="24" t="s">
        <v>2</v>
      </c>
      <c r="E60" s="24" t="s">
        <v>455</v>
      </c>
      <c r="F60" s="26" t="s">
        <v>70</v>
      </c>
      <c r="G60" s="24" t="s">
        <v>431</v>
      </c>
      <c r="H60" s="24" t="s">
        <v>360</v>
      </c>
      <c r="I60" s="24" t="s">
        <v>334</v>
      </c>
      <c r="J60" s="24" t="s">
        <v>70</v>
      </c>
      <c r="K60" s="24" t="s">
        <v>845</v>
      </c>
      <c r="L60" s="26" t="s">
        <v>415</v>
      </c>
      <c r="M60" s="26" t="s">
        <v>476</v>
      </c>
      <c r="N60" s="27" t="s">
        <v>589</v>
      </c>
      <c r="O60" s="25" t="s">
        <v>202</v>
      </c>
      <c r="P60" s="24" t="s">
        <v>6</v>
      </c>
      <c r="Q60" s="24"/>
      <c r="R60" s="24"/>
      <c r="S60" s="24"/>
      <c r="T60" s="24">
        <f>ROUND(IF(D60=Table!$C$3,V60*Table!$C$4/8,V60*Table!$D$4/8),3)</f>
        <v>37.293999999999997</v>
      </c>
      <c r="U60" s="24">
        <f t="shared" si="14"/>
        <v>37.293999999999997</v>
      </c>
      <c r="V60" s="24">
        <v>2.2949999999999999</v>
      </c>
      <c r="W60" s="24">
        <v>1</v>
      </c>
      <c r="X60" s="24" t="s">
        <v>83</v>
      </c>
      <c r="Y60" s="28">
        <v>43910</v>
      </c>
      <c r="Z60" s="28">
        <v>43920</v>
      </c>
      <c r="AA60" s="28">
        <v>43916</v>
      </c>
      <c r="AB60" s="28">
        <v>43916</v>
      </c>
      <c r="AC60" s="28" t="s">
        <v>204</v>
      </c>
      <c r="AD60" s="30"/>
      <c r="AE60" s="30"/>
      <c r="AF60" s="55">
        <v>0.94399999999999995</v>
      </c>
      <c r="AG60" s="55">
        <v>0.94699999999999995</v>
      </c>
      <c r="AH60" s="55" t="s">
        <v>219</v>
      </c>
      <c r="AI60" s="24" t="s">
        <v>655</v>
      </c>
      <c r="AJ60" s="24"/>
      <c r="AK60" s="24"/>
    </row>
    <row r="61" spans="2:37" x14ac:dyDescent="0.25">
      <c r="B61" s="62">
        <v>87</v>
      </c>
      <c r="C61" s="25">
        <v>20200319</v>
      </c>
      <c r="D61" s="24" t="s">
        <v>2</v>
      </c>
      <c r="E61" s="24" t="s">
        <v>455</v>
      </c>
      <c r="F61" s="26" t="s">
        <v>70</v>
      </c>
      <c r="G61" s="24" t="s">
        <v>143</v>
      </c>
      <c r="H61" s="24" t="s">
        <v>361</v>
      </c>
      <c r="I61" s="24" t="s">
        <v>335</v>
      </c>
      <c r="J61" s="24" t="s">
        <v>70</v>
      </c>
      <c r="K61" s="24" t="s">
        <v>845</v>
      </c>
      <c r="L61" s="26" t="s">
        <v>415</v>
      </c>
      <c r="M61" s="26" t="s">
        <v>476</v>
      </c>
      <c r="N61" s="27" t="s">
        <v>590</v>
      </c>
      <c r="O61" s="25" t="s">
        <v>202</v>
      </c>
      <c r="P61" s="24" t="s">
        <v>6</v>
      </c>
      <c r="Q61" s="24"/>
      <c r="R61" s="24"/>
      <c r="S61" s="24"/>
      <c r="T61" s="24">
        <f>ROUND(IF(D61=Table!$C$3,V61*Table!$C$4/8,V61*Table!$D$4/8),3)</f>
        <v>70.444000000000003</v>
      </c>
      <c r="U61" s="24">
        <f t="shared" si="14"/>
        <v>70.444000000000003</v>
      </c>
      <c r="V61" s="24">
        <v>4.335</v>
      </c>
      <c r="W61" s="24">
        <v>4</v>
      </c>
      <c r="X61" s="24" t="s">
        <v>83</v>
      </c>
      <c r="Y61" s="28">
        <v>43910</v>
      </c>
      <c r="Z61" s="28">
        <v>43920</v>
      </c>
      <c r="AA61" s="28">
        <v>43917</v>
      </c>
      <c r="AB61" s="28">
        <v>43917</v>
      </c>
      <c r="AC61" s="28" t="s">
        <v>205</v>
      </c>
      <c r="AD61" s="30"/>
      <c r="AE61" s="30"/>
      <c r="AF61" s="55">
        <v>0.88900000000000001</v>
      </c>
      <c r="AG61" s="55">
        <v>0.90800000000000003</v>
      </c>
      <c r="AH61" s="55">
        <v>1</v>
      </c>
      <c r="AI61" s="24" t="s">
        <v>659</v>
      </c>
      <c r="AJ61" s="24"/>
      <c r="AK61" s="24" t="s">
        <v>658</v>
      </c>
    </row>
    <row r="62" spans="2:37" x14ac:dyDescent="0.25">
      <c r="B62" s="62">
        <v>88</v>
      </c>
      <c r="C62" s="25">
        <v>20200319</v>
      </c>
      <c r="D62" s="24" t="s">
        <v>2</v>
      </c>
      <c r="E62" s="24" t="s">
        <v>455</v>
      </c>
      <c r="F62" s="26" t="s">
        <v>70</v>
      </c>
      <c r="G62" s="24" t="s">
        <v>297</v>
      </c>
      <c r="H62" s="24" t="s">
        <v>362</v>
      </c>
      <c r="I62" s="24" t="s">
        <v>334</v>
      </c>
      <c r="J62" s="24" t="s">
        <v>70</v>
      </c>
      <c r="K62" s="24" t="s">
        <v>845</v>
      </c>
      <c r="L62" s="26" t="s">
        <v>415</v>
      </c>
      <c r="M62" s="26" t="s">
        <v>476</v>
      </c>
      <c r="N62" s="27" t="s">
        <v>591</v>
      </c>
      <c r="O62" s="25" t="s">
        <v>202</v>
      </c>
      <c r="P62" s="24" t="s">
        <v>6</v>
      </c>
      <c r="Q62" s="24"/>
      <c r="R62" s="24"/>
      <c r="S62" s="24"/>
      <c r="T62" s="24">
        <f>ROUND(IF(D62=Table!$C$3,V62*Table!$C$4/8,V62*Table!$D$4/8),3)</f>
        <v>26.244</v>
      </c>
      <c r="U62" s="24">
        <f t="shared" si="14"/>
        <v>26.244</v>
      </c>
      <c r="V62" s="24">
        <v>1.615</v>
      </c>
      <c r="W62" s="24">
        <v>1</v>
      </c>
      <c r="X62" s="24" t="s">
        <v>83</v>
      </c>
      <c r="Y62" s="28">
        <v>43910</v>
      </c>
      <c r="Z62" s="28">
        <v>43920</v>
      </c>
      <c r="AA62" s="28">
        <v>43916</v>
      </c>
      <c r="AB62" s="28">
        <v>43916</v>
      </c>
      <c r="AC62" s="28" t="s">
        <v>204</v>
      </c>
      <c r="AD62" s="30"/>
      <c r="AE62" s="30"/>
      <c r="AF62" s="55">
        <v>0.83299999999999996</v>
      </c>
      <c r="AG62" s="55">
        <v>0.84599999999999997</v>
      </c>
      <c r="AH62" s="55">
        <v>1</v>
      </c>
      <c r="AI62" s="24" t="s">
        <v>656</v>
      </c>
      <c r="AJ62" s="24"/>
      <c r="AK62" s="24"/>
    </row>
    <row r="63" spans="2:37" x14ac:dyDescent="0.25">
      <c r="B63" s="62">
        <v>89</v>
      </c>
      <c r="C63" s="25">
        <v>20200319</v>
      </c>
      <c r="D63" s="24" t="s">
        <v>2</v>
      </c>
      <c r="E63" s="24" t="s">
        <v>455</v>
      </c>
      <c r="F63" s="26" t="s">
        <v>70</v>
      </c>
      <c r="G63" s="24" t="s">
        <v>298</v>
      </c>
      <c r="H63" s="24" t="s">
        <v>363</v>
      </c>
      <c r="I63" s="24" t="s">
        <v>334</v>
      </c>
      <c r="J63" s="24" t="s">
        <v>70</v>
      </c>
      <c r="K63" s="24" t="s">
        <v>845</v>
      </c>
      <c r="L63" s="26" t="s">
        <v>415</v>
      </c>
      <c r="M63" s="26" t="s">
        <v>476</v>
      </c>
      <c r="N63" s="27" t="s">
        <v>592</v>
      </c>
      <c r="O63" s="25" t="s">
        <v>201</v>
      </c>
      <c r="P63" s="24" t="s">
        <v>73</v>
      </c>
      <c r="Q63" s="24"/>
      <c r="R63" s="24"/>
      <c r="S63" s="24"/>
      <c r="T63" s="24">
        <f>ROUND(IF(D63=Table!$C$3,V63*Table!$C$4/8,V63*Table!$D$4/8),3)</f>
        <v>26.244</v>
      </c>
      <c r="U63" s="24">
        <f>T63</f>
        <v>26.244</v>
      </c>
      <c r="V63" s="24">
        <v>1.615</v>
      </c>
      <c r="W63" s="24">
        <v>2</v>
      </c>
      <c r="X63" s="24" t="s">
        <v>83</v>
      </c>
      <c r="Y63" s="28">
        <v>43910</v>
      </c>
      <c r="Z63" s="28">
        <v>43920</v>
      </c>
      <c r="AA63" s="28">
        <v>43910</v>
      </c>
      <c r="AB63" s="28">
        <v>43910</v>
      </c>
      <c r="AC63" s="28" t="s">
        <v>204</v>
      </c>
      <c r="AD63" s="30"/>
      <c r="AE63" s="30"/>
      <c r="AF63" s="55">
        <v>1</v>
      </c>
      <c r="AG63" s="55">
        <v>1</v>
      </c>
      <c r="AH63" s="55">
        <v>1</v>
      </c>
      <c r="AI63" s="24"/>
      <c r="AJ63" s="24"/>
      <c r="AK63" s="24"/>
    </row>
    <row r="64" spans="2:37" x14ac:dyDescent="0.25">
      <c r="B64" s="62">
        <v>90</v>
      </c>
      <c r="C64" s="25">
        <v>20200319</v>
      </c>
      <c r="D64" s="24" t="s">
        <v>2</v>
      </c>
      <c r="E64" s="24" t="s">
        <v>455</v>
      </c>
      <c r="F64" s="26" t="s">
        <v>70</v>
      </c>
      <c r="G64" s="24" t="s">
        <v>144</v>
      </c>
      <c r="H64" s="24" t="s">
        <v>364</v>
      </c>
      <c r="I64" s="24" t="s">
        <v>334</v>
      </c>
      <c r="J64" s="24" t="s">
        <v>70</v>
      </c>
      <c r="K64" s="24" t="s">
        <v>845</v>
      </c>
      <c r="L64" s="26" t="s">
        <v>415</v>
      </c>
      <c r="M64" s="26" t="s">
        <v>476</v>
      </c>
      <c r="N64" s="27" t="s">
        <v>593</v>
      </c>
      <c r="O64" s="25" t="s">
        <v>201</v>
      </c>
      <c r="P64" s="24" t="s">
        <v>73</v>
      </c>
      <c r="Q64" s="24"/>
      <c r="R64" s="24"/>
      <c r="S64" s="24"/>
      <c r="T64" s="24">
        <f>ROUND(IF(D64=Table!$C$3,V64*Table!$C$4/8,V64*Table!$D$4/8),3)</f>
        <v>37.293999999999997</v>
      </c>
      <c r="U64" s="24">
        <f>T64</f>
        <v>37.293999999999997</v>
      </c>
      <c r="V64" s="24">
        <v>2.2949999999999999</v>
      </c>
      <c r="W64" s="24">
        <v>2</v>
      </c>
      <c r="X64" s="24" t="s">
        <v>83</v>
      </c>
      <c r="Y64" s="28">
        <v>43910</v>
      </c>
      <c r="Z64" s="28">
        <v>43920</v>
      </c>
      <c r="AA64" s="28">
        <v>43913</v>
      </c>
      <c r="AB64" s="28">
        <v>43913</v>
      </c>
      <c r="AC64" s="28" t="s">
        <v>205</v>
      </c>
      <c r="AD64" s="30"/>
      <c r="AE64" s="30"/>
      <c r="AF64" s="55">
        <v>0.70299999999999996</v>
      </c>
      <c r="AG64" s="55">
        <v>0.70299999999999996</v>
      </c>
      <c r="AH64" s="55">
        <v>1</v>
      </c>
      <c r="AI64" s="24" t="s">
        <v>501</v>
      </c>
      <c r="AJ64" s="24"/>
      <c r="AK64" s="24"/>
    </row>
    <row r="65" spans="2:37" x14ac:dyDescent="0.25">
      <c r="B65" s="62">
        <v>91</v>
      </c>
      <c r="C65" s="25">
        <v>20200319</v>
      </c>
      <c r="D65" s="24" t="s">
        <v>2</v>
      </c>
      <c r="E65" s="24" t="s">
        <v>455</v>
      </c>
      <c r="F65" s="26" t="s">
        <v>70</v>
      </c>
      <c r="G65" s="24" t="s">
        <v>432</v>
      </c>
      <c r="H65" s="24" t="s">
        <v>365</v>
      </c>
      <c r="I65" s="24" t="s">
        <v>334</v>
      </c>
      <c r="J65" s="24" t="s">
        <v>70</v>
      </c>
      <c r="K65" s="24" t="s">
        <v>845</v>
      </c>
      <c r="L65" s="26" t="s">
        <v>416</v>
      </c>
      <c r="M65" s="26" t="s">
        <v>476</v>
      </c>
      <c r="N65" s="27" t="s">
        <v>594</v>
      </c>
      <c r="O65" s="25" t="s">
        <v>201</v>
      </c>
      <c r="P65" s="24" t="s">
        <v>73</v>
      </c>
      <c r="Q65" s="24"/>
      <c r="R65" s="24"/>
      <c r="S65" s="24"/>
      <c r="T65" s="24">
        <f>ROUND(IF(D65=Table!$C$3,V65*Table!$C$4/8,V65*Table!$D$4/8),3)</f>
        <v>26.244</v>
      </c>
      <c r="U65" s="24">
        <f>T65</f>
        <v>26.244</v>
      </c>
      <c r="V65" s="24">
        <v>1.615</v>
      </c>
      <c r="W65" s="24">
        <v>0.5</v>
      </c>
      <c r="X65" s="24" t="s">
        <v>83</v>
      </c>
      <c r="Y65" s="28">
        <v>43910</v>
      </c>
      <c r="Z65" s="28">
        <v>43920</v>
      </c>
      <c r="AA65" s="28">
        <v>43914</v>
      </c>
      <c r="AB65" s="28">
        <v>43914</v>
      </c>
      <c r="AC65" s="28" t="s">
        <v>204</v>
      </c>
      <c r="AD65" s="30"/>
      <c r="AE65" s="30"/>
      <c r="AF65" s="55">
        <v>1</v>
      </c>
      <c r="AG65" s="55">
        <v>1</v>
      </c>
      <c r="AH65" s="55">
        <v>1</v>
      </c>
      <c r="AI65" s="24"/>
      <c r="AJ65" s="24"/>
      <c r="AK65" s="24"/>
    </row>
    <row r="66" spans="2:37" x14ac:dyDescent="0.25">
      <c r="B66" s="62">
        <v>92</v>
      </c>
      <c r="C66" s="25">
        <v>20200319</v>
      </c>
      <c r="D66" s="24" t="s">
        <v>2</v>
      </c>
      <c r="E66" s="24" t="s">
        <v>455</v>
      </c>
      <c r="F66" s="26" t="s">
        <v>70</v>
      </c>
      <c r="G66" s="24" t="s">
        <v>145</v>
      </c>
      <c r="H66" s="24" t="s">
        <v>366</v>
      </c>
      <c r="I66" s="24" t="s">
        <v>334</v>
      </c>
      <c r="J66" s="24" t="s">
        <v>70</v>
      </c>
      <c r="K66" s="24" t="s">
        <v>845</v>
      </c>
      <c r="L66" s="26" t="s">
        <v>416</v>
      </c>
      <c r="M66" s="26" t="s">
        <v>476</v>
      </c>
      <c r="N66" s="27" t="s">
        <v>595</v>
      </c>
      <c r="O66" s="25" t="s">
        <v>201</v>
      </c>
      <c r="P66" s="24" t="s">
        <v>73</v>
      </c>
      <c r="Q66" s="24"/>
      <c r="R66" s="24"/>
      <c r="S66" s="24"/>
      <c r="T66" s="24">
        <f>ROUND(IF(D66=Table!$C$3,V66*Table!$C$4/8,V66*Table!$D$4/8),3)</f>
        <v>26.244</v>
      </c>
      <c r="U66" s="24">
        <f>T66</f>
        <v>26.244</v>
      </c>
      <c r="V66" s="24">
        <v>1.615</v>
      </c>
      <c r="W66" s="24">
        <v>1</v>
      </c>
      <c r="X66" s="24" t="s">
        <v>83</v>
      </c>
      <c r="Y66" s="28">
        <v>43910</v>
      </c>
      <c r="Z66" s="28">
        <v>43920</v>
      </c>
      <c r="AA66" s="28">
        <v>43913</v>
      </c>
      <c r="AB66" s="28">
        <v>43913</v>
      </c>
      <c r="AC66" s="28" t="s">
        <v>204</v>
      </c>
      <c r="AD66" s="30"/>
      <c r="AE66" s="30"/>
      <c r="AF66" s="55">
        <v>1</v>
      </c>
      <c r="AG66" s="55">
        <v>1</v>
      </c>
      <c r="AH66" s="55">
        <v>1</v>
      </c>
      <c r="AI66" s="24"/>
      <c r="AJ66" s="24"/>
      <c r="AK66" s="24"/>
    </row>
    <row r="67" spans="2:37" x14ac:dyDescent="0.25">
      <c r="B67" s="62">
        <v>93</v>
      </c>
      <c r="C67" s="25">
        <v>20200319</v>
      </c>
      <c r="D67" s="24" t="s">
        <v>2</v>
      </c>
      <c r="E67" s="24" t="s">
        <v>455</v>
      </c>
      <c r="F67" s="26" t="s">
        <v>70</v>
      </c>
      <c r="G67" s="24" t="s">
        <v>146</v>
      </c>
      <c r="H67" s="24" t="s">
        <v>367</v>
      </c>
      <c r="I67" s="24" t="s">
        <v>334</v>
      </c>
      <c r="J67" s="24" t="s">
        <v>70</v>
      </c>
      <c r="K67" s="24" t="s">
        <v>845</v>
      </c>
      <c r="L67" s="26" t="s">
        <v>416</v>
      </c>
      <c r="M67" s="26" t="s">
        <v>476</v>
      </c>
      <c r="N67" s="27" t="s">
        <v>596</v>
      </c>
      <c r="O67" s="25" t="s">
        <v>201</v>
      </c>
      <c r="P67" s="24" t="s">
        <v>73</v>
      </c>
      <c r="Q67" s="24"/>
      <c r="R67" s="24"/>
      <c r="S67" s="24"/>
      <c r="T67" s="24">
        <f>ROUND(IF(D67=Table!$C$3,V67*Table!$C$4/8,V67*Table!$D$4/8),3)</f>
        <v>26.244</v>
      </c>
      <c r="U67" s="24">
        <f t="shared" ref="U67:U80" si="15">T67</f>
        <v>26.244</v>
      </c>
      <c r="V67" s="24">
        <v>1.615</v>
      </c>
      <c r="W67" s="24">
        <v>1</v>
      </c>
      <c r="X67" s="24" t="s">
        <v>83</v>
      </c>
      <c r="Y67" s="28">
        <v>43910</v>
      </c>
      <c r="Z67" s="28">
        <v>43920</v>
      </c>
      <c r="AA67" s="28">
        <v>43913</v>
      </c>
      <c r="AB67" s="28">
        <v>43913</v>
      </c>
      <c r="AC67" s="28" t="s">
        <v>204</v>
      </c>
      <c r="AD67" s="30"/>
      <c r="AE67" s="30"/>
      <c r="AF67" s="55">
        <v>1</v>
      </c>
      <c r="AG67" s="55">
        <v>1</v>
      </c>
      <c r="AH67" s="55" t="s">
        <v>219</v>
      </c>
      <c r="AI67" s="24"/>
      <c r="AJ67" s="24"/>
      <c r="AK67" s="24"/>
    </row>
    <row r="68" spans="2:37" x14ac:dyDescent="0.25">
      <c r="B68" s="62">
        <v>94</v>
      </c>
      <c r="C68" s="25">
        <v>20200319</v>
      </c>
      <c r="D68" s="24" t="s">
        <v>2</v>
      </c>
      <c r="E68" s="24" t="s">
        <v>455</v>
      </c>
      <c r="F68" s="26" t="s">
        <v>70</v>
      </c>
      <c r="G68" s="24" t="s">
        <v>147</v>
      </c>
      <c r="H68" s="24" t="s">
        <v>368</v>
      </c>
      <c r="I68" s="24" t="s">
        <v>334</v>
      </c>
      <c r="J68" s="24" t="s">
        <v>70</v>
      </c>
      <c r="K68" s="24" t="s">
        <v>845</v>
      </c>
      <c r="L68" s="26" t="s">
        <v>415</v>
      </c>
      <c r="M68" s="26" t="s">
        <v>476</v>
      </c>
      <c r="N68" s="27" t="s">
        <v>597</v>
      </c>
      <c r="O68" s="25" t="s">
        <v>201</v>
      </c>
      <c r="P68" s="24" t="s">
        <v>73</v>
      </c>
      <c r="Q68" s="24"/>
      <c r="R68" s="24"/>
      <c r="S68" s="24"/>
      <c r="T68" s="24">
        <f>ROUND(IF(D68=Table!$C$3,V68*Table!$C$4/8,V68*Table!$D$4/8),3)</f>
        <v>26.244</v>
      </c>
      <c r="U68" s="24">
        <f t="shared" si="15"/>
        <v>26.244</v>
      </c>
      <c r="V68" s="24">
        <v>1.615</v>
      </c>
      <c r="W68" s="24">
        <v>2</v>
      </c>
      <c r="X68" s="24" t="s">
        <v>83</v>
      </c>
      <c r="Y68" s="28">
        <v>43910</v>
      </c>
      <c r="Z68" s="28">
        <v>43920</v>
      </c>
      <c r="AA68" s="28">
        <v>43913</v>
      </c>
      <c r="AB68" s="28">
        <v>43913</v>
      </c>
      <c r="AC68" s="28" t="s">
        <v>204</v>
      </c>
      <c r="AD68" s="30"/>
      <c r="AE68" s="30"/>
      <c r="AF68" s="55">
        <v>1</v>
      </c>
      <c r="AG68" s="55">
        <v>1</v>
      </c>
      <c r="AH68" s="55">
        <v>1</v>
      </c>
      <c r="AI68" s="24"/>
      <c r="AJ68" s="24"/>
      <c r="AK68" s="24"/>
    </row>
    <row r="69" spans="2:37" x14ac:dyDescent="0.25">
      <c r="B69" s="62">
        <v>95</v>
      </c>
      <c r="C69" s="25">
        <v>20200319</v>
      </c>
      <c r="D69" s="24" t="s">
        <v>2</v>
      </c>
      <c r="E69" s="24" t="s">
        <v>455</v>
      </c>
      <c r="F69" s="26" t="s">
        <v>70</v>
      </c>
      <c r="G69" s="24" t="s">
        <v>148</v>
      </c>
      <c r="H69" s="24" t="s">
        <v>369</v>
      </c>
      <c r="I69" s="24" t="s">
        <v>334</v>
      </c>
      <c r="J69" s="24" t="s">
        <v>70</v>
      </c>
      <c r="K69" s="24" t="s">
        <v>845</v>
      </c>
      <c r="L69" s="26" t="s">
        <v>416</v>
      </c>
      <c r="M69" s="26" t="s">
        <v>476</v>
      </c>
      <c r="N69" s="27" t="s">
        <v>598</v>
      </c>
      <c r="O69" s="25" t="s">
        <v>201</v>
      </c>
      <c r="P69" s="24" t="s">
        <v>73</v>
      </c>
      <c r="Q69" s="24"/>
      <c r="R69" s="24"/>
      <c r="S69" s="24"/>
      <c r="T69" s="24">
        <f>ROUND(IF(D69=Table!$C$3,V69*Table!$C$4/8,V69*Table!$D$4/8),3)</f>
        <v>26.244</v>
      </c>
      <c r="U69" s="24">
        <f t="shared" si="15"/>
        <v>26.244</v>
      </c>
      <c r="V69" s="24">
        <v>1.615</v>
      </c>
      <c r="W69" s="24">
        <v>2</v>
      </c>
      <c r="X69" s="24" t="s">
        <v>83</v>
      </c>
      <c r="Y69" s="28">
        <v>43910</v>
      </c>
      <c r="Z69" s="28">
        <v>43920</v>
      </c>
      <c r="AA69" s="28">
        <v>43913</v>
      </c>
      <c r="AB69" s="28">
        <v>43913</v>
      </c>
      <c r="AC69" s="28" t="s">
        <v>204</v>
      </c>
      <c r="AD69" s="30"/>
      <c r="AE69" s="30"/>
      <c r="AF69" s="55">
        <v>1</v>
      </c>
      <c r="AG69" s="55">
        <v>1</v>
      </c>
      <c r="AH69" s="55" t="s">
        <v>219</v>
      </c>
      <c r="AI69" s="24"/>
      <c r="AJ69" s="24"/>
      <c r="AK69" s="24"/>
    </row>
    <row r="70" spans="2:37" x14ac:dyDescent="0.25">
      <c r="B70" s="62">
        <v>96</v>
      </c>
      <c r="C70" s="25">
        <v>20200319</v>
      </c>
      <c r="D70" s="24" t="s">
        <v>2</v>
      </c>
      <c r="E70" s="24" t="s">
        <v>455</v>
      </c>
      <c r="F70" s="26" t="s">
        <v>70</v>
      </c>
      <c r="G70" s="24" t="s">
        <v>149</v>
      </c>
      <c r="H70" s="24" t="s">
        <v>370</v>
      </c>
      <c r="I70" s="24" t="s">
        <v>334</v>
      </c>
      <c r="J70" s="24" t="s">
        <v>70</v>
      </c>
      <c r="K70" s="24" t="s">
        <v>845</v>
      </c>
      <c r="L70" s="26" t="s">
        <v>415</v>
      </c>
      <c r="M70" s="26" t="s">
        <v>476</v>
      </c>
      <c r="N70" s="27" t="s">
        <v>599</v>
      </c>
      <c r="O70" s="25" t="s">
        <v>201</v>
      </c>
      <c r="P70" s="24" t="s">
        <v>73</v>
      </c>
      <c r="Q70" s="24"/>
      <c r="R70" s="24"/>
      <c r="S70" s="24"/>
      <c r="T70" s="24">
        <f>ROUND(IF(D70=Table!$C$3,V70*Table!$C$4/8,V70*Table!$D$4/8),3)</f>
        <v>26.244</v>
      </c>
      <c r="U70" s="24">
        <f t="shared" si="15"/>
        <v>26.244</v>
      </c>
      <c r="V70" s="24">
        <v>1.615</v>
      </c>
      <c r="W70" s="24">
        <v>2</v>
      </c>
      <c r="X70" s="24" t="s">
        <v>83</v>
      </c>
      <c r="Y70" s="28">
        <v>43910</v>
      </c>
      <c r="Z70" s="28">
        <v>43920</v>
      </c>
      <c r="AA70" s="28">
        <v>43913</v>
      </c>
      <c r="AB70" s="28">
        <v>43913</v>
      </c>
      <c r="AC70" s="28" t="s">
        <v>205</v>
      </c>
      <c r="AD70" s="30"/>
      <c r="AE70" s="30"/>
      <c r="AF70" s="55">
        <v>0.94599999999999995</v>
      </c>
      <c r="AG70" s="55">
        <v>0.95199999999999996</v>
      </c>
      <c r="AH70" s="55">
        <v>1</v>
      </c>
      <c r="AI70" s="24" t="s">
        <v>502</v>
      </c>
      <c r="AJ70" s="24"/>
      <c r="AK70" s="24"/>
    </row>
    <row r="71" spans="2:37" x14ac:dyDescent="0.25">
      <c r="B71" s="62">
        <v>97</v>
      </c>
      <c r="C71" s="25">
        <v>20200319</v>
      </c>
      <c r="D71" s="24" t="s">
        <v>2</v>
      </c>
      <c r="E71" s="24" t="s">
        <v>455</v>
      </c>
      <c r="F71" s="26" t="s">
        <v>70</v>
      </c>
      <c r="G71" s="24" t="s">
        <v>150</v>
      </c>
      <c r="H71" s="24" t="s">
        <v>371</v>
      </c>
      <c r="I71" s="24" t="s">
        <v>334</v>
      </c>
      <c r="J71" s="24" t="s">
        <v>70</v>
      </c>
      <c r="K71" s="24" t="s">
        <v>845</v>
      </c>
      <c r="L71" s="26" t="s">
        <v>415</v>
      </c>
      <c r="M71" s="26" t="s">
        <v>476</v>
      </c>
      <c r="N71" s="27" t="s">
        <v>600</v>
      </c>
      <c r="O71" s="25" t="s">
        <v>201</v>
      </c>
      <c r="P71" s="24" t="s">
        <v>73</v>
      </c>
      <c r="Q71" s="24"/>
      <c r="R71" s="24"/>
      <c r="S71" s="24"/>
      <c r="T71" s="24">
        <f>ROUND(IF(D71=Table!$C$3,V71*Table!$C$4/8,V71*Table!$D$4/8),3)</f>
        <v>37.293999999999997</v>
      </c>
      <c r="U71" s="24">
        <f t="shared" si="15"/>
        <v>37.293999999999997</v>
      </c>
      <c r="V71" s="24">
        <v>2.2949999999999999</v>
      </c>
      <c r="W71" s="24">
        <v>2</v>
      </c>
      <c r="X71" s="24" t="s">
        <v>83</v>
      </c>
      <c r="Y71" s="28">
        <v>43910</v>
      </c>
      <c r="Z71" s="28">
        <v>43920</v>
      </c>
      <c r="AA71" s="28">
        <v>43913</v>
      </c>
      <c r="AB71" s="28">
        <v>43913</v>
      </c>
      <c r="AC71" s="28" t="s">
        <v>205</v>
      </c>
      <c r="AD71" s="30"/>
      <c r="AE71" s="30"/>
      <c r="AF71" s="55">
        <v>0.84599999999999997</v>
      </c>
      <c r="AG71" s="55">
        <v>0.85699999999999998</v>
      </c>
      <c r="AH71" s="55" t="s">
        <v>219</v>
      </c>
      <c r="AI71" s="24" t="s">
        <v>503</v>
      </c>
      <c r="AJ71" s="24"/>
      <c r="AK71" s="24"/>
    </row>
    <row r="72" spans="2:37" x14ac:dyDescent="0.25">
      <c r="B72" s="62">
        <v>98</v>
      </c>
      <c r="C72" s="25">
        <v>20200319</v>
      </c>
      <c r="D72" s="24" t="s">
        <v>2</v>
      </c>
      <c r="E72" s="24" t="s">
        <v>455</v>
      </c>
      <c r="F72" s="26" t="s">
        <v>70</v>
      </c>
      <c r="G72" s="24" t="s">
        <v>151</v>
      </c>
      <c r="H72" s="24" t="s">
        <v>372</v>
      </c>
      <c r="I72" s="24" t="s">
        <v>334</v>
      </c>
      <c r="J72" s="24" t="s">
        <v>70</v>
      </c>
      <c r="K72" s="24" t="s">
        <v>845</v>
      </c>
      <c r="L72" s="26" t="s">
        <v>417</v>
      </c>
      <c r="M72" s="26" t="s">
        <v>476</v>
      </c>
      <c r="N72" s="27" t="s">
        <v>601</v>
      </c>
      <c r="O72" s="25" t="s">
        <v>201</v>
      </c>
      <c r="P72" s="24" t="s">
        <v>73</v>
      </c>
      <c r="Q72" s="24"/>
      <c r="R72" s="24"/>
      <c r="S72" s="24"/>
      <c r="T72" s="24">
        <f>ROUND(IF(D72=Table!$C$3,V72*Table!$C$4/8,V72*Table!$D$4/8),3)</f>
        <v>70.444000000000003</v>
      </c>
      <c r="U72" s="24">
        <f t="shared" si="15"/>
        <v>70.444000000000003</v>
      </c>
      <c r="V72" s="24">
        <v>4.335</v>
      </c>
      <c r="W72" s="24">
        <v>4</v>
      </c>
      <c r="X72" s="24" t="s">
        <v>83</v>
      </c>
      <c r="Y72" s="28">
        <v>43910</v>
      </c>
      <c r="Z72" s="28">
        <v>43920</v>
      </c>
      <c r="AA72" s="28">
        <v>43915</v>
      </c>
      <c r="AB72" s="28">
        <v>43915</v>
      </c>
      <c r="AC72" s="28" t="s">
        <v>204</v>
      </c>
      <c r="AD72" s="30"/>
      <c r="AE72" s="30"/>
      <c r="AF72" s="55">
        <v>1</v>
      </c>
      <c r="AG72" s="55">
        <v>1</v>
      </c>
      <c r="AH72" s="55">
        <v>1</v>
      </c>
      <c r="AI72" s="24"/>
      <c r="AJ72" s="24"/>
      <c r="AK72" s="24"/>
    </row>
    <row r="73" spans="2:37" x14ac:dyDescent="0.25">
      <c r="B73" s="62">
        <v>99</v>
      </c>
      <c r="C73" s="25">
        <v>20200319</v>
      </c>
      <c r="D73" s="24" t="s">
        <v>2</v>
      </c>
      <c r="E73" s="24" t="s">
        <v>455</v>
      </c>
      <c r="F73" s="26" t="s">
        <v>70</v>
      </c>
      <c r="G73" s="24" t="s">
        <v>152</v>
      </c>
      <c r="H73" s="24" t="s">
        <v>373</v>
      </c>
      <c r="I73" s="24" t="s">
        <v>334</v>
      </c>
      <c r="J73" s="24" t="s">
        <v>70</v>
      </c>
      <c r="K73" s="24" t="s">
        <v>845</v>
      </c>
      <c r="L73" s="26" t="s">
        <v>416</v>
      </c>
      <c r="M73" s="26" t="s">
        <v>476</v>
      </c>
      <c r="N73" s="27" t="s">
        <v>602</v>
      </c>
      <c r="O73" s="25" t="s">
        <v>201</v>
      </c>
      <c r="P73" s="24" t="s">
        <v>73</v>
      </c>
      <c r="Q73" s="24"/>
      <c r="R73" s="24"/>
      <c r="S73" s="24"/>
      <c r="T73" s="24">
        <f>ROUND(IF(D73=Table!$C$3,V73*Table!$C$4/8,V73*Table!$D$4/8),3)</f>
        <v>26.244</v>
      </c>
      <c r="U73" s="24">
        <f t="shared" si="15"/>
        <v>26.244</v>
      </c>
      <c r="V73" s="24">
        <v>1.615</v>
      </c>
      <c r="W73" s="24">
        <v>2</v>
      </c>
      <c r="X73" s="24" t="s">
        <v>83</v>
      </c>
      <c r="Y73" s="28">
        <v>43910</v>
      </c>
      <c r="Z73" s="28">
        <v>43920</v>
      </c>
      <c r="AA73" s="28">
        <v>43913</v>
      </c>
      <c r="AB73" s="28">
        <v>43913</v>
      </c>
      <c r="AC73" s="28" t="s">
        <v>204</v>
      </c>
      <c r="AD73" s="30"/>
      <c r="AE73" s="30"/>
      <c r="AF73" s="55">
        <v>1</v>
      </c>
      <c r="AG73" s="55">
        <v>1</v>
      </c>
      <c r="AH73" s="55" t="s">
        <v>219</v>
      </c>
      <c r="AI73" s="24"/>
      <c r="AJ73" s="24"/>
      <c r="AK73" s="24"/>
    </row>
    <row r="74" spans="2:37" x14ac:dyDescent="0.25">
      <c r="B74" s="62">
        <v>100</v>
      </c>
      <c r="C74" s="25">
        <v>20200319</v>
      </c>
      <c r="D74" s="24" t="s">
        <v>2</v>
      </c>
      <c r="E74" s="24" t="s">
        <v>455</v>
      </c>
      <c r="F74" s="26" t="s">
        <v>70</v>
      </c>
      <c r="G74" s="24" t="s">
        <v>153</v>
      </c>
      <c r="H74" s="24" t="s">
        <v>374</v>
      </c>
      <c r="I74" s="24" t="s">
        <v>334</v>
      </c>
      <c r="J74" s="24" t="s">
        <v>70</v>
      </c>
      <c r="K74" s="24" t="s">
        <v>845</v>
      </c>
      <c r="L74" s="26" t="s">
        <v>416</v>
      </c>
      <c r="M74" s="26" t="s">
        <v>476</v>
      </c>
      <c r="N74" s="27" t="s">
        <v>603</v>
      </c>
      <c r="O74" s="25" t="s">
        <v>201</v>
      </c>
      <c r="P74" s="24" t="s">
        <v>73</v>
      </c>
      <c r="Q74" s="24"/>
      <c r="R74" s="24"/>
      <c r="S74" s="24"/>
      <c r="T74" s="24">
        <f>ROUND(IF(D74=Table!$C$3,V74*Table!$C$4/8,V74*Table!$D$4/8),3)</f>
        <v>48.344000000000001</v>
      </c>
      <c r="U74" s="24">
        <f t="shared" si="15"/>
        <v>48.344000000000001</v>
      </c>
      <c r="V74" s="24">
        <v>2.9750000000000001</v>
      </c>
      <c r="W74" s="24">
        <v>1</v>
      </c>
      <c r="X74" s="24" t="s">
        <v>83</v>
      </c>
      <c r="Y74" s="28">
        <v>43910</v>
      </c>
      <c r="Z74" s="28">
        <v>43920</v>
      </c>
      <c r="AA74" s="28">
        <v>43914</v>
      </c>
      <c r="AB74" s="28">
        <v>43914</v>
      </c>
      <c r="AC74" s="81" t="s">
        <v>204</v>
      </c>
      <c r="AD74" s="30"/>
      <c r="AE74" s="30"/>
      <c r="AF74" s="55">
        <v>1</v>
      </c>
      <c r="AG74" s="55">
        <v>1</v>
      </c>
      <c r="AH74" s="55">
        <v>1</v>
      </c>
      <c r="AI74" s="24"/>
      <c r="AJ74" s="24"/>
      <c r="AK74" s="24"/>
    </row>
    <row r="75" spans="2:37" x14ac:dyDescent="0.25">
      <c r="B75" s="62">
        <v>101</v>
      </c>
      <c r="C75" s="25">
        <v>20200319</v>
      </c>
      <c r="D75" s="24" t="s">
        <v>2</v>
      </c>
      <c r="E75" s="24" t="s">
        <v>455</v>
      </c>
      <c r="F75" s="26" t="s">
        <v>70</v>
      </c>
      <c r="G75" s="24" t="s">
        <v>154</v>
      </c>
      <c r="H75" s="24" t="s">
        <v>375</v>
      </c>
      <c r="I75" s="24" t="s">
        <v>334</v>
      </c>
      <c r="J75" s="24" t="s">
        <v>70</v>
      </c>
      <c r="K75" s="24" t="s">
        <v>845</v>
      </c>
      <c r="L75" s="26" t="s">
        <v>415</v>
      </c>
      <c r="M75" s="26" t="s">
        <v>476</v>
      </c>
      <c r="N75" s="27" t="s">
        <v>604</v>
      </c>
      <c r="O75" s="25" t="s">
        <v>201</v>
      </c>
      <c r="P75" s="24" t="s">
        <v>73</v>
      </c>
      <c r="Q75" s="24"/>
      <c r="R75" s="24"/>
      <c r="S75" s="24"/>
      <c r="T75" s="24">
        <f>ROUND(IF(D75=Table!$C$3,V75*Table!$C$4/8,V75*Table!$D$4/8),3)</f>
        <v>26.244</v>
      </c>
      <c r="U75" s="24">
        <f t="shared" si="15"/>
        <v>26.244</v>
      </c>
      <c r="V75" s="24">
        <v>1.615</v>
      </c>
      <c r="W75" s="24">
        <v>0.5</v>
      </c>
      <c r="X75" s="24" t="s">
        <v>83</v>
      </c>
      <c r="Y75" s="28">
        <v>43910</v>
      </c>
      <c r="Z75" s="28">
        <v>43920</v>
      </c>
      <c r="AA75" s="28">
        <v>43914</v>
      </c>
      <c r="AB75" s="28">
        <v>43914</v>
      </c>
      <c r="AC75" s="81" t="s">
        <v>204</v>
      </c>
      <c r="AD75" s="30"/>
      <c r="AE75" s="30"/>
      <c r="AF75" s="55">
        <v>1</v>
      </c>
      <c r="AG75" s="55">
        <v>1</v>
      </c>
      <c r="AH75" s="55">
        <v>1</v>
      </c>
      <c r="AI75" s="24"/>
      <c r="AJ75" s="24"/>
      <c r="AK75" s="24"/>
    </row>
    <row r="76" spans="2:37" x14ac:dyDescent="0.25">
      <c r="B76" s="62">
        <v>102</v>
      </c>
      <c r="C76" s="25">
        <v>20200319</v>
      </c>
      <c r="D76" s="24" t="s">
        <v>2</v>
      </c>
      <c r="E76" s="24" t="s">
        <v>455</v>
      </c>
      <c r="F76" s="26" t="s">
        <v>70</v>
      </c>
      <c r="G76" s="24" t="s">
        <v>155</v>
      </c>
      <c r="H76" s="24" t="s">
        <v>376</v>
      </c>
      <c r="I76" s="24" t="s">
        <v>334</v>
      </c>
      <c r="J76" s="24" t="s">
        <v>70</v>
      </c>
      <c r="K76" s="24" t="s">
        <v>845</v>
      </c>
      <c r="L76" s="26" t="s">
        <v>415</v>
      </c>
      <c r="M76" s="26" t="s">
        <v>476</v>
      </c>
      <c r="N76" s="27" t="s">
        <v>605</v>
      </c>
      <c r="O76" s="25" t="s">
        <v>201</v>
      </c>
      <c r="P76" s="24" t="s">
        <v>73</v>
      </c>
      <c r="Q76" s="24"/>
      <c r="R76" s="24"/>
      <c r="S76" s="24"/>
      <c r="T76" s="24">
        <f>ROUND(IF(D76=Table!$C$3,V76*Table!$C$4/8,V76*Table!$D$4/8),3)</f>
        <v>26.244</v>
      </c>
      <c r="U76" s="24">
        <f t="shared" si="15"/>
        <v>26.244</v>
      </c>
      <c r="V76" s="24">
        <v>1.615</v>
      </c>
      <c r="W76" s="24">
        <v>0.5</v>
      </c>
      <c r="X76" s="24" t="s">
        <v>83</v>
      </c>
      <c r="Y76" s="28">
        <v>43910</v>
      </c>
      <c r="Z76" s="28">
        <v>43920</v>
      </c>
      <c r="AA76" s="28">
        <v>43914</v>
      </c>
      <c r="AB76" s="28">
        <v>43914</v>
      </c>
      <c r="AC76" s="81" t="s">
        <v>205</v>
      </c>
      <c r="AD76" s="30"/>
      <c r="AE76" s="30"/>
      <c r="AF76" s="55">
        <v>1</v>
      </c>
      <c r="AG76" s="55">
        <v>1</v>
      </c>
      <c r="AH76" s="55">
        <v>0.875</v>
      </c>
      <c r="AI76" s="24" t="s">
        <v>643</v>
      </c>
      <c r="AJ76" s="24"/>
      <c r="AK76" s="24"/>
    </row>
    <row r="77" spans="2:37" x14ac:dyDescent="0.25">
      <c r="B77" s="62">
        <v>103</v>
      </c>
      <c r="C77" s="25">
        <v>20200319</v>
      </c>
      <c r="D77" s="24" t="s">
        <v>2</v>
      </c>
      <c r="E77" s="24" t="s">
        <v>455</v>
      </c>
      <c r="F77" s="26" t="s">
        <v>70</v>
      </c>
      <c r="G77" s="24" t="s">
        <v>156</v>
      </c>
      <c r="H77" s="24" t="s">
        <v>377</v>
      </c>
      <c r="I77" s="24" t="s">
        <v>334</v>
      </c>
      <c r="J77" s="24" t="s">
        <v>70</v>
      </c>
      <c r="K77" s="24" t="s">
        <v>845</v>
      </c>
      <c r="L77" s="26" t="s">
        <v>417</v>
      </c>
      <c r="M77" s="26" t="s">
        <v>476</v>
      </c>
      <c r="N77" s="27" t="s">
        <v>606</v>
      </c>
      <c r="O77" s="25" t="s">
        <v>201</v>
      </c>
      <c r="P77" s="24" t="s">
        <v>73</v>
      </c>
      <c r="Q77" s="24"/>
      <c r="R77" s="24"/>
      <c r="S77" s="24"/>
      <c r="T77" s="24">
        <f>ROUND(IF(D77=Table!$C$3,V77*Table!$C$4/8,V77*Table!$D$4/8),3)</f>
        <v>26.244</v>
      </c>
      <c r="U77" s="24">
        <f t="shared" si="15"/>
        <v>26.244</v>
      </c>
      <c r="V77" s="24">
        <v>1.615</v>
      </c>
      <c r="W77" s="24">
        <v>0.5</v>
      </c>
      <c r="X77" s="24" t="s">
        <v>83</v>
      </c>
      <c r="Y77" s="28">
        <v>43910</v>
      </c>
      <c r="Z77" s="28">
        <v>43920</v>
      </c>
      <c r="AA77" s="28">
        <v>43914</v>
      </c>
      <c r="AB77" s="28">
        <v>43914</v>
      </c>
      <c r="AC77" s="81" t="s">
        <v>205</v>
      </c>
      <c r="AD77" s="30"/>
      <c r="AE77" s="30"/>
      <c r="AF77" s="55">
        <v>0.77300000000000002</v>
      </c>
      <c r="AG77" s="55">
        <v>0.77300000000000002</v>
      </c>
      <c r="AH77" s="55" t="s">
        <v>219</v>
      </c>
      <c r="AI77" s="24" t="s">
        <v>644</v>
      </c>
      <c r="AJ77" s="24"/>
      <c r="AK77" s="24"/>
    </row>
    <row r="78" spans="2:37" x14ac:dyDescent="0.25">
      <c r="B78" s="62">
        <v>104</v>
      </c>
      <c r="C78" s="25">
        <v>20200319</v>
      </c>
      <c r="D78" s="24" t="s">
        <v>2</v>
      </c>
      <c r="E78" s="24" t="s">
        <v>455</v>
      </c>
      <c r="F78" s="26" t="s">
        <v>70</v>
      </c>
      <c r="G78" s="24" t="s">
        <v>157</v>
      </c>
      <c r="H78" s="24" t="s">
        <v>378</v>
      </c>
      <c r="I78" s="24" t="s">
        <v>334</v>
      </c>
      <c r="J78" s="24" t="s">
        <v>70</v>
      </c>
      <c r="K78" s="24" t="s">
        <v>845</v>
      </c>
      <c r="L78" s="26" t="s">
        <v>415</v>
      </c>
      <c r="M78" s="26" t="s">
        <v>476</v>
      </c>
      <c r="N78" s="27" t="s">
        <v>607</v>
      </c>
      <c r="O78" s="25" t="s">
        <v>201</v>
      </c>
      <c r="P78" s="24" t="s">
        <v>73</v>
      </c>
      <c r="Q78" s="24"/>
      <c r="R78" s="24"/>
      <c r="S78" s="24"/>
      <c r="T78" s="24">
        <f>ROUND(IF(D78=Table!$C$3,V78*Table!$C$4/8,V78*Table!$D$4/8),3)</f>
        <v>26.244</v>
      </c>
      <c r="U78" s="24">
        <f t="shared" si="15"/>
        <v>26.244</v>
      </c>
      <c r="V78" s="24">
        <v>1.615</v>
      </c>
      <c r="W78" s="24">
        <v>1</v>
      </c>
      <c r="X78" s="24" t="s">
        <v>83</v>
      </c>
      <c r="Y78" s="28">
        <v>43910</v>
      </c>
      <c r="Z78" s="28">
        <v>43920</v>
      </c>
      <c r="AA78" s="28">
        <v>43914</v>
      </c>
      <c r="AB78" s="28">
        <v>43914</v>
      </c>
      <c r="AC78" s="81" t="s">
        <v>205</v>
      </c>
      <c r="AD78" s="30"/>
      <c r="AE78" s="30"/>
      <c r="AF78" s="55">
        <v>0.8</v>
      </c>
      <c r="AG78" s="55">
        <v>0.81799999999999995</v>
      </c>
      <c r="AH78" s="55">
        <v>1</v>
      </c>
      <c r="AI78" s="24" t="s">
        <v>645</v>
      </c>
      <c r="AJ78" s="24"/>
      <c r="AK78" s="24"/>
    </row>
    <row r="79" spans="2:37" x14ac:dyDescent="0.25">
      <c r="B79" s="62">
        <v>105</v>
      </c>
      <c r="C79" s="25">
        <v>20200319</v>
      </c>
      <c r="D79" s="24" t="s">
        <v>2</v>
      </c>
      <c r="E79" s="24" t="s">
        <v>455</v>
      </c>
      <c r="F79" s="26" t="s">
        <v>70</v>
      </c>
      <c r="G79" s="24" t="s">
        <v>299</v>
      </c>
      <c r="H79" s="24" t="s">
        <v>379</v>
      </c>
      <c r="I79" s="24" t="s">
        <v>334</v>
      </c>
      <c r="J79" s="24" t="s">
        <v>70</v>
      </c>
      <c r="K79" s="24" t="s">
        <v>845</v>
      </c>
      <c r="L79" s="26" t="s">
        <v>415</v>
      </c>
      <c r="M79" s="26" t="s">
        <v>476</v>
      </c>
      <c r="N79" s="27" t="s">
        <v>608</v>
      </c>
      <c r="O79" s="25" t="s">
        <v>201</v>
      </c>
      <c r="P79" s="24" t="s">
        <v>73</v>
      </c>
      <c r="Q79" s="24"/>
      <c r="R79" s="24"/>
      <c r="S79" s="24"/>
      <c r="T79" s="24">
        <f>ROUND(IF(D79=Table!$C$3,V79*Table!$C$4/8,V79*Table!$D$4/8),3)</f>
        <v>26.244</v>
      </c>
      <c r="U79" s="24">
        <f t="shared" si="15"/>
        <v>26.244</v>
      </c>
      <c r="V79" s="24">
        <v>1.615</v>
      </c>
      <c r="W79" s="24">
        <v>1</v>
      </c>
      <c r="X79" s="24" t="s">
        <v>83</v>
      </c>
      <c r="Y79" s="28">
        <v>43910</v>
      </c>
      <c r="Z79" s="28">
        <v>43920</v>
      </c>
      <c r="AA79" s="28">
        <v>43914</v>
      </c>
      <c r="AB79" s="28">
        <v>43914</v>
      </c>
      <c r="AC79" s="81" t="s">
        <v>204</v>
      </c>
      <c r="AD79" s="30"/>
      <c r="AE79" s="30"/>
      <c r="AF79" s="55">
        <v>1</v>
      </c>
      <c r="AG79" s="55">
        <v>1</v>
      </c>
      <c r="AH79" s="55">
        <v>1</v>
      </c>
      <c r="AI79" s="24"/>
      <c r="AJ79" s="24"/>
      <c r="AK79" s="24"/>
    </row>
    <row r="80" spans="2:37" x14ac:dyDescent="0.25">
      <c r="B80" s="62">
        <v>106</v>
      </c>
      <c r="C80" s="25">
        <v>20200319</v>
      </c>
      <c r="D80" s="24" t="s">
        <v>2</v>
      </c>
      <c r="E80" s="24" t="s">
        <v>455</v>
      </c>
      <c r="F80" s="26" t="s">
        <v>70</v>
      </c>
      <c r="G80" s="24" t="s">
        <v>158</v>
      </c>
      <c r="H80" s="24" t="s">
        <v>380</v>
      </c>
      <c r="I80" s="24" t="s">
        <v>334</v>
      </c>
      <c r="J80" s="24" t="s">
        <v>70</v>
      </c>
      <c r="K80" s="24" t="s">
        <v>845</v>
      </c>
      <c r="L80" s="26" t="s">
        <v>415</v>
      </c>
      <c r="M80" s="26" t="s">
        <v>476</v>
      </c>
      <c r="N80" s="27" t="s">
        <v>609</v>
      </c>
      <c r="O80" s="25" t="s">
        <v>201</v>
      </c>
      <c r="P80" s="24" t="s">
        <v>73</v>
      </c>
      <c r="Q80" s="24"/>
      <c r="R80" s="24"/>
      <c r="S80" s="24"/>
      <c r="T80" s="24">
        <f>ROUND(IF(D80=Table!$C$3,V80*Table!$C$4/8,V80*Table!$D$4/8),3)</f>
        <v>64.918999999999997</v>
      </c>
      <c r="U80" s="24">
        <f t="shared" si="15"/>
        <v>64.918999999999997</v>
      </c>
      <c r="V80" s="24">
        <v>3.9950000000000001</v>
      </c>
      <c r="W80" s="24">
        <v>2</v>
      </c>
      <c r="X80" s="24" t="s">
        <v>102</v>
      </c>
      <c r="Y80" s="28">
        <v>43910</v>
      </c>
      <c r="Z80" s="28">
        <v>43920</v>
      </c>
      <c r="AA80" s="28">
        <v>43916</v>
      </c>
      <c r="AB80" s="28">
        <v>43916</v>
      </c>
      <c r="AC80" s="28" t="s">
        <v>205</v>
      </c>
      <c r="AD80" s="30"/>
      <c r="AE80" s="30"/>
      <c r="AF80" s="55">
        <v>1</v>
      </c>
      <c r="AG80" s="55">
        <v>1</v>
      </c>
      <c r="AH80" s="55">
        <v>1</v>
      </c>
      <c r="AI80" s="24" t="s">
        <v>653</v>
      </c>
      <c r="AJ80" s="24"/>
      <c r="AK80" s="24"/>
    </row>
    <row r="81" spans="2:37" x14ac:dyDescent="0.25">
      <c r="B81" s="62">
        <v>107</v>
      </c>
      <c r="C81" s="25">
        <v>20200319</v>
      </c>
      <c r="D81" s="24" t="s">
        <v>2</v>
      </c>
      <c r="E81" s="24" t="s">
        <v>455</v>
      </c>
      <c r="F81" s="26" t="s">
        <v>70</v>
      </c>
      <c r="G81" s="24" t="s">
        <v>159</v>
      </c>
      <c r="H81" s="24" t="s">
        <v>381</v>
      </c>
      <c r="I81" s="24" t="s">
        <v>334</v>
      </c>
      <c r="J81" s="24" t="s">
        <v>70</v>
      </c>
      <c r="K81" s="24" t="s">
        <v>845</v>
      </c>
      <c r="L81" s="26" t="s">
        <v>415</v>
      </c>
      <c r="M81" s="26" t="s">
        <v>476</v>
      </c>
      <c r="N81" s="27" t="s">
        <v>610</v>
      </c>
      <c r="O81" s="25" t="s">
        <v>201</v>
      </c>
      <c r="P81" s="24" t="s">
        <v>73</v>
      </c>
      <c r="Q81" s="24"/>
      <c r="R81" s="24"/>
      <c r="S81" s="24"/>
      <c r="T81" s="24">
        <f>ROUND(IF(D81=Table!$C$3,V81*Table!$C$4/8,V81*Table!$D$4/8),3)</f>
        <v>103.59399999999999</v>
      </c>
      <c r="U81" s="24">
        <f>T81</f>
        <v>103.59399999999999</v>
      </c>
      <c r="V81" s="24">
        <v>6.375</v>
      </c>
      <c r="W81" s="24">
        <v>1</v>
      </c>
      <c r="X81" s="24" t="s">
        <v>83</v>
      </c>
      <c r="Y81" s="28">
        <v>43910</v>
      </c>
      <c r="Z81" s="28">
        <v>43920</v>
      </c>
      <c r="AA81" s="28">
        <v>43914</v>
      </c>
      <c r="AB81" s="28">
        <v>43914</v>
      </c>
      <c r="AC81" s="81" t="s">
        <v>205</v>
      </c>
      <c r="AD81" s="30"/>
      <c r="AE81" s="30"/>
      <c r="AF81" s="55">
        <v>0.94599999999999995</v>
      </c>
      <c r="AG81" s="55">
        <v>0.95199999999999996</v>
      </c>
      <c r="AH81" s="55">
        <v>1</v>
      </c>
      <c r="AI81" s="24" t="s">
        <v>646</v>
      </c>
      <c r="AJ81" s="24"/>
      <c r="AK81" s="24"/>
    </row>
    <row r="82" spans="2:37" x14ac:dyDescent="0.25">
      <c r="B82" s="62">
        <v>108</v>
      </c>
      <c r="C82" s="25">
        <v>20200319</v>
      </c>
      <c r="D82" s="24" t="s">
        <v>2</v>
      </c>
      <c r="E82" s="24" t="s">
        <v>455</v>
      </c>
      <c r="F82" s="26" t="s">
        <v>70</v>
      </c>
      <c r="G82" s="24" t="s">
        <v>160</v>
      </c>
      <c r="H82" s="24" t="s">
        <v>382</v>
      </c>
      <c r="I82" s="24" t="s">
        <v>334</v>
      </c>
      <c r="J82" s="24" t="s">
        <v>70</v>
      </c>
      <c r="K82" s="24" t="s">
        <v>845</v>
      </c>
      <c r="L82" s="26" t="s">
        <v>415</v>
      </c>
      <c r="M82" s="26" t="s">
        <v>476</v>
      </c>
      <c r="N82" s="27" t="s">
        <v>611</v>
      </c>
      <c r="O82" s="25" t="s">
        <v>201</v>
      </c>
      <c r="P82" s="24" t="s">
        <v>73</v>
      </c>
      <c r="Q82" s="24"/>
      <c r="R82" s="24"/>
      <c r="S82" s="24"/>
      <c r="T82" s="24">
        <f>ROUND(IF(D82=Table!$C$3,V82*Table!$C$4/8,V82*Table!$D$4/8),3)</f>
        <v>26.244</v>
      </c>
      <c r="U82" s="24">
        <f>T82</f>
        <v>26.244</v>
      </c>
      <c r="V82" s="24">
        <v>1.615</v>
      </c>
      <c r="W82" s="24">
        <v>1</v>
      </c>
      <c r="X82" s="24" t="s">
        <v>83</v>
      </c>
      <c r="Y82" s="28">
        <v>43910</v>
      </c>
      <c r="Z82" s="28">
        <v>43920</v>
      </c>
      <c r="AA82" s="28">
        <v>43914</v>
      </c>
      <c r="AB82" s="28">
        <v>43914</v>
      </c>
      <c r="AC82" s="81" t="s">
        <v>204</v>
      </c>
      <c r="AD82" s="30"/>
      <c r="AE82" s="30"/>
      <c r="AF82" s="55">
        <v>1</v>
      </c>
      <c r="AG82" s="55">
        <v>1</v>
      </c>
      <c r="AH82" s="55">
        <v>1</v>
      </c>
      <c r="AI82" s="24"/>
      <c r="AJ82" s="24"/>
      <c r="AK82" s="24"/>
    </row>
    <row r="83" spans="2:37" x14ac:dyDescent="0.25">
      <c r="B83" s="62">
        <v>109</v>
      </c>
      <c r="C83" s="25">
        <v>20200319</v>
      </c>
      <c r="D83" s="24" t="s">
        <v>2</v>
      </c>
      <c r="E83" s="24" t="s">
        <v>455</v>
      </c>
      <c r="F83" s="26" t="s">
        <v>70</v>
      </c>
      <c r="G83" s="24" t="s">
        <v>300</v>
      </c>
      <c r="H83" s="24" t="s">
        <v>383</v>
      </c>
      <c r="I83" s="24" t="s">
        <v>335</v>
      </c>
      <c r="J83" s="24" t="s">
        <v>70</v>
      </c>
      <c r="K83" s="24" t="s">
        <v>845</v>
      </c>
      <c r="L83" s="26" t="s">
        <v>415</v>
      </c>
      <c r="M83" s="26" t="s">
        <v>476</v>
      </c>
      <c r="N83" s="27" t="s">
        <v>612</v>
      </c>
      <c r="O83" s="25" t="s">
        <v>201</v>
      </c>
      <c r="P83" s="24" t="s">
        <v>73</v>
      </c>
      <c r="Q83" s="24"/>
      <c r="R83" s="24"/>
      <c r="S83" s="24"/>
      <c r="T83" s="24">
        <f>ROUND(IF(D83=Table!$C$3,V83*Table!$C$4/8,V83*Table!$D$4/8),3)</f>
        <v>48.344000000000001</v>
      </c>
      <c r="U83" s="24">
        <f t="shared" ref="U83:U84" si="16">T83</f>
        <v>48.344000000000001</v>
      </c>
      <c r="V83" s="24">
        <v>2.9750000000000001</v>
      </c>
      <c r="W83" s="24">
        <v>2</v>
      </c>
      <c r="X83" s="24" t="s">
        <v>83</v>
      </c>
      <c r="Y83" s="28">
        <v>43910</v>
      </c>
      <c r="Z83" s="28">
        <v>43920</v>
      </c>
      <c r="AA83" s="28">
        <v>43916</v>
      </c>
      <c r="AB83" s="28">
        <v>43916</v>
      </c>
      <c r="AC83" s="28" t="s">
        <v>205</v>
      </c>
      <c r="AD83" s="30"/>
      <c r="AE83" s="30"/>
      <c r="AF83" s="55">
        <v>0.879</v>
      </c>
      <c r="AG83" s="55">
        <v>0.89700000000000002</v>
      </c>
      <c r="AH83" s="55">
        <v>1</v>
      </c>
      <c r="AI83" s="24" t="s">
        <v>651</v>
      </c>
      <c r="AJ83" s="24"/>
      <c r="AK83" s="24"/>
    </row>
    <row r="84" spans="2:37" x14ac:dyDescent="0.25">
      <c r="B84" s="62">
        <v>110</v>
      </c>
      <c r="C84" s="25">
        <v>20200319</v>
      </c>
      <c r="D84" s="24" t="s">
        <v>2</v>
      </c>
      <c r="E84" s="24" t="s">
        <v>455</v>
      </c>
      <c r="F84" s="26" t="s">
        <v>70</v>
      </c>
      <c r="G84" s="24" t="s">
        <v>433</v>
      </c>
      <c r="H84" s="24" t="s">
        <v>384</v>
      </c>
      <c r="I84" s="24" t="s">
        <v>334</v>
      </c>
      <c r="J84" s="24" t="s">
        <v>70</v>
      </c>
      <c r="K84" s="24" t="s">
        <v>845</v>
      </c>
      <c r="L84" s="26" t="s">
        <v>415</v>
      </c>
      <c r="M84" s="26" t="s">
        <v>476</v>
      </c>
      <c r="N84" s="27" t="s">
        <v>613</v>
      </c>
      <c r="O84" s="25" t="s">
        <v>201</v>
      </c>
      <c r="P84" s="24" t="s">
        <v>73</v>
      </c>
      <c r="Q84" s="24"/>
      <c r="R84" s="24"/>
      <c r="S84" s="24"/>
      <c r="T84" s="24">
        <f>ROUND(IF(D84=Table!$C$3,V84*Table!$C$4/8,V84*Table!$D$4/8),3)</f>
        <v>81.494</v>
      </c>
      <c r="U84" s="24">
        <f t="shared" si="16"/>
        <v>81.494</v>
      </c>
      <c r="V84" s="24">
        <v>5.0150000000000006</v>
      </c>
      <c r="W84" s="24">
        <v>4</v>
      </c>
      <c r="X84" s="24" t="s">
        <v>83</v>
      </c>
      <c r="Y84" s="28">
        <v>43910</v>
      </c>
      <c r="Z84" s="28">
        <v>43920</v>
      </c>
      <c r="AA84" s="28">
        <v>43915</v>
      </c>
      <c r="AB84" s="28">
        <v>43915</v>
      </c>
      <c r="AC84" s="28" t="s">
        <v>205</v>
      </c>
      <c r="AD84" s="121"/>
      <c r="AE84" s="121"/>
      <c r="AF84" s="55">
        <v>0.879</v>
      </c>
      <c r="AG84" s="55">
        <v>0.88900000000000001</v>
      </c>
      <c r="AH84" s="55">
        <v>1</v>
      </c>
      <c r="AI84" s="24" t="s">
        <v>652</v>
      </c>
      <c r="AJ84" s="24"/>
      <c r="AK84" s="24"/>
    </row>
    <row r="85" spans="2:37" x14ac:dyDescent="0.25">
      <c r="B85" s="62">
        <v>111</v>
      </c>
      <c r="C85" s="25">
        <v>20200319</v>
      </c>
      <c r="D85" s="24" t="s">
        <v>2</v>
      </c>
      <c r="E85" s="24" t="s">
        <v>455</v>
      </c>
      <c r="F85" s="26" t="s">
        <v>70</v>
      </c>
      <c r="G85" s="24" t="s">
        <v>161</v>
      </c>
      <c r="H85" s="24" t="s">
        <v>385</v>
      </c>
      <c r="I85" s="24" t="s">
        <v>334</v>
      </c>
      <c r="J85" s="24" t="s">
        <v>70</v>
      </c>
      <c r="K85" s="24" t="s">
        <v>845</v>
      </c>
      <c r="L85" s="26" t="s">
        <v>415</v>
      </c>
      <c r="M85" s="26" t="s">
        <v>476</v>
      </c>
      <c r="N85" s="27" t="s">
        <v>614</v>
      </c>
      <c r="O85" s="25" t="s">
        <v>201</v>
      </c>
      <c r="P85" s="24" t="s">
        <v>73</v>
      </c>
      <c r="Q85" s="24"/>
      <c r="R85" s="24"/>
      <c r="S85" s="24"/>
      <c r="T85" s="24">
        <f>ROUND(IF(D85=Table!$C$3,V85*Table!$C$4/8,V85*Table!$D$4/8),3)</f>
        <v>26.244</v>
      </c>
      <c r="U85" s="24">
        <f>T85</f>
        <v>26.244</v>
      </c>
      <c r="V85" s="24">
        <v>1.615</v>
      </c>
      <c r="W85" s="24">
        <v>1</v>
      </c>
      <c r="X85" s="24" t="s">
        <v>83</v>
      </c>
      <c r="Y85" s="28">
        <v>43910</v>
      </c>
      <c r="Z85" s="28">
        <v>43920</v>
      </c>
      <c r="AA85" s="28">
        <v>43914</v>
      </c>
      <c r="AB85" s="28">
        <v>43914</v>
      </c>
      <c r="AC85" s="81" t="s">
        <v>204</v>
      </c>
      <c r="AD85" s="121"/>
      <c r="AE85" s="121"/>
      <c r="AF85" s="55">
        <v>1</v>
      </c>
      <c r="AG85" s="55">
        <v>1</v>
      </c>
      <c r="AH85" s="55">
        <v>1</v>
      </c>
      <c r="AI85" s="24"/>
      <c r="AJ85" s="24"/>
      <c r="AK85" s="24"/>
    </row>
    <row r="86" spans="2:37" x14ac:dyDescent="0.25">
      <c r="B86" s="62">
        <v>112</v>
      </c>
      <c r="C86" s="25">
        <v>20200319</v>
      </c>
      <c r="D86" s="24" t="s">
        <v>2</v>
      </c>
      <c r="E86" s="24" t="s">
        <v>455</v>
      </c>
      <c r="F86" s="26" t="s">
        <v>70</v>
      </c>
      <c r="G86" s="24" t="s">
        <v>434</v>
      </c>
      <c r="H86" s="24" t="s">
        <v>386</v>
      </c>
      <c r="I86" s="24" t="s">
        <v>334</v>
      </c>
      <c r="J86" s="24" t="s">
        <v>70</v>
      </c>
      <c r="K86" s="24" t="s">
        <v>845</v>
      </c>
      <c r="L86" s="26" t="s">
        <v>418</v>
      </c>
      <c r="M86" s="26" t="s">
        <v>476</v>
      </c>
      <c r="N86" s="27" t="s">
        <v>615</v>
      </c>
      <c r="O86" s="25" t="s">
        <v>203</v>
      </c>
      <c r="P86" s="24" t="s">
        <v>75</v>
      </c>
      <c r="Q86" s="24"/>
      <c r="R86" s="24"/>
      <c r="S86" s="24"/>
      <c r="T86" s="24">
        <f>ROUND(IF(D86=Table!$C$3,V86*Table!$C$4/8,V86*Table!$D$4/8),3)</f>
        <v>26.244</v>
      </c>
      <c r="U86" s="24">
        <f>T86</f>
        <v>26.244</v>
      </c>
      <c r="V86" s="24">
        <v>1.615</v>
      </c>
      <c r="W86" s="24">
        <v>1</v>
      </c>
      <c r="X86" s="24" t="s">
        <v>83</v>
      </c>
      <c r="Y86" s="28">
        <v>43910</v>
      </c>
      <c r="Z86" s="28">
        <v>43920</v>
      </c>
      <c r="AA86" s="28">
        <v>43917</v>
      </c>
      <c r="AB86" s="28">
        <v>43917</v>
      </c>
      <c r="AC86" s="28" t="s">
        <v>204</v>
      </c>
      <c r="AD86" s="121"/>
      <c r="AE86" s="121"/>
      <c r="AF86" s="55">
        <v>1</v>
      </c>
      <c r="AG86" s="55">
        <v>1</v>
      </c>
      <c r="AH86" s="55">
        <v>1</v>
      </c>
      <c r="AI86" s="24"/>
      <c r="AJ86" s="24"/>
      <c r="AK86" s="24"/>
    </row>
    <row r="87" spans="2:37" x14ac:dyDescent="0.25">
      <c r="B87" s="62">
        <v>113</v>
      </c>
      <c r="C87" s="25">
        <v>20200319</v>
      </c>
      <c r="D87" s="24" t="s">
        <v>2</v>
      </c>
      <c r="E87" s="24" t="s">
        <v>455</v>
      </c>
      <c r="F87" s="26" t="s">
        <v>70</v>
      </c>
      <c r="G87" s="24" t="s">
        <v>301</v>
      </c>
      <c r="H87" s="24" t="s">
        <v>387</v>
      </c>
      <c r="I87" s="24" t="s">
        <v>334</v>
      </c>
      <c r="J87" s="24" t="s">
        <v>70</v>
      </c>
      <c r="K87" s="24" t="s">
        <v>845</v>
      </c>
      <c r="L87" s="26" t="s">
        <v>415</v>
      </c>
      <c r="M87" s="26" t="s">
        <v>476</v>
      </c>
      <c r="N87" s="27" t="s">
        <v>616</v>
      </c>
      <c r="O87" s="25" t="s">
        <v>203</v>
      </c>
      <c r="P87" s="24" t="s">
        <v>75</v>
      </c>
      <c r="Q87" s="24"/>
      <c r="R87" s="24"/>
      <c r="S87" s="24"/>
      <c r="T87" s="24">
        <f>ROUND(IF(D87=Table!$C$3,V87*Table!$C$4/8,V87*Table!$D$4/8),3)</f>
        <v>26.244</v>
      </c>
      <c r="U87" s="24">
        <f t="shared" ref="U87:U90" si="17">T87</f>
        <v>26.244</v>
      </c>
      <c r="V87" s="24">
        <v>1.615</v>
      </c>
      <c r="W87" s="24">
        <v>1</v>
      </c>
      <c r="X87" s="24" t="s">
        <v>83</v>
      </c>
      <c r="Y87" s="28">
        <v>43910</v>
      </c>
      <c r="Z87" s="28">
        <v>43920</v>
      </c>
      <c r="AA87" s="28">
        <v>43917</v>
      </c>
      <c r="AB87" s="28">
        <v>43917</v>
      </c>
      <c r="AC87" s="28" t="s">
        <v>204</v>
      </c>
      <c r="AD87" s="121"/>
      <c r="AE87" s="121"/>
      <c r="AF87" s="55">
        <v>1</v>
      </c>
      <c r="AG87" s="55">
        <v>1</v>
      </c>
      <c r="AH87" s="55">
        <v>1</v>
      </c>
      <c r="AI87" s="24"/>
      <c r="AJ87" s="24"/>
      <c r="AK87" s="24"/>
    </row>
    <row r="88" spans="2:37" x14ac:dyDescent="0.25">
      <c r="B88" s="62">
        <v>114</v>
      </c>
      <c r="C88" s="25">
        <v>20200319</v>
      </c>
      <c r="D88" s="24" t="s">
        <v>2</v>
      </c>
      <c r="E88" s="24" t="s">
        <v>455</v>
      </c>
      <c r="F88" s="26" t="s">
        <v>70</v>
      </c>
      <c r="G88" s="24" t="s">
        <v>302</v>
      </c>
      <c r="H88" s="24" t="s">
        <v>388</v>
      </c>
      <c r="I88" s="24" t="s">
        <v>334</v>
      </c>
      <c r="J88" s="24" t="s">
        <v>70</v>
      </c>
      <c r="K88" s="24" t="s">
        <v>845</v>
      </c>
      <c r="L88" s="26" t="s">
        <v>415</v>
      </c>
      <c r="M88" s="26" t="s">
        <v>476</v>
      </c>
      <c r="N88" s="27" t="s">
        <v>617</v>
      </c>
      <c r="O88" s="25" t="s">
        <v>203</v>
      </c>
      <c r="P88" s="24" t="s">
        <v>75</v>
      </c>
      <c r="Q88" s="24"/>
      <c r="R88" s="24"/>
      <c r="S88" s="24"/>
      <c r="T88" s="24">
        <f>ROUND(IF(D88=Table!$C$3,V88*Table!$C$4/8,V88*Table!$D$4/8),3)</f>
        <v>53.869</v>
      </c>
      <c r="U88" s="24">
        <f t="shared" si="17"/>
        <v>53.869</v>
      </c>
      <c r="V88" s="24">
        <v>3.3150000000000004</v>
      </c>
      <c r="W88" s="24">
        <v>1</v>
      </c>
      <c r="X88" s="24" t="s">
        <v>83</v>
      </c>
      <c r="Y88" s="28">
        <v>43910</v>
      </c>
      <c r="Z88" s="28">
        <v>43920</v>
      </c>
      <c r="AA88" s="28">
        <v>43917</v>
      </c>
      <c r="AB88" s="28">
        <v>43917</v>
      </c>
      <c r="AC88" s="28" t="s">
        <v>204</v>
      </c>
      <c r="AD88" s="121"/>
      <c r="AE88" s="121"/>
      <c r="AF88" s="55">
        <v>1</v>
      </c>
      <c r="AG88" s="55">
        <v>1</v>
      </c>
      <c r="AH88" s="55">
        <v>1</v>
      </c>
      <c r="AI88" s="24"/>
      <c r="AJ88" s="24"/>
      <c r="AK88" s="24"/>
    </row>
    <row r="89" spans="2:37" x14ac:dyDescent="0.25">
      <c r="B89" s="62">
        <v>115</v>
      </c>
      <c r="C89" s="25">
        <v>20200319</v>
      </c>
      <c r="D89" s="24" t="s">
        <v>2</v>
      </c>
      <c r="E89" s="24" t="s">
        <v>455</v>
      </c>
      <c r="F89" s="26" t="s">
        <v>70</v>
      </c>
      <c r="G89" s="24" t="s">
        <v>435</v>
      </c>
      <c r="H89" s="24" t="s">
        <v>389</v>
      </c>
      <c r="I89" s="24" t="s">
        <v>334</v>
      </c>
      <c r="J89" s="24" t="s">
        <v>70</v>
      </c>
      <c r="K89" s="24" t="s">
        <v>845</v>
      </c>
      <c r="L89" s="26" t="s">
        <v>415</v>
      </c>
      <c r="M89" s="26" t="s">
        <v>476</v>
      </c>
      <c r="N89" s="27" t="s">
        <v>618</v>
      </c>
      <c r="O89" s="25" t="s">
        <v>203</v>
      </c>
      <c r="P89" s="24" t="s">
        <v>75</v>
      </c>
      <c r="Q89" s="24"/>
      <c r="R89" s="24"/>
      <c r="S89" s="24"/>
      <c r="T89" s="24">
        <f>ROUND(IF(D89=Table!$C$3,V89*Table!$C$4/8,V89*Table!$D$4/8),3)</f>
        <v>26.244</v>
      </c>
      <c r="U89" s="24">
        <f t="shared" si="17"/>
        <v>26.244</v>
      </c>
      <c r="V89" s="24">
        <v>1.615</v>
      </c>
      <c r="W89" s="24">
        <v>1</v>
      </c>
      <c r="X89" s="24" t="s">
        <v>83</v>
      </c>
      <c r="Y89" s="28">
        <v>43910</v>
      </c>
      <c r="Z89" s="28">
        <v>43920</v>
      </c>
      <c r="AA89" s="28">
        <v>43917</v>
      </c>
      <c r="AB89" s="28">
        <v>43917</v>
      </c>
      <c r="AC89" s="28" t="s">
        <v>204</v>
      </c>
      <c r="AD89" s="121"/>
      <c r="AE89" s="121"/>
      <c r="AF89" s="55">
        <v>1</v>
      </c>
      <c r="AG89" s="55">
        <v>1</v>
      </c>
      <c r="AH89" s="55">
        <v>1</v>
      </c>
      <c r="AI89" s="24"/>
      <c r="AJ89" s="24"/>
      <c r="AK89" s="24"/>
    </row>
    <row r="90" spans="2:37" x14ac:dyDescent="0.25">
      <c r="B90" s="62">
        <v>116</v>
      </c>
      <c r="C90" s="25">
        <v>20200319</v>
      </c>
      <c r="D90" s="24" t="s">
        <v>2</v>
      </c>
      <c r="E90" s="24" t="s">
        <v>455</v>
      </c>
      <c r="F90" s="26" t="s">
        <v>70</v>
      </c>
      <c r="G90" s="24" t="s">
        <v>436</v>
      </c>
      <c r="H90" s="24" t="s">
        <v>390</v>
      </c>
      <c r="I90" s="24" t="s">
        <v>334</v>
      </c>
      <c r="J90" s="24" t="s">
        <v>70</v>
      </c>
      <c r="K90" s="24" t="s">
        <v>845</v>
      </c>
      <c r="L90" s="26" t="s">
        <v>416</v>
      </c>
      <c r="M90" s="26" t="s">
        <v>476</v>
      </c>
      <c r="N90" s="27" t="s">
        <v>619</v>
      </c>
      <c r="O90" s="25" t="s">
        <v>203</v>
      </c>
      <c r="P90" s="24" t="s">
        <v>75</v>
      </c>
      <c r="Q90" s="24"/>
      <c r="R90" s="24"/>
      <c r="S90" s="24"/>
      <c r="T90" s="24">
        <f>ROUND(IF(D90=Table!$C$3,V90*Table!$C$4/8,V90*Table!$D$4/8),3)</f>
        <v>26.244</v>
      </c>
      <c r="U90" s="24">
        <f t="shared" si="17"/>
        <v>26.244</v>
      </c>
      <c r="V90" s="24">
        <v>1.615</v>
      </c>
      <c r="W90" s="24">
        <v>1</v>
      </c>
      <c r="X90" s="24" t="s">
        <v>83</v>
      </c>
      <c r="Y90" s="28">
        <v>43910</v>
      </c>
      <c r="Z90" s="28">
        <v>43920</v>
      </c>
      <c r="AA90" s="28">
        <v>43917</v>
      </c>
      <c r="AB90" s="28">
        <v>43917</v>
      </c>
      <c r="AC90" s="28" t="s">
        <v>204</v>
      </c>
      <c r="AD90" s="121"/>
      <c r="AE90" s="121"/>
      <c r="AF90" s="55">
        <v>1</v>
      </c>
      <c r="AG90" s="55">
        <v>1</v>
      </c>
      <c r="AH90" s="55">
        <v>1</v>
      </c>
      <c r="AI90" s="24"/>
      <c r="AJ90" s="24"/>
      <c r="AK90" s="24"/>
    </row>
    <row r="91" spans="2:37" x14ac:dyDescent="0.25">
      <c r="B91" s="62">
        <v>117</v>
      </c>
      <c r="C91" s="25">
        <v>20200319</v>
      </c>
      <c r="D91" s="24" t="s">
        <v>2</v>
      </c>
      <c r="E91" s="24" t="s">
        <v>455</v>
      </c>
      <c r="F91" s="26" t="s">
        <v>70</v>
      </c>
      <c r="G91" s="24" t="s">
        <v>303</v>
      </c>
      <c r="H91" s="24" t="s">
        <v>391</v>
      </c>
      <c r="I91" s="24" t="s">
        <v>334</v>
      </c>
      <c r="J91" s="24" t="s">
        <v>70</v>
      </c>
      <c r="K91" s="24" t="s">
        <v>845</v>
      </c>
      <c r="L91" s="26" t="s">
        <v>415</v>
      </c>
      <c r="M91" s="26" t="s">
        <v>476</v>
      </c>
      <c r="N91" s="27" t="s">
        <v>620</v>
      </c>
      <c r="O91" s="25" t="s">
        <v>203</v>
      </c>
      <c r="P91" s="24" t="s">
        <v>75</v>
      </c>
      <c r="Q91" s="24"/>
      <c r="R91" s="24"/>
      <c r="S91" s="24"/>
      <c r="T91" s="24">
        <f>ROUND(IF(D91=Table!$C$3,V91*Table!$C$4/8,V91*Table!$D$4/8),3)</f>
        <v>59.393999999999998</v>
      </c>
      <c r="U91" s="24">
        <f>T91</f>
        <v>59.393999999999998</v>
      </c>
      <c r="V91" s="24">
        <v>3.6549999999999998</v>
      </c>
      <c r="W91" s="24">
        <v>5</v>
      </c>
      <c r="X91" s="24" t="s">
        <v>83</v>
      </c>
      <c r="Y91" s="28">
        <v>43910</v>
      </c>
      <c r="Z91" s="28">
        <v>43920</v>
      </c>
      <c r="AA91" s="28">
        <v>43914</v>
      </c>
      <c r="AB91" s="28">
        <v>43914</v>
      </c>
      <c r="AC91" s="28" t="s">
        <v>204</v>
      </c>
      <c r="AD91" s="121"/>
      <c r="AE91" s="121"/>
      <c r="AF91" s="55">
        <v>1</v>
      </c>
      <c r="AG91" s="55">
        <v>1</v>
      </c>
      <c r="AH91" s="55" t="s">
        <v>219</v>
      </c>
      <c r="AI91" s="24"/>
      <c r="AJ91" s="24"/>
      <c r="AK91" s="24"/>
    </row>
    <row r="92" spans="2:37" x14ac:dyDescent="0.25">
      <c r="B92" s="62">
        <v>118</v>
      </c>
      <c r="C92" s="25">
        <v>20200319</v>
      </c>
      <c r="D92" s="24" t="s">
        <v>2</v>
      </c>
      <c r="E92" s="24" t="s">
        <v>455</v>
      </c>
      <c r="F92" s="26" t="s">
        <v>70</v>
      </c>
      <c r="G92" s="24" t="s">
        <v>304</v>
      </c>
      <c r="H92" s="24" t="s">
        <v>392</v>
      </c>
      <c r="I92" s="24" t="s">
        <v>427</v>
      </c>
      <c r="J92" s="24" t="s">
        <v>70</v>
      </c>
      <c r="K92" s="24" t="s">
        <v>845</v>
      </c>
      <c r="L92" s="26" t="s">
        <v>419</v>
      </c>
      <c r="M92" s="26" t="s">
        <v>476</v>
      </c>
      <c r="N92" s="27" t="s">
        <v>621</v>
      </c>
      <c r="O92" s="25" t="s">
        <v>203</v>
      </c>
      <c r="P92" s="24" t="s">
        <v>75</v>
      </c>
      <c r="Q92" s="24"/>
      <c r="R92" s="24"/>
      <c r="S92" s="24"/>
      <c r="T92" s="24">
        <f>ROUND(IF(D92=Table!$C$3,V92*Table!$C$4/8,V92*Table!$D$4/8),3)</f>
        <v>158.84399999999999</v>
      </c>
      <c r="U92" s="24">
        <f t="shared" ref="U92:U93" si="18">T92</f>
        <v>158.84399999999999</v>
      </c>
      <c r="V92" s="24">
        <v>9.7750000000000004</v>
      </c>
      <c r="W92" s="24">
        <v>2</v>
      </c>
      <c r="X92" s="24" t="s">
        <v>83</v>
      </c>
      <c r="Y92" s="28">
        <v>43910</v>
      </c>
      <c r="Z92" s="28">
        <v>43920</v>
      </c>
      <c r="AA92" s="28">
        <v>43917</v>
      </c>
      <c r="AB92" s="28">
        <v>43917</v>
      </c>
      <c r="AC92" s="28" t="s">
        <v>204</v>
      </c>
      <c r="AD92" s="121"/>
      <c r="AE92" s="121"/>
      <c r="AF92" s="55">
        <v>1</v>
      </c>
      <c r="AG92" s="55">
        <v>1</v>
      </c>
      <c r="AH92" s="55">
        <v>1</v>
      </c>
      <c r="AI92" s="24"/>
      <c r="AJ92" s="24"/>
      <c r="AK92" s="24"/>
    </row>
    <row r="93" spans="2:37" x14ac:dyDescent="0.25">
      <c r="B93" s="62">
        <v>119</v>
      </c>
      <c r="C93" s="25">
        <v>20200319</v>
      </c>
      <c r="D93" s="24" t="s">
        <v>2</v>
      </c>
      <c r="E93" s="24" t="s">
        <v>455</v>
      </c>
      <c r="F93" s="26" t="s">
        <v>70</v>
      </c>
      <c r="G93" s="24" t="s">
        <v>305</v>
      </c>
      <c r="H93" s="24" t="s">
        <v>393</v>
      </c>
      <c r="I93" s="24" t="s">
        <v>334</v>
      </c>
      <c r="J93" s="24" t="s">
        <v>70</v>
      </c>
      <c r="K93" s="24" t="s">
        <v>845</v>
      </c>
      <c r="L93" s="26" t="s">
        <v>420</v>
      </c>
      <c r="M93" s="26" t="s">
        <v>476</v>
      </c>
      <c r="N93" s="27" t="s">
        <v>622</v>
      </c>
      <c r="O93" s="25" t="s">
        <v>203</v>
      </c>
      <c r="P93" s="24" t="s">
        <v>75</v>
      </c>
      <c r="Q93" s="24"/>
      <c r="R93" s="24"/>
      <c r="S93" s="24"/>
      <c r="T93" s="24">
        <f>ROUND(IF(D93=Table!$C$3,V93*Table!$C$4/8,V93*Table!$D$4/8),3)</f>
        <v>26.244</v>
      </c>
      <c r="U93" s="24">
        <f t="shared" si="18"/>
        <v>26.244</v>
      </c>
      <c r="V93" s="24">
        <v>1.615</v>
      </c>
      <c r="W93" s="24">
        <v>1</v>
      </c>
      <c r="X93" s="24" t="s">
        <v>83</v>
      </c>
      <c r="Y93" s="28">
        <v>43910</v>
      </c>
      <c r="Z93" s="28">
        <v>43920</v>
      </c>
      <c r="AA93" s="28">
        <v>43917</v>
      </c>
      <c r="AB93" s="28">
        <v>43917</v>
      </c>
      <c r="AC93" s="28" t="s">
        <v>204</v>
      </c>
      <c r="AD93" s="121"/>
      <c r="AE93" s="121"/>
      <c r="AF93" s="55">
        <v>1</v>
      </c>
      <c r="AG93" s="55">
        <v>1</v>
      </c>
      <c r="AH93" s="55">
        <v>1</v>
      </c>
      <c r="AI93" s="24"/>
      <c r="AJ93" s="24"/>
      <c r="AK93" s="24"/>
    </row>
    <row r="94" spans="2:37" x14ac:dyDescent="0.25">
      <c r="B94" s="62">
        <v>120</v>
      </c>
      <c r="C94" s="25">
        <v>20200319</v>
      </c>
      <c r="D94" s="24" t="s">
        <v>2</v>
      </c>
      <c r="E94" s="24" t="s">
        <v>455</v>
      </c>
      <c r="F94" s="26" t="s">
        <v>70</v>
      </c>
      <c r="G94" s="24" t="s">
        <v>306</v>
      </c>
      <c r="H94" s="24" t="s">
        <v>394</v>
      </c>
      <c r="I94" s="24" t="s">
        <v>334</v>
      </c>
      <c r="J94" s="24" t="s">
        <v>70</v>
      </c>
      <c r="K94" s="24" t="s">
        <v>845</v>
      </c>
      <c r="L94" s="26" t="s">
        <v>420</v>
      </c>
      <c r="M94" s="26" t="s">
        <v>476</v>
      </c>
      <c r="N94" s="27" t="s">
        <v>623</v>
      </c>
      <c r="O94" s="25" t="s">
        <v>203</v>
      </c>
      <c r="P94" s="24" t="s">
        <v>75</v>
      </c>
      <c r="Q94" s="24"/>
      <c r="R94" s="24"/>
      <c r="S94" s="24"/>
      <c r="T94" s="24">
        <f>ROUND(IF(D94=Table!$C$3,V94*Table!$C$4/8,V94*Table!$D$4/8),3)</f>
        <v>114.64400000000001</v>
      </c>
      <c r="U94" s="24">
        <f>T94</f>
        <v>114.64400000000001</v>
      </c>
      <c r="V94" s="24">
        <v>7.0550000000000006</v>
      </c>
      <c r="W94" s="24">
        <v>6</v>
      </c>
      <c r="X94" s="24" t="s">
        <v>83</v>
      </c>
      <c r="Y94" s="28">
        <v>43910</v>
      </c>
      <c r="Z94" s="28">
        <v>43920</v>
      </c>
      <c r="AA94" s="28">
        <v>43914</v>
      </c>
      <c r="AB94" s="28">
        <v>43914</v>
      </c>
      <c r="AC94" s="28" t="s">
        <v>204</v>
      </c>
      <c r="AD94" s="121"/>
      <c r="AE94" s="121"/>
      <c r="AF94" s="55">
        <v>1</v>
      </c>
      <c r="AG94" s="55">
        <v>1</v>
      </c>
      <c r="AH94" s="55" t="s">
        <v>219</v>
      </c>
      <c r="AI94" s="24"/>
      <c r="AJ94" s="24"/>
      <c r="AK94" s="24"/>
    </row>
    <row r="95" spans="2:37" x14ac:dyDescent="0.25">
      <c r="B95" s="62">
        <v>121</v>
      </c>
      <c r="C95" s="25">
        <v>20200319</v>
      </c>
      <c r="D95" s="24" t="s">
        <v>2</v>
      </c>
      <c r="E95" s="24" t="s">
        <v>455</v>
      </c>
      <c r="F95" s="26" t="s">
        <v>70</v>
      </c>
      <c r="G95" s="24" t="s">
        <v>307</v>
      </c>
      <c r="H95" s="24" t="s">
        <v>395</v>
      </c>
      <c r="I95" s="24" t="s">
        <v>334</v>
      </c>
      <c r="J95" s="24" t="s">
        <v>70</v>
      </c>
      <c r="K95" s="24" t="s">
        <v>845</v>
      </c>
      <c r="L95" s="26" t="s">
        <v>421</v>
      </c>
      <c r="M95" s="26" t="s">
        <v>476</v>
      </c>
      <c r="N95" s="27" t="s">
        <v>624</v>
      </c>
      <c r="O95" s="25" t="s">
        <v>203</v>
      </c>
      <c r="P95" s="24" t="s">
        <v>75</v>
      </c>
      <c r="Q95" s="24"/>
      <c r="R95" s="24"/>
      <c r="S95" s="24"/>
      <c r="T95" s="24">
        <f>ROUND(IF(D95=Table!$C$3,V95*Table!$C$4/8,V95*Table!$D$4/8),3)</f>
        <v>114.64400000000001</v>
      </c>
      <c r="U95" s="24">
        <f>T95</f>
        <v>114.64400000000001</v>
      </c>
      <c r="V95" s="24">
        <v>7.0550000000000006</v>
      </c>
      <c r="W95" s="24">
        <v>6</v>
      </c>
      <c r="X95" s="24" t="s">
        <v>83</v>
      </c>
      <c r="Y95" s="28">
        <v>43910</v>
      </c>
      <c r="Z95" s="28">
        <v>43920</v>
      </c>
      <c r="AA95" s="28">
        <v>43914</v>
      </c>
      <c r="AB95" s="28">
        <v>43914</v>
      </c>
      <c r="AC95" s="28" t="s">
        <v>204</v>
      </c>
      <c r="AD95" s="121"/>
      <c r="AE95" s="121"/>
      <c r="AF95" s="55">
        <v>1</v>
      </c>
      <c r="AG95" s="55">
        <v>1</v>
      </c>
      <c r="AH95" s="55" t="s">
        <v>219</v>
      </c>
      <c r="AI95" s="24"/>
      <c r="AJ95" s="24"/>
      <c r="AK95" s="24"/>
    </row>
    <row r="96" spans="2:37" x14ac:dyDescent="0.25">
      <c r="B96" s="62">
        <v>122</v>
      </c>
      <c r="C96" s="25">
        <v>20200319</v>
      </c>
      <c r="D96" s="24" t="s">
        <v>2</v>
      </c>
      <c r="E96" s="24" t="s">
        <v>455</v>
      </c>
      <c r="F96" s="26" t="s">
        <v>70</v>
      </c>
      <c r="G96" s="24" t="s">
        <v>437</v>
      </c>
      <c r="H96" s="24" t="s">
        <v>396</v>
      </c>
      <c r="I96" s="24" t="s">
        <v>334</v>
      </c>
      <c r="J96" s="24" t="s">
        <v>70</v>
      </c>
      <c r="K96" s="24" t="s">
        <v>845</v>
      </c>
      <c r="L96" s="26" t="s">
        <v>420</v>
      </c>
      <c r="M96" s="26" t="s">
        <v>476</v>
      </c>
      <c r="N96" s="27" t="s">
        <v>625</v>
      </c>
      <c r="O96" s="25" t="s">
        <v>203</v>
      </c>
      <c r="P96" s="24" t="s">
        <v>75</v>
      </c>
      <c r="Q96" s="24"/>
      <c r="R96" s="24"/>
      <c r="S96" s="24"/>
      <c r="T96" s="24">
        <f>ROUND(IF(D96=Table!$C$3,V96*Table!$C$4/8,V96*Table!$D$4/8),3)</f>
        <v>48.344000000000001</v>
      </c>
      <c r="U96" s="24">
        <f t="shared" ref="U96:U139" si="19">T96</f>
        <v>48.344000000000001</v>
      </c>
      <c r="V96" s="24">
        <v>2.9750000000000001</v>
      </c>
      <c r="W96" s="24">
        <v>1</v>
      </c>
      <c r="X96" s="24" t="s">
        <v>83</v>
      </c>
      <c r="Y96" s="28">
        <v>43910</v>
      </c>
      <c r="Z96" s="28">
        <v>43920</v>
      </c>
      <c r="AA96" s="28">
        <v>43917</v>
      </c>
      <c r="AB96" s="28">
        <v>43917</v>
      </c>
      <c r="AC96" s="28" t="s">
        <v>204</v>
      </c>
      <c r="AD96" s="121"/>
      <c r="AE96" s="121"/>
      <c r="AF96" s="55">
        <v>1</v>
      </c>
      <c r="AG96" s="55">
        <v>1</v>
      </c>
      <c r="AH96" s="55">
        <v>1</v>
      </c>
      <c r="AI96" s="24"/>
      <c r="AJ96" s="24"/>
      <c r="AK96" s="24"/>
    </row>
    <row r="97" spans="2:37" x14ac:dyDescent="0.25">
      <c r="B97" s="62">
        <v>123</v>
      </c>
      <c r="C97" s="25">
        <v>20200319</v>
      </c>
      <c r="D97" s="24" t="s">
        <v>2</v>
      </c>
      <c r="E97" s="24" t="s">
        <v>455</v>
      </c>
      <c r="F97" s="26" t="s">
        <v>70</v>
      </c>
      <c r="G97" s="24" t="s">
        <v>438</v>
      </c>
      <c r="H97" s="24" t="s">
        <v>397</v>
      </c>
      <c r="I97" s="24" t="s">
        <v>334</v>
      </c>
      <c r="J97" s="24" t="s">
        <v>70</v>
      </c>
      <c r="K97" s="24" t="s">
        <v>845</v>
      </c>
      <c r="L97" s="26" t="s">
        <v>420</v>
      </c>
      <c r="M97" s="26" t="s">
        <v>476</v>
      </c>
      <c r="N97" s="27" t="s">
        <v>626</v>
      </c>
      <c r="O97" s="25" t="s">
        <v>203</v>
      </c>
      <c r="P97" s="24" t="s">
        <v>75</v>
      </c>
      <c r="Q97" s="24"/>
      <c r="R97" s="24"/>
      <c r="S97" s="24"/>
      <c r="T97" s="24">
        <f>ROUND(IF(D97=Table!$C$3,V97*Table!$C$4/8,V97*Table!$D$4/8),3)</f>
        <v>114.64400000000001</v>
      </c>
      <c r="U97" s="24">
        <f t="shared" si="19"/>
        <v>114.64400000000001</v>
      </c>
      <c r="V97" s="24">
        <v>7.0550000000000006</v>
      </c>
      <c r="W97" s="24">
        <v>2</v>
      </c>
      <c r="X97" s="24" t="s">
        <v>83</v>
      </c>
      <c r="Y97" s="28">
        <v>43910</v>
      </c>
      <c r="Z97" s="28">
        <v>43920</v>
      </c>
      <c r="AA97" s="28">
        <v>43917</v>
      </c>
      <c r="AB97" s="28">
        <v>43917</v>
      </c>
      <c r="AC97" s="28" t="s">
        <v>204</v>
      </c>
      <c r="AD97" s="121"/>
      <c r="AE97" s="121"/>
      <c r="AF97" s="55">
        <v>1</v>
      </c>
      <c r="AG97" s="55">
        <v>1</v>
      </c>
      <c r="AH97" s="55">
        <v>1</v>
      </c>
      <c r="AI97" s="24"/>
      <c r="AJ97" s="24"/>
      <c r="AK97" s="24"/>
    </row>
    <row r="98" spans="2:37" x14ac:dyDescent="0.25">
      <c r="B98" s="62">
        <v>124</v>
      </c>
      <c r="C98" s="25">
        <v>20200319</v>
      </c>
      <c r="D98" s="24" t="s">
        <v>2</v>
      </c>
      <c r="E98" s="24" t="s">
        <v>455</v>
      </c>
      <c r="F98" s="26" t="s">
        <v>70</v>
      </c>
      <c r="G98" s="24" t="s">
        <v>439</v>
      </c>
      <c r="H98" s="24" t="s">
        <v>398</v>
      </c>
      <c r="I98" s="24" t="s">
        <v>334</v>
      </c>
      <c r="J98" s="24" t="s">
        <v>70</v>
      </c>
      <c r="K98" s="24" t="s">
        <v>845</v>
      </c>
      <c r="L98" s="26" t="s">
        <v>420</v>
      </c>
      <c r="M98" s="26" t="s">
        <v>476</v>
      </c>
      <c r="N98" s="27" t="s">
        <v>627</v>
      </c>
      <c r="O98" s="25" t="s">
        <v>203</v>
      </c>
      <c r="P98" s="24" t="s">
        <v>75</v>
      </c>
      <c r="Q98" s="24"/>
      <c r="R98" s="24"/>
      <c r="S98" s="24"/>
      <c r="T98" s="24">
        <f>ROUND(IF(D98=Table!$C$3,V98*Table!$C$4/8,V98*Table!$D$4/8),3)</f>
        <v>26.244</v>
      </c>
      <c r="U98" s="24">
        <f t="shared" si="19"/>
        <v>26.244</v>
      </c>
      <c r="V98" s="24">
        <v>1.615</v>
      </c>
      <c r="W98" s="24">
        <v>2</v>
      </c>
      <c r="X98" s="24" t="s">
        <v>83</v>
      </c>
      <c r="Y98" s="28">
        <v>43910</v>
      </c>
      <c r="Z98" s="28">
        <v>43920</v>
      </c>
      <c r="AA98" s="28">
        <v>43917</v>
      </c>
      <c r="AB98" s="28">
        <v>43917</v>
      </c>
      <c r="AC98" s="28" t="s">
        <v>204</v>
      </c>
      <c r="AD98" s="121"/>
      <c r="AE98" s="121"/>
      <c r="AF98" s="55">
        <v>1</v>
      </c>
      <c r="AG98" s="55">
        <v>1</v>
      </c>
      <c r="AH98" s="55">
        <v>1</v>
      </c>
      <c r="AI98" s="24"/>
      <c r="AJ98" s="24"/>
      <c r="AK98" s="24"/>
    </row>
    <row r="99" spans="2:37" x14ac:dyDescent="0.25">
      <c r="B99" s="62">
        <v>125</v>
      </c>
      <c r="C99" s="25">
        <v>20200319</v>
      </c>
      <c r="D99" s="24" t="s">
        <v>2</v>
      </c>
      <c r="E99" s="24" t="s">
        <v>455</v>
      </c>
      <c r="F99" s="26" t="s">
        <v>70</v>
      </c>
      <c r="G99" s="24" t="s">
        <v>440</v>
      </c>
      <c r="H99" s="24" t="s">
        <v>399</v>
      </c>
      <c r="I99" s="24" t="s">
        <v>334</v>
      </c>
      <c r="J99" s="24" t="s">
        <v>70</v>
      </c>
      <c r="K99" s="24" t="s">
        <v>845</v>
      </c>
      <c r="L99" s="26" t="s">
        <v>420</v>
      </c>
      <c r="M99" s="26" t="s">
        <v>476</v>
      </c>
      <c r="N99" s="27" t="s">
        <v>628</v>
      </c>
      <c r="O99" s="25" t="s">
        <v>203</v>
      </c>
      <c r="P99" s="24" t="s">
        <v>75</v>
      </c>
      <c r="Q99" s="24"/>
      <c r="R99" s="24"/>
      <c r="S99" s="24"/>
      <c r="T99" s="24">
        <f>ROUND(IF(D99=Table!$C$3,V99*Table!$C$4/8,V99*Table!$D$4/8),3)</f>
        <v>26.244</v>
      </c>
      <c r="U99" s="24">
        <f t="shared" si="19"/>
        <v>26.244</v>
      </c>
      <c r="V99" s="24">
        <v>1.615</v>
      </c>
      <c r="W99" s="24">
        <v>1</v>
      </c>
      <c r="X99" s="24" t="s">
        <v>83</v>
      </c>
      <c r="Y99" s="28">
        <v>43910</v>
      </c>
      <c r="Z99" s="28">
        <v>43920</v>
      </c>
      <c r="AA99" s="28">
        <v>43917</v>
      </c>
      <c r="AB99" s="28">
        <v>43917</v>
      </c>
      <c r="AC99" s="28" t="s">
        <v>204</v>
      </c>
      <c r="AD99" s="121"/>
      <c r="AE99" s="121"/>
      <c r="AF99" s="55">
        <v>1</v>
      </c>
      <c r="AG99" s="55">
        <v>1</v>
      </c>
      <c r="AH99" s="55">
        <v>1</v>
      </c>
      <c r="AI99" s="24"/>
      <c r="AJ99" s="24"/>
      <c r="AK99" s="24"/>
    </row>
    <row r="100" spans="2:37" x14ac:dyDescent="0.25">
      <c r="B100" s="62">
        <v>126</v>
      </c>
      <c r="C100" s="25">
        <v>20200319</v>
      </c>
      <c r="D100" s="24" t="s">
        <v>2</v>
      </c>
      <c r="E100" s="24" t="s">
        <v>455</v>
      </c>
      <c r="F100" s="26" t="s">
        <v>70</v>
      </c>
      <c r="G100" s="24" t="s">
        <v>441</v>
      </c>
      <c r="H100" s="24" t="s">
        <v>400</v>
      </c>
      <c r="I100" s="24" t="s">
        <v>334</v>
      </c>
      <c r="J100" s="24" t="s">
        <v>70</v>
      </c>
      <c r="K100" s="24" t="s">
        <v>845</v>
      </c>
      <c r="L100" s="26" t="s">
        <v>420</v>
      </c>
      <c r="M100" s="26" t="s">
        <v>476</v>
      </c>
      <c r="N100" s="27" t="s">
        <v>629</v>
      </c>
      <c r="O100" s="25" t="s">
        <v>654</v>
      </c>
      <c r="P100" s="24" t="s">
        <v>74</v>
      </c>
      <c r="Q100" s="24"/>
      <c r="R100" s="24"/>
      <c r="S100" s="24"/>
      <c r="T100" s="24">
        <f>ROUND(IF(D100=Table!$C$3,V100*Table!$C$4/8,V100*Table!$D$4/8),3)</f>
        <v>81.494</v>
      </c>
      <c r="U100" s="24">
        <f t="shared" si="19"/>
        <v>81.494</v>
      </c>
      <c r="V100" s="24">
        <v>5.0150000000000006</v>
      </c>
      <c r="W100" s="24">
        <v>10</v>
      </c>
      <c r="X100" s="24" t="s">
        <v>82</v>
      </c>
      <c r="Y100" s="28">
        <v>43910</v>
      </c>
      <c r="Z100" s="28">
        <v>43920</v>
      </c>
      <c r="AA100" s="28">
        <v>43914</v>
      </c>
      <c r="AB100" s="28">
        <v>43914</v>
      </c>
      <c r="AC100" s="28" t="s">
        <v>205</v>
      </c>
      <c r="AD100" s="121"/>
      <c r="AE100" s="121"/>
      <c r="AF100" s="80">
        <v>1</v>
      </c>
      <c r="AG100" s="80">
        <v>1</v>
      </c>
      <c r="AH100" s="55">
        <v>1</v>
      </c>
      <c r="AI100" s="24" t="s">
        <v>219</v>
      </c>
      <c r="AJ100" s="24"/>
      <c r="AK100" s="24" t="s">
        <v>219</v>
      </c>
    </row>
    <row r="101" spans="2:37" x14ac:dyDescent="0.25">
      <c r="B101" s="62">
        <v>127</v>
      </c>
      <c r="C101" s="25">
        <v>20200319</v>
      </c>
      <c r="D101" s="24" t="s">
        <v>2</v>
      </c>
      <c r="E101" s="24" t="s">
        <v>455</v>
      </c>
      <c r="F101" s="26" t="s">
        <v>70</v>
      </c>
      <c r="G101" s="24" t="s">
        <v>442</v>
      </c>
      <c r="H101" s="24" t="s">
        <v>401</v>
      </c>
      <c r="I101" s="24" t="s">
        <v>334</v>
      </c>
      <c r="J101" s="24" t="s">
        <v>70</v>
      </c>
      <c r="K101" s="24" t="s">
        <v>845</v>
      </c>
      <c r="L101" s="26" t="s">
        <v>420</v>
      </c>
      <c r="M101" s="26" t="s">
        <v>476</v>
      </c>
      <c r="N101" s="27" t="s">
        <v>630</v>
      </c>
      <c r="O101" s="25" t="s">
        <v>654</v>
      </c>
      <c r="P101" s="24" t="s">
        <v>74</v>
      </c>
      <c r="Q101" s="24"/>
      <c r="R101" s="24"/>
      <c r="S101" s="24"/>
      <c r="T101" s="24">
        <f>ROUND(IF(D101=Table!$C$3,V101*Table!$C$4/8,V101*Table!$D$4/8),3)</f>
        <v>59.393999999999998</v>
      </c>
      <c r="U101" s="24">
        <f t="shared" si="19"/>
        <v>59.393999999999998</v>
      </c>
      <c r="V101" s="24">
        <v>3.6549999999999998</v>
      </c>
      <c r="W101" s="24">
        <v>3</v>
      </c>
      <c r="X101" s="24" t="s">
        <v>82</v>
      </c>
      <c r="Y101" s="28">
        <v>43910</v>
      </c>
      <c r="Z101" s="28">
        <v>43920</v>
      </c>
      <c r="AA101" s="28">
        <v>43914</v>
      </c>
      <c r="AB101" s="28">
        <v>43914</v>
      </c>
      <c r="AC101" s="28" t="s">
        <v>204</v>
      </c>
      <c r="AD101" s="121"/>
      <c r="AE101" s="121"/>
      <c r="AF101" s="80">
        <v>0.82899999999999996</v>
      </c>
      <c r="AG101" s="80">
        <v>0.84599999999999997</v>
      </c>
      <c r="AH101" s="55">
        <v>1</v>
      </c>
      <c r="AI101" s="24" t="s">
        <v>735</v>
      </c>
      <c r="AJ101" s="24"/>
      <c r="AK101" s="24" t="s">
        <v>219</v>
      </c>
    </row>
    <row r="102" spans="2:37" x14ac:dyDescent="0.25">
      <c r="B102" s="62">
        <v>128</v>
      </c>
      <c r="C102" s="25">
        <v>20200319</v>
      </c>
      <c r="D102" s="24" t="s">
        <v>2</v>
      </c>
      <c r="E102" s="24" t="s">
        <v>455</v>
      </c>
      <c r="F102" s="26" t="s">
        <v>70</v>
      </c>
      <c r="G102" s="24" t="s">
        <v>443</v>
      </c>
      <c r="H102" s="24" t="s">
        <v>402</v>
      </c>
      <c r="I102" s="24" t="s">
        <v>334</v>
      </c>
      <c r="J102" s="24" t="s">
        <v>70</v>
      </c>
      <c r="K102" s="24" t="s">
        <v>845</v>
      </c>
      <c r="L102" s="26" t="s">
        <v>420</v>
      </c>
      <c r="M102" s="26" t="s">
        <v>476</v>
      </c>
      <c r="N102" s="27" t="s">
        <v>631</v>
      </c>
      <c r="O102" s="25" t="s">
        <v>654</v>
      </c>
      <c r="P102" s="24" t="s">
        <v>74</v>
      </c>
      <c r="Q102" s="24"/>
      <c r="R102" s="24"/>
      <c r="S102" s="24"/>
      <c r="T102" s="24">
        <f>ROUND(IF(D102=Table!$C$3,V102*Table!$C$4/8,V102*Table!$D$4/8),3)</f>
        <v>53.869</v>
      </c>
      <c r="U102" s="24">
        <f t="shared" si="19"/>
        <v>53.869</v>
      </c>
      <c r="V102" s="24">
        <v>3.3150000000000004</v>
      </c>
      <c r="W102" s="24">
        <v>4</v>
      </c>
      <c r="X102" s="24" t="s">
        <v>82</v>
      </c>
      <c r="Y102" s="28">
        <v>43910</v>
      </c>
      <c r="Z102" s="28">
        <v>43920</v>
      </c>
      <c r="AA102" s="28">
        <v>43915</v>
      </c>
      <c r="AB102" s="28">
        <v>43915</v>
      </c>
      <c r="AC102" s="28" t="s">
        <v>204</v>
      </c>
      <c r="AD102" s="121"/>
      <c r="AE102" s="121"/>
      <c r="AF102" s="55">
        <v>0.78800000000000003</v>
      </c>
      <c r="AG102" s="55">
        <v>0.78800000000000003</v>
      </c>
      <c r="AH102" s="55">
        <v>0.93300000000000005</v>
      </c>
      <c r="AI102" s="24" t="s">
        <v>736</v>
      </c>
      <c r="AJ102" s="24"/>
      <c r="AK102" s="24" t="s">
        <v>219</v>
      </c>
    </row>
    <row r="103" spans="2:37" x14ac:dyDescent="0.25">
      <c r="B103" s="62">
        <v>129</v>
      </c>
      <c r="C103" s="25">
        <v>20200319</v>
      </c>
      <c r="D103" s="24" t="s">
        <v>2</v>
      </c>
      <c r="E103" s="24" t="s">
        <v>455</v>
      </c>
      <c r="F103" s="26" t="s">
        <v>70</v>
      </c>
      <c r="G103" s="24" t="s">
        <v>444</v>
      </c>
      <c r="H103" s="24" t="s">
        <v>403</v>
      </c>
      <c r="I103" s="24" t="s">
        <v>334</v>
      </c>
      <c r="J103" s="24" t="s">
        <v>70</v>
      </c>
      <c r="K103" s="24" t="s">
        <v>845</v>
      </c>
      <c r="L103" s="26" t="s">
        <v>420</v>
      </c>
      <c r="M103" s="26" t="s">
        <v>476</v>
      </c>
      <c r="N103" s="27" t="s">
        <v>632</v>
      </c>
      <c r="O103" s="25" t="s">
        <v>654</v>
      </c>
      <c r="P103" s="24" t="s">
        <v>74</v>
      </c>
      <c r="Q103" s="24"/>
      <c r="R103" s="24"/>
      <c r="S103" s="24"/>
      <c r="T103" s="24">
        <f>ROUND(IF(D103=Table!$C$3,V103*Table!$C$4/8,V103*Table!$D$4/8),3)</f>
        <v>26.244</v>
      </c>
      <c r="U103" s="24">
        <f t="shared" si="19"/>
        <v>26.244</v>
      </c>
      <c r="V103" s="24">
        <v>1.615</v>
      </c>
      <c r="W103" s="24">
        <v>5</v>
      </c>
      <c r="X103" s="24" t="s">
        <v>82</v>
      </c>
      <c r="Y103" s="28">
        <v>43910</v>
      </c>
      <c r="Z103" s="28">
        <v>43920</v>
      </c>
      <c r="AA103" s="28">
        <v>43915</v>
      </c>
      <c r="AB103" s="28">
        <v>43915</v>
      </c>
      <c r="AC103" s="28" t="s">
        <v>204</v>
      </c>
      <c r="AD103" s="121"/>
      <c r="AE103" s="121"/>
      <c r="AF103" s="55">
        <v>0.81</v>
      </c>
      <c r="AG103" s="55">
        <v>0.81</v>
      </c>
      <c r="AH103" s="55">
        <v>1</v>
      </c>
      <c r="AI103" s="24" t="s">
        <v>737</v>
      </c>
      <c r="AJ103" s="24"/>
      <c r="AK103" s="24" t="s">
        <v>219</v>
      </c>
    </row>
    <row r="104" spans="2:37" x14ac:dyDescent="0.25">
      <c r="B104" s="62">
        <v>130</v>
      </c>
      <c r="C104" s="25">
        <v>20200319</v>
      </c>
      <c r="D104" s="24" t="s">
        <v>2</v>
      </c>
      <c r="E104" s="24" t="s">
        <v>455</v>
      </c>
      <c r="F104" s="26" t="s">
        <v>70</v>
      </c>
      <c r="G104" s="24" t="s">
        <v>445</v>
      </c>
      <c r="H104" s="24" t="s">
        <v>404</v>
      </c>
      <c r="I104" s="24" t="s">
        <v>334</v>
      </c>
      <c r="J104" s="24" t="s">
        <v>70</v>
      </c>
      <c r="K104" s="24" t="s">
        <v>845</v>
      </c>
      <c r="L104" s="26" t="s">
        <v>420</v>
      </c>
      <c r="M104" s="26" t="s">
        <v>476</v>
      </c>
      <c r="N104" s="27" t="s">
        <v>633</v>
      </c>
      <c r="O104" s="25" t="s">
        <v>654</v>
      </c>
      <c r="P104" s="24" t="s">
        <v>74</v>
      </c>
      <c r="Q104" s="24"/>
      <c r="R104" s="24"/>
      <c r="S104" s="24"/>
      <c r="T104" s="24">
        <f>ROUND(IF(D104=Table!$C$3,V104*Table!$C$4/8,V104*Table!$D$4/8),3)</f>
        <v>203.04400000000001</v>
      </c>
      <c r="U104" s="24">
        <f t="shared" si="19"/>
        <v>203.04400000000001</v>
      </c>
      <c r="V104" s="24">
        <v>12.494999999999999</v>
      </c>
      <c r="W104" s="24">
        <v>8</v>
      </c>
      <c r="X104" s="24" t="s">
        <v>82</v>
      </c>
      <c r="Y104" s="28">
        <v>43910</v>
      </c>
      <c r="Z104" s="28">
        <v>43920</v>
      </c>
      <c r="AA104" s="28">
        <v>43921</v>
      </c>
      <c r="AB104" s="28">
        <v>43921</v>
      </c>
      <c r="AC104" s="28" t="s">
        <v>205</v>
      </c>
      <c r="AD104" s="121"/>
      <c r="AE104" s="121"/>
      <c r="AF104" s="55">
        <v>0.754</v>
      </c>
      <c r="AG104" s="55">
        <v>0.754</v>
      </c>
      <c r="AH104" s="55">
        <v>0.32700000000000001</v>
      </c>
      <c r="AI104" s="24" t="s">
        <v>738</v>
      </c>
      <c r="AJ104" s="24"/>
      <c r="AK104" s="24" t="s">
        <v>219</v>
      </c>
    </row>
    <row r="105" spans="2:37" x14ac:dyDescent="0.25">
      <c r="B105" s="62">
        <v>131</v>
      </c>
      <c r="C105" s="25">
        <v>20200319</v>
      </c>
      <c r="D105" s="24" t="s">
        <v>2</v>
      </c>
      <c r="E105" s="24" t="s">
        <v>455</v>
      </c>
      <c r="F105" s="26" t="s">
        <v>70</v>
      </c>
      <c r="G105" s="24" t="s">
        <v>446</v>
      </c>
      <c r="H105" s="24" t="s">
        <v>405</v>
      </c>
      <c r="I105" s="24" t="s">
        <v>334</v>
      </c>
      <c r="J105" s="24" t="s">
        <v>70</v>
      </c>
      <c r="K105" s="24" t="s">
        <v>845</v>
      </c>
      <c r="L105" s="26" t="s">
        <v>416</v>
      </c>
      <c r="M105" s="26" t="s">
        <v>476</v>
      </c>
      <c r="N105" s="27" t="s">
        <v>634</v>
      </c>
      <c r="O105" s="25" t="s">
        <v>654</v>
      </c>
      <c r="P105" s="24" t="s">
        <v>74</v>
      </c>
      <c r="Q105" s="24"/>
      <c r="R105" s="24"/>
      <c r="S105" s="24"/>
      <c r="T105" s="24">
        <f>ROUND(IF(D105=Table!$C$3,V105*Table!$C$4/8,V105*Table!$D$4/8),3)</f>
        <v>64.918999999999997</v>
      </c>
      <c r="U105" s="24">
        <f t="shared" si="19"/>
        <v>64.918999999999997</v>
      </c>
      <c r="V105" s="24">
        <v>3.9950000000000001</v>
      </c>
      <c r="W105" s="24">
        <v>3</v>
      </c>
      <c r="X105" s="24" t="s">
        <v>82</v>
      </c>
      <c r="Y105" s="28">
        <v>43910</v>
      </c>
      <c r="Z105" s="28">
        <v>43920</v>
      </c>
      <c r="AA105" s="28">
        <v>43920</v>
      </c>
      <c r="AB105" s="28">
        <v>43920</v>
      </c>
      <c r="AC105" s="28" t="s">
        <v>204</v>
      </c>
      <c r="AD105" s="121"/>
      <c r="AE105" s="121"/>
      <c r="AF105" s="55">
        <v>0.86399999999999999</v>
      </c>
      <c r="AG105" s="55">
        <v>0.86399999999999999</v>
      </c>
      <c r="AH105" s="55">
        <v>0.5</v>
      </c>
      <c r="AI105" s="24" t="s">
        <v>733</v>
      </c>
      <c r="AJ105" s="24"/>
      <c r="AK105" s="24"/>
    </row>
    <row r="106" spans="2:37" x14ac:dyDescent="0.25">
      <c r="B106" s="62">
        <v>132</v>
      </c>
      <c r="C106" s="25">
        <v>20200319</v>
      </c>
      <c r="D106" s="24" t="s">
        <v>2</v>
      </c>
      <c r="E106" s="24" t="s">
        <v>455</v>
      </c>
      <c r="F106" s="26" t="s">
        <v>70</v>
      </c>
      <c r="G106" s="24" t="s">
        <v>447</v>
      </c>
      <c r="H106" s="24" t="s">
        <v>406</v>
      </c>
      <c r="I106" s="24" t="s">
        <v>334</v>
      </c>
      <c r="J106" s="24" t="s">
        <v>70</v>
      </c>
      <c r="K106" s="24" t="s">
        <v>845</v>
      </c>
      <c r="L106" s="26" t="s">
        <v>422</v>
      </c>
      <c r="M106" s="26" t="s">
        <v>476</v>
      </c>
      <c r="N106" s="27" t="s">
        <v>635</v>
      </c>
      <c r="O106" s="25" t="s">
        <v>654</v>
      </c>
      <c r="P106" s="24" t="s">
        <v>74</v>
      </c>
      <c r="Q106" s="24"/>
      <c r="R106" s="24"/>
      <c r="S106" s="24"/>
      <c r="T106" s="24">
        <f>ROUND(IF(D106=Table!$C$3,V106*Table!$C$4/8,V106*Table!$D$4/8),3)</f>
        <v>37.293999999999997</v>
      </c>
      <c r="U106" s="24">
        <f t="shared" si="19"/>
        <v>37.293999999999997</v>
      </c>
      <c r="V106" s="24">
        <v>2.2949999999999999</v>
      </c>
      <c r="W106" s="24">
        <v>6</v>
      </c>
      <c r="X106" s="24" t="s">
        <v>82</v>
      </c>
      <c r="Y106" s="28">
        <v>43910</v>
      </c>
      <c r="Z106" s="28">
        <v>43920</v>
      </c>
      <c r="AA106" s="28">
        <v>43916</v>
      </c>
      <c r="AB106" s="28">
        <v>43916</v>
      </c>
      <c r="AC106" s="28" t="s">
        <v>204</v>
      </c>
      <c r="AD106" s="121"/>
      <c r="AE106" s="121"/>
      <c r="AF106" s="55">
        <v>1</v>
      </c>
      <c r="AG106" s="55">
        <v>1</v>
      </c>
      <c r="AH106" s="55">
        <v>1</v>
      </c>
      <c r="AI106" s="24" t="s">
        <v>219</v>
      </c>
      <c r="AJ106" s="24"/>
      <c r="AK106" s="24" t="s">
        <v>219</v>
      </c>
    </row>
    <row r="107" spans="2:37" x14ac:dyDescent="0.25">
      <c r="B107" s="62">
        <v>133</v>
      </c>
      <c r="C107" s="25">
        <v>20200319</v>
      </c>
      <c r="D107" s="24" t="s">
        <v>2</v>
      </c>
      <c r="E107" s="24" t="s">
        <v>455</v>
      </c>
      <c r="F107" s="26" t="s">
        <v>70</v>
      </c>
      <c r="G107" s="24" t="s">
        <v>448</v>
      </c>
      <c r="H107" s="24" t="s">
        <v>407</v>
      </c>
      <c r="I107" s="24" t="s">
        <v>334</v>
      </c>
      <c r="J107" s="24" t="s">
        <v>70</v>
      </c>
      <c r="K107" s="24" t="s">
        <v>845</v>
      </c>
      <c r="L107" s="26" t="s">
        <v>423</v>
      </c>
      <c r="M107" s="26" t="s">
        <v>476</v>
      </c>
      <c r="N107" s="27" t="s">
        <v>636</v>
      </c>
      <c r="O107" s="25" t="s">
        <v>654</v>
      </c>
      <c r="P107" s="24" t="s">
        <v>74</v>
      </c>
      <c r="Q107" s="24"/>
      <c r="R107" s="24"/>
      <c r="S107" s="24"/>
      <c r="T107" s="24">
        <f>ROUND(IF(D107=Table!$C$3,V107*Table!$C$4/8,V107*Table!$D$4/8),3)</f>
        <v>26.244</v>
      </c>
      <c r="U107" s="24">
        <f t="shared" si="19"/>
        <v>26.244</v>
      </c>
      <c r="V107" s="24">
        <v>1.615</v>
      </c>
      <c r="W107" s="24">
        <v>3</v>
      </c>
      <c r="X107" s="24" t="s">
        <v>102</v>
      </c>
      <c r="Y107" s="28">
        <v>43910</v>
      </c>
      <c r="Z107" s="28">
        <v>43920</v>
      </c>
      <c r="AA107" s="28">
        <v>43916</v>
      </c>
      <c r="AB107" s="28">
        <v>43916</v>
      </c>
      <c r="AC107" s="28" t="s">
        <v>204</v>
      </c>
      <c r="AD107" s="121"/>
      <c r="AE107" s="121"/>
      <c r="AF107" s="55">
        <v>0.83299999999999996</v>
      </c>
      <c r="AG107" s="55">
        <v>0.83299999999999996</v>
      </c>
      <c r="AH107" s="55" t="s">
        <v>219</v>
      </c>
      <c r="AI107" s="24" t="s">
        <v>739</v>
      </c>
      <c r="AJ107" s="24"/>
      <c r="AK107" s="24" t="s">
        <v>219</v>
      </c>
    </row>
    <row r="108" spans="2:37" x14ac:dyDescent="0.25">
      <c r="B108" s="62">
        <v>134</v>
      </c>
      <c r="C108" s="25">
        <v>20200319</v>
      </c>
      <c r="D108" s="24" t="s">
        <v>2</v>
      </c>
      <c r="E108" s="24" t="s">
        <v>455</v>
      </c>
      <c r="F108" s="26" t="s">
        <v>70</v>
      </c>
      <c r="G108" s="24" t="s">
        <v>449</v>
      </c>
      <c r="H108" s="24" t="s">
        <v>408</v>
      </c>
      <c r="I108" s="24" t="s">
        <v>334</v>
      </c>
      <c r="J108" s="24" t="s">
        <v>70</v>
      </c>
      <c r="K108" s="24" t="s">
        <v>845</v>
      </c>
      <c r="L108" s="26" t="s">
        <v>424</v>
      </c>
      <c r="M108" s="26" t="s">
        <v>476</v>
      </c>
      <c r="N108" s="27" t="s">
        <v>637</v>
      </c>
      <c r="O108" s="25" t="s">
        <v>654</v>
      </c>
      <c r="P108" s="24" t="s">
        <v>74</v>
      </c>
      <c r="Q108" s="24"/>
      <c r="R108" s="24"/>
      <c r="S108" s="24"/>
      <c r="T108" s="24">
        <f>ROUND(IF(D108=Table!$C$3,V108*Table!$C$4/8,V108*Table!$D$4/8),3)</f>
        <v>26.244</v>
      </c>
      <c r="U108" s="24">
        <f t="shared" si="19"/>
        <v>26.244</v>
      </c>
      <c r="V108" s="24">
        <v>1.615</v>
      </c>
      <c r="W108" s="24">
        <v>4</v>
      </c>
      <c r="X108" s="24" t="s">
        <v>82</v>
      </c>
      <c r="Y108" s="28">
        <v>43910</v>
      </c>
      <c r="Z108" s="28">
        <v>43920</v>
      </c>
      <c r="AA108" s="28">
        <v>43917</v>
      </c>
      <c r="AB108" s="28">
        <v>43917</v>
      </c>
      <c r="AC108" s="28" t="s">
        <v>204</v>
      </c>
      <c r="AD108" s="121"/>
      <c r="AE108" s="121"/>
      <c r="AF108" s="55">
        <v>0.77300000000000002</v>
      </c>
      <c r="AG108" s="55">
        <v>0.77300000000000002</v>
      </c>
      <c r="AH108" s="55" t="s">
        <v>219</v>
      </c>
      <c r="AI108" s="24" t="s">
        <v>740</v>
      </c>
      <c r="AJ108" s="24"/>
      <c r="AK108" s="24" t="s">
        <v>219</v>
      </c>
    </row>
    <row r="109" spans="2:37" x14ac:dyDescent="0.25">
      <c r="B109" s="62">
        <v>135</v>
      </c>
      <c r="C109" s="25">
        <v>20200319</v>
      </c>
      <c r="D109" s="24" t="s">
        <v>2</v>
      </c>
      <c r="E109" s="24" t="s">
        <v>455</v>
      </c>
      <c r="F109" s="26" t="s">
        <v>70</v>
      </c>
      <c r="G109" s="24" t="s">
        <v>450</v>
      </c>
      <c r="H109" s="24" t="s">
        <v>409</v>
      </c>
      <c r="I109" s="24" t="s">
        <v>334</v>
      </c>
      <c r="J109" s="24" t="s">
        <v>70</v>
      </c>
      <c r="K109" s="24" t="s">
        <v>845</v>
      </c>
      <c r="L109" s="26" t="s">
        <v>422</v>
      </c>
      <c r="M109" s="26" t="s">
        <v>476</v>
      </c>
      <c r="N109" s="27" t="s">
        <v>638</v>
      </c>
      <c r="O109" s="25" t="s">
        <v>654</v>
      </c>
      <c r="P109" s="24" t="s">
        <v>74</v>
      </c>
      <c r="Q109" s="24"/>
      <c r="R109" s="24"/>
      <c r="S109" s="24"/>
      <c r="T109" s="24">
        <f>ROUND(IF(D109=Table!$C$3,V109*Table!$C$4/8,V109*Table!$D$4/8),3)</f>
        <v>59.393999999999998</v>
      </c>
      <c r="U109" s="24">
        <f t="shared" si="19"/>
        <v>59.393999999999998</v>
      </c>
      <c r="V109" s="24">
        <v>3.6549999999999998</v>
      </c>
      <c r="W109" s="24">
        <v>4</v>
      </c>
      <c r="X109" s="24" t="s">
        <v>82</v>
      </c>
      <c r="Y109" s="28">
        <v>43910</v>
      </c>
      <c r="Z109" s="28">
        <v>43920</v>
      </c>
      <c r="AA109" s="28">
        <v>43917</v>
      </c>
      <c r="AB109" s="28">
        <v>43917</v>
      </c>
      <c r="AC109" s="28" t="s">
        <v>204</v>
      </c>
      <c r="AD109" s="121"/>
      <c r="AE109" s="121"/>
      <c r="AF109" s="55">
        <v>0.75800000000000001</v>
      </c>
      <c r="AG109" s="55">
        <v>0.75800000000000001</v>
      </c>
      <c r="AH109" s="55" t="s">
        <v>219</v>
      </c>
      <c r="AI109" s="24" t="s">
        <v>741</v>
      </c>
      <c r="AJ109" s="24"/>
      <c r="AK109" s="24" t="s">
        <v>219</v>
      </c>
    </row>
    <row r="110" spans="2:37" x14ac:dyDescent="0.25">
      <c r="B110" s="62">
        <v>136</v>
      </c>
      <c r="C110" s="25">
        <v>20200319</v>
      </c>
      <c r="D110" s="24" t="s">
        <v>2</v>
      </c>
      <c r="E110" s="24" t="s">
        <v>455</v>
      </c>
      <c r="F110" s="26" t="s">
        <v>70</v>
      </c>
      <c r="G110" s="24" t="s">
        <v>451</v>
      </c>
      <c r="H110" s="24" t="s">
        <v>410</v>
      </c>
      <c r="I110" s="24" t="s">
        <v>334</v>
      </c>
      <c r="J110" s="24" t="s">
        <v>70</v>
      </c>
      <c r="K110" s="24" t="s">
        <v>845</v>
      </c>
      <c r="L110" s="26" t="s">
        <v>422</v>
      </c>
      <c r="M110" s="26" t="s">
        <v>476</v>
      </c>
      <c r="N110" s="27" t="s">
        <v>639</v>
      </c>
      <c r="O110" s="25" t="s">
        <v>654</v>
      </c>
      <c r="P110" s="24" t="s">
        <v>74</v>
      </c>
      <c r="Q110" s="24"/>
      <c r="R110" s="24"/>
      <c r="S110" s="24"/>
      <c r="T110" s="24">
        <f>ROUND(IF(D110=Table!$C$3,V110*Table!$C$4/8,V110*Table!$D$4/8),3)</f>
        <v>48.344000000000001</v>
      </c>
      <c r="U110" s="24">
        <f t="shared" si="19"/>
        <v>48.344000000000001</v>
      </c>
      <c r="V110" s="24">
        <v>2.9750000000000001</v>
      </c>
      <c r="W110" s="24">
        <v>4</v>
      </c>
      <c r="X110" s="24" t="s">
        <v>82</v>
      </c>
      <c r="Y110" s="28">
        <v>43910</v>
      </c>
      <c r="Z110" s="28">
        <v>43920</v>
      </c>
      <c r="AA110" s="28">
        <v>43920</v>
      </c>
      <c r="AB110" s="28">
        <v>43920</v>
      </c>
      <c r="AC110" s="28" t="s">
        <v>204</v>
      </c>
      <c r="AD110" s="121"/>
      <c r="AE110" s="121"/>
      <c r="AF110" s="55">
        <v>0.84</v>
      </c>
      <c r="AG110" s="55">
        <v>0.84</v>
      </c>
      <c r="AH110" s="55">
        <v>0.64</v>
      </c>
      <c r="AI110" s="24"/>
      <c r="AJ110" s="24"/>
      <c r="AK110" s="24"/>
    </row>
    <row r="111" spans="2:37" x14ac:dyDescent="0.25">
      <c r="B111" s="62">
        <v>137</v>
      </c>
      <c r="C111" s="25">
        <v>20200319</v>
      </c>
      <c r="D111" s="24" t="s">
        <v>2</v>
      </c>
      <c r="E111" s="24" t="s">
        <v>455</v>
      </c>
      <c r="F111" s="26" t="s">
        <v>70</v>
      </c>
      <c r="G111" s="24" t="s">
        <v>452</v>
      </c>
      <c r="H111" s="24" t="s">
        <v>411</v>
      </c>
      <c r="I111" s="24" t="s">
        <v>334</v>
      </c>
      <c r="J111" s="24" t="s">
        <v>70</v>
      </c>
      <c r="K111" s="24" t="s">
        <v>845</v>
      </c>
      <c r="L111" s="26" t="s">
        <v>422</v>
      </c>
      <c r="M111" s="26" t="s">
        <v>476</v>
      </c>
      <c r="N111" s="27" t="s">
        <v>640</v>
      </c>
      <c r="O111" s="25" t="s">
        <v>654</v>
      </c>
      <c r="P111" s="24" t="s">
        <v>74</v>
      </c>
      <c r="Q111" s="24"/>
      <c r="R111" s="24"/>
      <c r="S111" s="24"/>
      <c r="T111" s="24">
        <f>ROUND(IF(D111=Table!$C$3,V111*Table!$C$4/8,V111*Table!$D$4/8),3)</f>
        <v>48.344000000000001</v>
      </c>
      <c r="U111" s="24">
        <f t="shared" si="19"/>
        <v>48.344000000000001</v>
      </c>
      <c r="V111" s="24">
        <v>2.9750000000000001</v>
      </c>
      <c r="W111" s="24">
        <v>4</v>
      </c>
      <c r="X111" s="24" t="s">
        <v>82</v>
      </c>
      <c r="Y111" s="28">
        <v>43910</v>
      </c>
      <c r="Z111" s="28">
        <v>43920</v>
      </c>
      <c r="AA111" s="28">
        <v>43920</v>
      </c>
      <c r="AB111" s="28">
        <v>43920</v>
      </c>
      <c r="AC111" s="28" t="s">
        <v>204</v>
      </c>
      <c r="AD111" s="121"/>
      <c r="AE111" s="121"/>
      <c r="AF111" s="55">
        <v>0.91700000000000004</v>
      </c>
      <c r="AG111" s="55">
        <v>0.91700000000000004</v>
      </c>
      <c r="AH111" s="55" t="s">
        <v>219</v>
      </c>
      <c r="AI111" s="24" t="s">
        <v>742</v>
      </c>
      <c r="AJ111" s="24"/>
      <c r="AK111" s="24" t="s">
        <v>219</v>
      </c>
    </row>
    <row r="112" spans="2:37" x14ac:dyDescent="0.25">
      <c r="B112" s="62">
        <v>138</v>
      </c>
      <c r="C112" s="25">
        <v>20200319</v>
      </c>
      <c r="D112" s="24" t="s">
        <v>2</v>
      </c>
      <c r="E112" s="24" t="s">
        <v>455</v>
      </c>
      <c r="F112" s="26" t="s">
        <v>70</v>
      </c>
      <c r="G112" s="24" t="s">
        <v>453</v>
      </c>
      <c r="H112" s="24" t="s">
        <v>412</v>
      </c>
      <c r="I112" s="24" t="s">
        <v>334</v>
      </c>
      <c r="J112" s="24" t="s">
        <v>70</v>
      </c>
      <c r="K112" s="24" t="s">
        <v>845</v>
      </c>
      <c r="L112" s="26" t="s">
        <v>425</v>
      </c>
      <c r="M112" s="26" t="s">
        <v>476</v>
      </c>
      <c r="N112" s="27" t="s">
        <v>641</v>
      </c>
      <c r="O112" s="25" t="s">
        <v>654</v>
      </c>
      <c r="P112" s="24" t="s">
        <v>74</v>
      </c>
      <c r="Q112" s="24"/>
      <c r="R112" s="24"/>
      <c r="S112" s="24"/>
      <c r="T112" s="24">
        <f>ROUND(IF(D112=Table!$C$3,V112*Table!$C$4/8,V112*Table!$D$4/8),3)</f>
        <v>59.393999999999998</v>
      </c>
      <c r="U112" s="24">
        <f t="shared" si="19"/>
        <v>59.393999999999998</v>
      </c>
      <c r="V112" s="24">
        <v>3.6549999999999998</v>
      </c>
      <c r="W112" s="24">
        <v>4</v>
      </c>
      <c r="X112" s="24" t="s">
        <v>82</v>
      </c>
      <c r="Y112" s="28">
        <v>43910</v>
      </c>
      <c r="Z112" s="28">
        <v>43920</v>
      </c>
      <c r="AA112" s="28">
        <v>43917</v>
      </c>
      <c r="AB112" s="28">
        <v>43917</v>
      </c>
      <c r="AC112" s="28" t="s">
        <v>204</v>
      </c>
      <c r="AD112" s="121"/>
      <c r="AE112" s="121"/>
      <c r="AF112" s="55">
        <v>1</v>
      </c>
      <c r="AG112" s="55">
        <v>1</v>
      </c>
      <c r="AH112" s="55" t="s">
        <v>219</v>
      </c>
      <c r="AI112" s="24"/>
      <c r="AJ112" s="24"/>
      <c r="AK112" s="24"/>
    </row>
    <row r="113" spans="2:37" x14ac:dyDescent="0.25">
      <c r="B113" s="62">
        <v>139</v>
      </c>
      <c r="C113" s="25">
        <v>20200319</v>
      </c>
      <c r="D113" s="24" t="s">
        <v>2</v>
      </c>
      <c r="E113" s="24" t="s">
        <v>455</v>
      </c>
      <c r="F113" s="26" t="s">
        <v>70</v>
      </c>
      <c r="G113" s="24" t="s">
        <v>454</v>
      </c>
      <c r="H113" s="24" t="s">
        <v>413</v>
      </c>
      <c r="I113" s="24" t="s">
        <v>334</v>
      </c>
      <c r="J113" s="24" t="s">
        <v>70</v>
      </c>
      <c r="K113" s="24" t="s">
        <v>845</v>
      </c>
      <c r="L113" s="26" t="s">
        <v>426</v>
      </c>
      <c r="M113" s="26" t="s">
        <v>476</v>
      </c>
      <c r="N113" s="27" t="s">
        <v>642</v>
      </c>
      <c r="O113" s="25" t="s">
        <v>654</v>
      </c>
      <c r="P113" s="24" t="s">
        <v>74</v>
      </c>
      <c r="Q113" s="24"/>
      <c r="R113" s="24"/>
      <c r="S113" s="24"/>
      <c r="T113" s="24">
        <f>ROUND(IF(D113=Table!$C$3,V113*Table!$C$4/8,V113*Table!$D$4/8),3)</f>
        <v>59.393999999999998</v>
      </c>
      <c r="U113" s="24">
        <f t="shared" si="19"/>
        <v>59.393999999999998</v>
      </c>
      <c r="V113" s="24">
        <v>3.6549999999999998</v>
      </c>
      <c r="W113" s="24">
        <v>4</v>
      </c>
      <c r="X113" s="24" t="s">
        <v>82</v>
      </c>
      <c r="Y113" s="28">
        <v>43910</v>
      </c>
      <c r="Z113" s="28">
        <v>43920</v>
      </c>
      <c r="AA113" s="28">
        <v>43916</v>
      </c>
      <c r="AB113" s="28">
        <v>43916</v>
      </c>
      <c r="AC113" s="28" t="s">
        <v>204</v>
      </c>
      <c r="AD113" s="121"/>
      <c r="AE113" s="121"/>
      <c r="AF113" s="55">
        <v>1</v>
      </c>
      <c r="AG113" s="55">
        <v>1</v>
      </c>
      <c r="AH113" s="55">
        <v>1</v>
      </c>
      <c r="AI113" s="24"/>
      <c r="AJ113" s="24"/>
      <c r="AK113" s="24"/>
    </row>
    <row r="114" spans="2:37" x14ac:dyDescent="0.25">
      <c r="B114" s="47">
        <v>140</v>
      </c>
      <c r="C114" s="85">
        <v>20200330</v>
      </c>
      <c r="D114" s="24" t="s">
        <v>3</v>
      </c>
      <c r="E114" s="24" t="s">
        <v>676</v>
      </c>
      <c r="F114" s="26" t="s">
        <v>70</v>
      </c>
      <c r="G114" s="24" t="s">
        <v>677</v>
      </c>
      <c r="H114" s="24" t="s">
        <v>661</v>
      </c>
      <c r="I114" s="24" t="s">
        <v>334</v>
      </c>
      <c r="J114" s="24" t="s">
        <v>70</v>
      </c>
      <c r="K114" s="24" t="s">
        <v>846</v>
      </c>
      <c r="L114" s="26" t="s">
        <v>714</v>
      </c>
      <c r="M114" s="26" t="s">
        <v>698</v>
      </c>
      <c r="N114" s="27" t="s">
        <v>699</v>
      </c>
      <c r="O114" s="25" t="s">
        <v>323</v>
      </c>
      <c r="P114" s="24" t="s">
        <v>6</v>
      </c>
      <c r="Q114" s="24"/>
      <c r="R114" s="24"/>
      <c r="S114" s="24">
        <v>47</v>
      </c>
      <c r="T114" s="24">
        <f>ROUND(IF(D114=Table!$C$3,V114*Table!$C$4/8,V114*Table!$D$4/8),3)</f>
        <v>90</v>
      </c>
      <c r="U114" s="24">
        <f t="shared" si="19"/>
        <v>90</v>
      </c>
      <c r="V114" s="24">
        <v>1.6</v>
      </c>
      <c r="W114" s="24">
        <v>8</v>
      </c>
      <c r="X114" s="24" t="s">
        <v>83</v>
      </c>
      <c r="Y114" s="28">
        <v>43920</v>
      </c>
      <c r="Z114" s="28">
        <v>43924</v>
      </c>
      <c r="AA114" s="28">
        <v>43920</v>
      </c>
      <c r="AB114" s="28">
        <v>43920</v>
      </c>
      <c r="AC114" s="28" t="s">
        <v>204</v>
      </c>
      <c r="AD114" s="121"/>
      <c r="AE114" s="121"/>
      <c r="AF114" s="55">
        <v>1</v>
      </c>
      <c r="AG114" s="55">
        <v>1</v>
      </c>
      <c r="AH114" s="55">
        <v>1</v>
      </c>
      <c r="AI114" s="24"/>
      <c r="AJ114" s="24"/>
      <c r="AK114" s="24" t="s">
        <v>683</v>
      </c>
    </row>
    <row r="115" spans="2:37" x14ac:dyDescent="0.25">
      <c r="B115" s="47">
        <v>141</v>
      </c>
      <c r="C115" s="85">
        <v>20200330</v>
      </c>
      <c r="D115" s="24" t="s">
        <v>3</v>
      </c>
      <c r="E115" s="24" t="s">
        <v>676</v>
      </c>
      <c r="F115" s="26" t="s">
        <v>70</v>
      </c>
      <c r="G115" s="24" t="s">
        <v>210</v>
      </c>
      <c r="H115" s="24" t="s">
        <v>662</v>
      </c>
      <c r="I115" s="24" t="s">
        <v>335</v>
      </c>
      <c r="J115" s="24" t="s">
        <v>70</v>
      </c>
      <c r="K115" s="24" t="s">
        <v>846</v>
      </c>
      <c r="L115" s="26" t="s">
        <v>715</v>
      </c>
      <c r="M115" s="26" t="s">
        <v>698</v>
      </c>
      <c r="N115" s="27" t="s">
        <v>700</v>
      </c>
      <c r="O115" s="25" t="s">
        <v>323</v>
      </c>
      <c r="P115" s="24" t="s">
        <v>6</v>
      </c>
      <c r="Q115" s="24"/>
      <c r="R115" s="24"/>
      <c r="S115" s="24">
        <v>1823</v>
      </c>
      <c r="T115" s="24">
        <f>ROUND(IF(D115=Table!$C$3,V115*Table!$C$4/8,V115*Table!$D$4/8),3)</f>
        <v>225</v>
      </c>
      <c r="U115" s="24">
        <f t="shared" si="19"/>
        <v>225</v>
      </c>
      <c r="V115" s="24">
        <v>4</v>
      </c>
      <c r="W115" s="24">
        <v>8</v>
      </c>
      <c r="X115" s="24" t="s">
        <v>83</v>
      </c>
      <c r="Y115" s="28">
        <v>43920</v>
      </c>
      <c r="Z115" s="28">
        <v>43924</v>
      </c>
      <c r="AA115" s="28">
        <v>43921</v>
      </c>
      <c r="AB115" s="28">
        <v>43921</v>
      </c>
      <c r="AC115" s="28" t="s">
        <v>204</v>
      </c>
      <c r="AD115" s="121"/>
      <c r="AE115" s="121"/>
      <c r="AF115" s="55">
        <v>1</v>
      </c>
      <c r="AG115" s="55">
        <v>0.83</v>
      </c>
      <c r="AH115" s="55">
        <v>0</v>
      </c>
      <c r="AI115" s="24" t="s">
        <v>754</v>
      </c>
      <c r="AJ115" s="86"/>
      <c r="AK115" s="24" t="s">
        <v>684</v>
      </c>
    </row>
    <row r="116" spans="2:37" x14ac:dyDescent="0.25">
      <c r="B116" s="47">
        <v>142</v>
      </c>
      <c r="C116" s="85">
        <v>20200330</v>
      </c>
      <c r="D116" s="24" t="s">
        <v>3</v>
      </c>
      <c r="E116" s="24" t="s">
        <v>676</v>
      </c>
      <c r="F116" s="26" t="s">
        <v>70</v>
      </c>
      <c r="G116" s="24" t="s">
        <v>678</v>
      </c>
      <c r="H116" s="24" t="s">
        <v>663</v>
      </c>
      <c r="I116" s="24" t="s">
        <v>335</v>
      </c>
      <c r="J116" s="24" t="s">
        <v>70</v>
      </c>
      <c r="K116" s="24" t="s">
        <v>846</v>
      </c>
      <c r="L116" s="26" t="s">
        <v>716</v>
      </c>
      <c r="M116" s="26" t="s">
        <v>698</v>
      </c>
      <c r="N116" s="27" t="s">
        <v>701</v>
      </c>
      <c r="O116" s="25" t="s">
        <v>324</v>
      </c>
      <c r="P116" s="24" t="s">
        <v>73</v>
      </c>
      <c r="Q116" s="24"/>
      <c r="R116" s="24"/>
      <c r="S116" s="24">
        <v>83</v>
      </c>
      <c r="T116" s="24">
        <f>ROUND(IF(D116=Table!$C$3,V116*Table!$C$4/8,V116*Table!$D$4/8),3)</f>
        <v>90</v>
      </c>
      <c r="U116" s="24">
        <f t="shared" si="19"/>
        <v>90</v>
      </c>
      <c r="V116" s="24">
        <v>1.6</v>
      </c>
      <c r="W116" s="24">
        <v>4</v>
      </c>
      <c r="X116" s="24" t="s">
        <v>83</v>
      </c>
      <c r="Y116" s="28">
        <v>43920</v>
      </c>
      <c r="Z116" s="28">
        <v>43921</v>
      </c>
      <c r="AA116" s="28">
        <v>43920</v>
      </c>
      <c r="AB116" s="28">
        <v>43920</v>
      </c>
      <c r="AC116" s="28" t="s">
        <v>204</v>
      </c>
      <c r="AD116" s="121"/>
      <c r="AE116" s="121"/>
      <c r="AF116" s="55">
        <v>1</v>
      </c>
      <c r="AG116" s="55">
        <v>1</v>
      </c>
      <c r="AH116" s="55">
        <v>0.83</v>
      </c>
      <c r="AI116" s="24"/>
      <c r="AJ116" s="24"/>
      <c r="AK116" s="24" t="s">
        <v>685</v>
      </c>
    </row>
    <row r="117" spans="2:37" x14ac:dyDescent="0.25">
      <c r="B117" s="47">
        <v>143</v>
      </c>
      <c r="C117" s="85">
        <v>20200330</v>
      </c>
      <c r="D117" s="24" t="s">
        <v>3</v>
      </c>
      <c r="E117" s="24" t="s">
        <v>676</v>
      </c>
      <c r="F117" s="26" t="s">
        <v>70</v>
      </c>
      <c r="G117" s="24" t="s">
        <v>679</v>
      </c>
      <c r="H117" s="24" t="s">
        <v>664</v>
      </c>
      <c r="I117" s="24" t="s">
        <v>335</v>
      </c>
      <c r="J117" s="24" t="s">
        <v>70</v>
      </c>
      <c r="K117" s="24" t="s">
        <v>846</v>
      </c>
      <c r="L117" s="26" t="s">
        <v>717</v>
      </c>
      <c r="M117" s="26" t="s">
        <v>698</v>
      </c>
      <c r="N117" s="27" t="s">
        <v>702</v>
      </c>
      <c r="O117" s="25" t="s">
        <v>324</v>
      </c>
      <c r="P117" s="24" t="s">
        <v>73</v>
      </c>
      <c r="Q117" s="24"/>
      <c r="R117" s="24"/>
      <c r="S117" s="24">
        <v>765</v>
      </c>
      <c r="T117" s="24">
        <f>ROUND(IF(D117=Table!$C$3,V117*Table!$C$4/8,V117*Table!$D$4/8),3)</f>
        <v>135</v>
      </c>
      <c r="U117" s="24">
        <f t="shared" si="19"/>
        <v>135</v>
      </c>
      <c r="V117" s="24">
        <v>2.4</v>
      </c>
      <c r="W117" s="24">
        <v>4</v>
      </c>
      <c r="X117" s="24" t="s">
        <v>83</v>
      </c>
      <c r="Y117" s="28">
        <v>43920</v>
      </c>
      <c r="Z117" s="28">
        <v>43921</v>
      </c>
      <c r="AA117" s="28">
        <v>43920</v>
      </c>
      <c r="AB117" s="28">
        <v>43920</v>
      </c>
      <c r="AC117" s="28" t="s">
        <v>204</v>
      </c>
      <c r="AD117" s="121"/>
      <c r="AE117" s="121"/>
      <c r="AF117" s="55">
        <v>1</v>
      </c>
      <c r="AG117" s="55">
        <v>1</v>
      </c>
      <c r="AH117" s="55">
        <v>1</v>
      </c>
      <c r="AI117" s="24"/>
      <c r="AJ117" s="24"/>
      <c r="AK117" s="24" t="s">
        <v>686</v>
      </c>
    </row>
    <row r="118" spans="2:37" x14ac:dyDescent="0.25">
      <c r="B118" s="47">
        <v>144</v>
      </c>
      <c r="C118" s="85">
        <v>20200330</v>
      </c>
      <c r="D118" s="24" t="s">
        <v>3</v>
      </c>
      <c r="E118" s="24" t="s">
        <v>676</v>
      </c>
      <c r="F118" s="26" t="s">
        <v>70</v>
      </c>
      <c r="G118" s="24" t="s">
        <v>124</v>
      </c>
      <c r="H118" s="24" t="s">
        <v>665</v>
      </c>
      <c r="I118" s="24" t="s">
        <v>335</v>
      </c>
      <c r="J118" s="24" t="s">
        <v>70</v>
      </c>
      <c r="K118" s="24" t="s">
        <v>846</v>
      </c>
      <c r="L118" s="26" t="s">
        <v>718</v>
      </c>
      <c r="M118" s="26" t="s">
        <v>698</v>
      </c>
      <c r="N118" s="27" t="s">
        <v>703</v>
      </c>
      <c r="O118" s="25" t="s">
        <v>325</v>
      </c>
      <c r="P118" s="24" t="s">
        <v>75</v>
      </c>
      <c r="Q118" s="24"/>
      <c r="R118" s="24"/>
      <c r="S118" s="24">
        <v>128</v>
      </c>
      <c r="T118" s="24">
        <f>ROUND(IF(D118=Table!$C$3,V118*Table!$C$4/8,V118*Table!$D$4/8),3)</f>
        <v>90</v>
      </c>
      <c r="U118" s="24">
        <f t="shared" si="19"/>
        <v>90</v>
      </c>
      <c r="V118" s="24">
        <v>1.6</v>
      </c>
      <c r="W118" s="24">
        <v>4</v>
      </c>
      <c r="X118" s="24" t="s">
        <v>83</v>
      </c>
      <c r="Y118" s="28">
        <v>43920</v>
      </c>
      <c r="Z118" s="28">
        <v>43924</v>
      </c>
      <c r="AA118" s="28">
        <v>43924</v>
      </c>
      <c r="AB118" s="28">
        <v>43924</v>
      </c>
      <c r="AC118" s="28" t="s">
        <v>204</v>
      </c>
      <c r="AD118" s="121"/>
      <c r="AE118" s="121"/>
      <c r="AF118" s="55">
        <v>1</v>
      </c>
      <c r="AG118" s="55">
        <v>1</v>
      </c>
      <c r="AH118" s="55">
        <v>1</v>
      </c>
      <c r="AI118" s="24"/>
      <c r="AJ118" s="24"/>
      <c r="AK118" s="24" t="s">
        <v>687</v>
      </c>
    </row>
    <row r="119" spans="2:37" x14ac:dyDescent="0.25">
      <c r="B119" s="47">
        <v>145</v>
      </c>
      <c r="C119" s="85">
        <v>20200330</v>
      </c>
      <c r="D119" s="24" t="s">
        <v>3</v>
      </c>
      <c r="E119" s="24" t="s">
        <v>676</v>
      </c>
      <c r="F119" s="26" t="s">
        <v>70</v>
      </c>
      <c r="G119" s="24" t="s">
        <v>680</v>
      </c>
      <c r="H119" s="24" t="s">
        <v>666</v>
      </c>
      <c r="I119" s="24" t="s">
        <v>335</v>
      </c>
      <c r="J119" s="24" t="s">
        <v>70</v>
      </c>
      <c r="K119" s="24" t="s">
        <v>846</v>
      </c>
      <c r="L119" s="26" t="s">
        <v>719</v>
      </c>
      <c r="M119" s="26" t="s">
        <v>698</v>
      </c>
      <c r="N119" s="27" t="s">
        <v>704</v>
      </c>
      <c r="O119" s="25" t="s">
        <v>325</v>
      </c>
      <c r="P119" s="24" t="s">
        <v>75</v>
      </c>
      <c r="Q119" s="24"/>
      <c r="R119" s="24"/>
      <c r="S119" s="24">
        <v>283</v>
      </c>
      <c r="T119" s="24">
        <f>ROUND(IF(D119=Table!$C$3,V119*Table!$C$4/8,V119*Table!$D$4/8),3)</f>
        <v>90</v>
      </c>
      <c r="U119" s="24">
        <f t="shared" si="19"/>
        <v>90</v>
      </c>
      <c r="V119" s="24">
        <v>1.6</v>
      </c>
      <c r="W119" s="24">
        <v>4</v>
      </c>
      <c r="X119" s="24" t="s">
        <v>83</v>
      </c>
      <c r="Y119" s="28">
        <v>43920</v>
      </c>
      <c r="Z119" s="28">
        <v>43924</v>
      </c>
      <c r="AA119" s="28">
        <v>43924</v>
      </c>
      <c r="AB119" s="28">
        <v>43924</v>
      </c>
      <c r="AC119" s="28" t="s">
        <v>204</v>
      </c>
      <c r="AD119" s="121"/>
      <c r="AE119" s="121"/>
      <c r="AF119" s="55">
        <v>1</v>
      </c>
      <c r="AG119" s="55">
        <v>1</v>
      </c>
      <c r="AH119" s="55">
        <v>1</v>
      </c>
      <c r="AI119" s="24"/>
      <c r="AJ119" s="24"/>
      <c r="AK119" s="24" t="s">
        <v>688</v>
      </c>
    </row>
    <row r="120" spans="2:37" x14ac:dyDescent="0.25">
      <c r="B120" s="47">
        <v>146</v>
      </c>
      <c r="C120" s="85">
        <v>20200330</v>
      </c>
      <c r="D120" s="24" t="s">
        <v>3</v>
      </c>
      <c r="E120" s="24" t="s">
        <v>676</v>
      </c>
      <c r="F120" s="26" t="s">
        <v>70</v>
      </c>
      <c r="G120" s="24" t="s">
        <v>127</v>
      </c>
      <c r="H120" s="24" t="s">
        <v>667</v>
      </c>
      <c r="I120" s="24" t="s">
        <v>335</v>
      </c>
      <c r="J120" s="24" t="s">
        <v>70</v>
      </c>
      <c r="K120" s="24" t="s">
        <v>846</v>
      </c>
      <c r="L120" s="26" t="s">
        <v>720</v>
      </c>
      <c r="M120" s="26" t="s">
        <v>698</v>
      </c>
      <c r="N120" s="27" t="s">
        <v>705</v>
      </c>
      <c r="O120" s="25" t="s">
        <v>325</v>
      </c>
      <c r="P120" s="24" t="s">
        <v>75</v>
      </c>
      <c r="Q120" s="24"/>
      <c r="R120" s="24"/>
      <c r="S120" s="24">
        <v>1998</v>
      </c>
      <c r="T120" s="24">
        <f>ROUND(IF(D120=Table!$C$3,V120*Table!$C$4/8,V120*Table!$D$4/8),3)</f>
        <v>135</v>
      </c>
      <c r="U120" s="24">
        <f t="shared" si="19"/>
        <v>135</v>
      </c>
      <c r="V120" s="24">
        <v>2.4</v>
      </c>
      <c r="W120" s="24">
        <v>4</v>
      </c>
      <c r="X120" s="24" t="s">
        <v>83</v>
      </c>
      <c r="Y120" s="28">
        <v>43920</v>
      </c>
      <c r="Z120" s="28">
        <v>43924</v>
      </c>
      <c r="AA120" s="28">
        <v>43924</v>
      </c>
      <c r="AB120" s="28">
        <v>43924</v>
      </c>
      <c r="AC120" s="28" t="s">
        <v>204</v>
      </c>
      <c r="AD120" s="121"/>
      <c r="AE120" s="121"/>
      <c r="AF120" s="55">
        <v>1</v>
      </c>
      <c r="AG120" s="55">
        <v>1</v>
      </c>
      <c r="AH120" s="55">
        <v>1</v>
      </c>
      <c r="AI120" s="24"/>
      <c r="AJ120" s="24"/>
      <c r="AK120" s="24" t="s">
        <v>689</v>
      </c>
    </row>
    <row r="121" spans="2:37" x14ac:dyDescent="0.25">
      <c r="B121" s="47">
        <v>147</v>
      </c>
      <c r="C121" s="85">
        <v>20200330</v>
      </c>
      <c r="D121" s="24" t="s">
        <v>3</v>
      </c>
      <c r="E121" s="24" t="s">
        <v>676</v>
      </c>
      <c r="F121" s="26" t="s">
        <v>70</v>
      </c>
      <c r="G121" s="24" t="s">
        <v>129</v>
      </c>
      <c r="H121" s="24" t="s">
        <v>668</v>
      </c>
      <c r="I121" s="24" t="s">
        <v>335</v>
      </c>
      <c r="J121" s="24" t="s">
        <v>70</v>
      </c>
      <c r="K121" s="24" t="s">
        <v>846</v>
      </c>
      <c r="L121" s="26" t="s">
        <v>721</v>
      </c>
      <c r="M121" s="26" t="s">
        <v>698</v>
      </c>
      <c r="N121" s="27" t="s">
        <v>706</v>
      </c>
      <c r="O121" s="25" t="s">
        <v>326</v>
      </c>
      <c r="P121" s="24" t="s">
        <v>74</v>
      </c>
      <c r="Q121" s="24"/>
      <c r="R121" s="24"/>
      <c r="S121" s="24">
        <v>191</v>
      </c>
      <c r="T121" s="24">
        <f>ROUND(IF(D121=Table!$C$3,V121*Table!$C$4/8,V121*Table!$D$4/8),3)</f>
        <v>360</v>
      </c>
      <c r="U121" s="24">
        <f t="shared" si="19"/>
        <v>360</v>
      </c>
      <c r="V121" s="24">
        <v>6.4</v>
      </c>
      <c r="W121" s="24">
        <v>4</v>
      </c>
      <c r="X121" s="24" t="s">
        <v>83</v>
      </c>
      <c r="Y121" s="28">
        <v>43920</v>
      </c>
      <c r="Z121" s="28">
        <v>43924</v>
      </c>
      <c r="AA121" s="28">
        <v>43924</v>
      </c>
      <c r="AB121" s="28">
        <v>43924</v>
      </c>
      <c r="AC121" s="28" t="s">
        <v>204</v>
      </c>
      <c r="AD121" s="121"/>
      <c r="AE121" s="121"/>
      <c r="AF121" s="55">
        <v>1</v>
      </c>
      <c r="AG121" s="55">
        <v>1</v>
      </c>
      <c r="AH121" s="55">
        <v>1</v>
      </c>
      <c r="AI121" s="24"/>
      <c r="AJ121" s="24"/>
      <c r="AK121" s="24" t="s">
        <v>690</v>
      </c>
    </row>
    <row r="122" spans="2:37" x14ac:dyDescent="0.25">
      <c r="B122" s="47">
        <v>148</v>
      </c>
      <c r="C122" s="85">
        <v>20200330</v>
      </c>
      <c r="D122" s="24" t="s">
        <v>3</v>
      </c>
      <c r="E122" s="24" t="s">
        <v>676</v>
      </c>
      <c r="F122" s="26" t="s">
        <v>70</v>
      </c>
      <c r="G122" s="24" t="s">
        <v>681</v>
      </c>
      <c r="H122" s="24" t="s">
        <v>669</v>
      </c>
      <c r="I122" s="24" t="s">
        <v>335</v>
      </c>
      <c r="J122" s="24" t="s">
        <v>70</v>
      </c>
      <c r="K122" s="24" t="s">
        <v>846</v>
      </c>
      <c r="L122" s="26" t="s">
        <v>722</v>
      </c>
      <c r="M122" s="26" t="s">
        <v>698</v>
      </c>
      <c r="N122" s="27" t="s">
        <v>707</v>
      </c>
      <c r="O122" s="25" t="s">
        <v>326</v>
      </c>
      <c r="P122" s="24" t="s">
        <v>74</v>
      </c>
      <c r="Q122" s="24"/>
      <c r="R122" s="24"/>
      <c r="S122" s="24">
        <v>1379</v>
      </c>
      <c r="T122" s="24">
        <f>ROUND(IF(D122=Table!$C$3,V122*Table!$C$4/8,V122*Table!$D$4/8),3)</f>
        <v>900</v>
      </c>
      <c r="U122" s="24">
        <f t="shared" si="19"/>
        <v>900</v>
      </c>
      <c r="V122" s="24">
        <v>16</v>
      </c>
      <c r="W122" s="24">
        <v>4</v>
      </c>
      <c r="X122" s="24" t="s">
        <v>83</v>
      </c>
      <c r="Y122" s="28">
        <v>43920</v>
      </c>
      <c r="Z122" s="28">
        <v>43924</v>
      </c>
      <c r="AA122" s="28">
        <v>43924</v>
      </c>
      <c r="AB122" s="28">
        <v>43924</v>
      </c>
      <c r="AC122" s="28" t="s">
        <v>204</v>
      </c>
      <c r="AD122" s="121"/>
      <c r="AE122" s="121"/>
      <c r="AF122" s="55">
        <v>1</v>
      </c>
      <c r="AG122" s="55">
        <v>1</v>
      </c>
      <c r="AH122" s="55">
        <v>1</v>
      </c>
      <c r="AI122" s="24"/>
      <c r="AJ122" s="24"/>
      <c r="AK122" s="24" t="s">
        <v>691</v>
      </c>
    </row>
    <row r="123" spans="2:37" x14ac:dyDescent="0.25">
      <c r="B123" s="47">
        <v>149</v>
      </c>
      <c r="C123" s="85">
        <v>20200330</v>
      </c>
      <c r="D123" s="24" t="s">
        <v>3</v>
      </c>
      <c r="E123" s="24" t="s">
        <v>676</v>
      </c>
      <c r="F123" s="26" t="s">
        <v>70</v>
      </c>
      <c r="G123" s="24" t="s">
        <v>130</v>
      </c>
      <c r="H123" s="24" t="s">
        <v>670</v>
      </c>
      <c r="I123" s="24" t="s">
        <v>335</v>
      </c>
      <c r="J123" s="24" t="s">
        <v>70</v>
      </c>
      <c r="K123" s="24" t="s">
        <v>846</v>
      </c>
      <c r="L123" s="26" t="s">
        <v>723</v>
      </c>
      <c r="M123" s="26" t="s">
        <v>698</v>
      </c>
      <c r="N123" s="27" t="s">
        <v>708</v>
      </c>
      <c r="O123" s="25" t="s">
        <v>325</v>
      </c>
      <c r="P123" s="24" t="s">
        <v>75</v>
      </c>
      <c r="Q123" s="24"/>
      <c r="R123" s="24"/>
      <c r="S123" s="24">
        <v>1395</v>
      </c>
      <c r="T123" s="24">
        <f>ROUND(IF(D123=Table!$C$3,V123*Table!$C$4/8,V123*Table!$D$4/8),3)</f>
        <v>900</v>
      </c>
      <c r="U123" s="24">
        <f t="shared" si="19"/>
        <v>900</v>
      </c>
      <c r="V123" s="24">
        <v>16</v>
      </c>
      <c r="W123" s="24">
        <v>4</v>
      </c>
      <c r="X123" s="24" t="s">
        <v>83</v>
      </c>
      <c r="Y123" s="28">
        <v>43920</v>
      </c>
      <c r="Z123" s="28">
        <v>43924</v>
      </c>
      <c r="AA123" s="28">
        <v>43924</v>
      </c>
      <c r="AB123" s="28">
        <v>43924</v>
      </c>
      <c r="AC123" s="28" t="s">
        <v>204</v>
      </c>
      <c r="AD123" s="121"/>
      <c r="AE123" s="121"/>
      <c r="AF123" s="55">
        <v>1</v>
      </c>
      <c r="AG123" s="55">
        <v>1</v>
      </c>
      <c r="AH123" s="55">
        <v>1</v>
      </c>
      <c r="AI123" s="24"/>
      <c r="AJ123" s="24"/>
      <c r="AK123" s="24" t="s">
        <v>692</v>
      </c>
    </row>
    <row r="124" spans="2:37" x14ac:dyDescent="0.25">
      <c r="B124" s="47">
        <v>150</v>
      </c>
      <c r="C124" s="85">
        <v>20200330</v>
      </c>
      <c r="D124" s="24" t="s">
        <v>3</v>
      </c>
      <c r="E124" s="24" t="s">
        <v>676</v>
      </c>
      <c r="F124" s="26" t="s">
        <v>70</v>
      </c>
      <c r="G124" s="24" t="s">
        <v>682</v>
      </c>
      <c r="H124" s="24" t="s">
        <v>671</v>
      </c>
      <c r="I124" s="24" t="s">
        <v>335</v>
      </c>
      <c r="J124" s="24" t="s">
        <v>70</v>
      </c>
      <c r="K124" s="24" t="s">
        <v>846</v>
      </c>
      <c r="L124" s="26" t="s">
        <v>724</v>
      </c>
      <c r="M124" s="26" t="s">
        <v>698</v>
      </c>
      <c r="N124" s="27" t="s">
        <v>709</v>
      </c>
      <c r="O124" s="25" t="s">
        <v>324</v>
      </c>
      <c r="P124" s="24" t="s">
        <v>73</v>
      </c>
      <c r="Q124" s="24"/>
      <c r="R124" s="24"/>
      <c r="S124" s="24">
        <v>1580</v>
      </c>
      <c r="T124" s="24">
        <f>ROUND(IF(D124=Table!$C$3,V124*Table!$C$4/8,V124*Table!$D$4/8),3)</f>
        <v>1125</v>
      </c>
      <c r="U124" s="24">
        <f t="shared" si="19"/>
        <v>1125</v>
      </c>
      <c r="V124" s="24">
        <v>20</v>
      </c>
      <c r="W124" s="24">
        <v>8</v>
      </c>
      <c r="X124" s="24" t="s">
        <v>83</v>
      </c>
      <c r="Y124" s="28">
        <v>43920</v>
      </c>
      <c r="Z124" s="28">
        <v>43921</v>
      </c>
      <c r="AA124" s="28">
        <v>43921</v>
      </c>
      <c r="AB124" s="28">
        <v>43921</v>
      </c>
      <c r="AC124" s="28" t="s">
        <v>204</v>
      </c>
      <c r="AD124" s="121"/>
      <c r="AE124" s="121"/>
      <c r="AF124" s="55">
        <v>1</v>
      </c>
      <c r="AG124" s="55">
        <v>1</v>
      </c>
      <c r="AH124" s="55">
        <v>0.67</v>
      </c>
      <c r="AI124" s="24"/>
      <c r="AJ124" s="24"/>
      <c r="AK124" s="24" t="s">
        <v>693</v>
      </c>
    </row>
    <row r="125" spans="2:37" x14ac:dyDescent="0.25">
      <c r="B125" s="47">
        <v>151</v>
      </c>
      <c r="C125" s="85">
        <v>20200330</v>
      </c>
      <c r="D125" s="24" t="s">
        <v>3</v>
      </c>
      <c r="E125" s="24" t="s">
        <v>676</v>
      </c>
      <c r="F125" s="26" t="s">
        <v>70</v>
      </c>
      <c r="G125" s="24" t="s">
        <v>132</v>
      </c>
      <c r="H125" s="24" t="s">
        <v>672</v>
      </c>
      <c r="I125" s="24" t="s">
        <v>335</v>
      </c>
      <c r="J125" s="24" t="s">
        <v>70</v>
      </c>
      <c r="K125" s="24" t="s">
        <v>846</v>
      </c>
      <c r="L125" s="26" t="s">
        <v>725</v>
      </c>
      <c r="M125" s="26" t="s">
        <v>698</v>
      </c>
      <c r="N125" s="27" t="s">
        <v>710</v>
      </c>
      <c r="O125" s="25" t="s">
        <v>323</v>
      </c>
      <c r="P125" s="24" t="s">
        <v>6</v>
      </c>
      <c r="Q125" s="24"/>
      <c r="R125" s="24"/>
      <c r="S125" s="24">
        <v>171</v>
      </c>
      <c r="T125" s="24">
        <f>ROUND(IF(D125=Table!$C$3,V125*Table!$C$4/8,V125*Table!$D$4/8),3)</f>
        <v>315</v>
      </c>
      <c r="U125" s="24">
        <f t="shared" si="19"/>
        <v>315</v>
      </c>
      <c r="V125" s="24">
        <v>5.6</v>
      </c>
      <c r="W125" s="24">
        <v>8</v>
      </c>
      <c r="X125" s="24" t="s">
        <v>83</v>
      </c>
      <c r="Y125" s="28">
        <v>43920</v>
      </c>
      <c r="Z125" s="28">
        <v>43924</v>
      </c>
      <c r="AA125" s="28">
        <v>43922</v>
      </c>
      <c r="AB125" s="28">
        <v>43922</v>
      </c>
      <c r="AC125" s="28" t="s">
        <v>204</v>
      </c>
      <c r="AD125" s="121"/>
      <c r="AE125" s="121"/>
      <c r="AF125" s="55">
        <v>1</v>
      </c>
      <c r="AG125" s="55">
        <v>1</v>
      </c>
      <c r="AH125" s="55">
        <v>0.26</v>
      </c>
      <c r="AI125" s="24"/>
      <c r="AJ125" s="24"/>
      <c r="AK125" s="24" t="s">
        <v>694</v>
      </c>
    </row>
    <row r="126" spans="2:37" x14ac:dyDescent="0.25">
      <c r="B126" s="47">
        <v>152</v>
      </c>
      <c r="C126" s="85">
        <v>20200330</v>
      </c>
      <c r="D126" s="24" t="s">
        <v>3</v>
      </c>
      <c r="E126" s="24" t="s">
        <v>676</v>
      </c>
      <c r="F126" s="26" t="s">
        <v>70</v>
      </c>
      <c r="G126" s="24" t="s">
        <v>133</v>
      </c>
      <c r="H126" s="24" t="s">
        <v>673</v>
      </c>
      <c r="I126" s="24" t="s">
        <v>335</v>
      </c>
      <c r="J126" s="24" t="s">
        <v>70</v>
      </c>
      <c r="K126" s="24" t="s">
        <v>846</v>
      </c>
      <c r="L126" s="26" t="s">
        <v>726</v>
      </c>
      <c r="M126" s="26" t="s">
        <v>698</v>
      </c>
      <c r="N126" s="27" t="s">
        <v>711</v>
      </c>
      <c r="O126" s="25" t="s">
        <v>323</v>
      </c>
      <c r="P126" s="24" t="s">
        <v>6</v>
      </c>
      <c r="Q126" s="24"/>
      <c r="R126" s="24"/>
      <c r="S126" s="24">
        <v>90</v>
      </c>
      <c r="T126" s="24">
        <f>ROUND(IF(D126=Table!$C$3,V126*Table!$C$4/8,V126*Table!$D$4/8),3)</f>
        <v>90</v>
      </c>
      <c r="U126" s="24">
        <f t="shared" si="19"/>
        <v>90</v>
      </c>
      <c r="V126" s="24">
        <v>1.6</v>
      </c>
      <c r="W126" s="24">
        <v>2</v>
      </c>
      <c r="X126" s="24" t="s">
        <v>83</v>
      </c>
      <c r="Y126" s="28">
        <v>43920</v>
      </c>
      <c r="Z126" s="28">
        <v>43924</v>
      </c>
      <c r="AA126" s="28">
        <v>43924</v>
      </c>
      <c r="AB126" s="28">
        <v>43924</v>
      </c>
      <c r="AC126" s="28" t="s">
        <v>204</v>
      </c>
      <c r="AD126" s="121"/>
      <c r="AE126" s="121"/>
      <c r="AF126" s="55">
        <v>1</v>
      </c>
      <c r="AG126" s="55">
        <v>1</v>
      </c>
      <c r="AH126" s="55">
        <v>1</v>
      </c>
      <c r="AI126" s="24"/>
      <c r="AJ126" s="24"/>
      <c r="AK126" s="24" t="s">
        <v>695</v>
      </c>
    </row>
    <row r="127" spans="2:37" x14ac:dyDescent="0.25">
      <c r="B127" s="47">
        <v>153</v>
      </c>
      <c r="C127" s="85">
        <v>20200330</v>
      </c>
      <c r="D127" s="24" t="s">
        <v>3</v>
      </c>
      <c r="E127" s="24" t="s">
        <v>676</v>
      </c>
      <c r="F127" s="26" t="s">
        <v>70</v>
      </c>
      <c r="G127" s="24" t="s">
        <v>134</v>
      </c>
      <c r="H127" s="24" t="s">
        <v>674</v>
      </c>
      <c r="I127" s="24" t="s">
        <v>335</v>
      </c>
      <c r="J127" s="24" t="s">
        <v>70</v>
      </c>
      <c r="K127" s="24" t="s">
        <v>846</v>
      </c>
      <c r="L127" s="26" t="s">
        <v>727</v>
      </c>
      <c r="M127" s="26" t="s">
        <v>698</v>
      </c>
      <c r="N127" s="27" t="s">
        <v>712</v>
      </c>
      <c r="O127" s="25" t="s">
        <v>323</v>
      </c>
      <c r="P127" s="24" t="s">
        <v>6</v>
      </c>
      <c r="Q127" s="24"/>
      <c r="R127" s="24"/>
      <c r="S127" s="24">
        <v>234</v>
      </c>
      <c r="T127" s="24">
        <f>ROUND(IF(D127=Table!$C$3,V127*Table!$C$4/8,V127*Table!$D$4/8),3)</f>
        <v>450</v>
      </c>
      <c r="U127" s="24">
        <f t="shared" si="19"/>
        <v>450</v>
      </c>
      <c r="V127" s="24">
        <v>8</v>
      </c>
      <c r="W127" s="24">
        <v>4</v>
      </c>
      <c r="X127" s="24" t="s">
        <v>83</v>
      </c>
      <c r="Y127" s="28">
        <v>43920</v>
      </c>
      <c r="Z127" s="28">
        <v>43924</v>
      </c>
      <c r="AA127" s="28">
        <v>43924</v>
      </c>
      <c r="AB127" s="28">
        <v>43924</v>
      </c>
      <c r="AC127" s="28" t="s">
        <v>204</v>
      </c>
      <c r="AD127" s="121"/>
      <c r="AE127" s="121"/>
      <c r="AF127" s="55">
        <v>1</v>
      </c>
      <c r="AG127" s="55">
        <v>1</v>
      </c>
      <c r="AH127" s="55">
        <v>0.22</v>
      </c>
      <c r="AI127" s="24"/>
      <c r="AJ127" s="24"/>
      <c r="AK127" s="24" t="s">
        <v>696</v>
      </c>
    </row>
    <row r="128" spans="2:37" x14ac:dyDescent="0.25">
      <c r="B128" s="47">
        <v>154</v>
      </c>
      <c r="C128" s="85">
        <v>20200330</v>
      </c>
      <c r="D128" s="24" t="s">
        <v>3</v>
      </c>
      <c r="E128" s="24" t="s">
        <v>676</v>
      </c>
      <c r="F128" s="26" t="s">
        <v>70</v>
      </c>
      <c r="G128" s="24" t="s">
        <v>135</v>
      </c>
      <c r="H128" s="24" t="s">
        <v>675</v>
      </c>
      <c r="I128" s="24" t="s">
        <v>334</v>
      </c>
      <c r="J128" s="24" t="s">
        <v>70</v>
      </c>
      <c r="K128" s="24" t="s">
        <v>846</v>
      </c>
      <c r="L128" s="26" t="s">
        <v>728</v>
      </c>
      <c r="M128" s="26" t="s">
        <v>698</v>
      </c>
      <c r="N128" s="27" t="s">
        <v>713</v>
      </c>
      <c r="O128" s="25" t="s">
        <v>323</v>
      </c>
      <c r="P128" s="24" t="s">
        <v>6</v>
      </c>
      <c r="Q128" s="24"/>
      <c r="R128" s="24"/>
      <c r="S128" s="24">
        <v>159</v>
      </c>
      <c r="T128" s="24">
        <f>ROUND(IF(D128=Table!$C$3,V128*Table!$C$4/8,V128*Table!$D$4/8),3)</f>
        <v>135</v>
      </c>
      <c r="U128" s="24">
        <f t="shared" si="19"/>
        <v>135</v>
      </c>
      <c r="V128" s="24">
        <v>2.4</v>
      </c>
      <c r="W128" s="24">
        <v>2</v>
      </c>
      <c r="X128" s="24" t="s">
        <v>83</v>
      </c>
      <c r="Y128" s="28">
        <v>43920</v>
      </c>
      <c r="Z128" s="28">
        <v>43924</v>
      </c>
      <c r="AA128" s="28">
        <v>43924</v>
      </c>
      <c r="AB128" s="28">
        <v>43924</v>
      </c>
      <c r="AC128" s="28" t="s">
        <v>204</v>
      </c>
      <c r="AD128" s="121"/>
      <c r="AE128" s="121"/>
      <c r="AF128" s="55">
        <v>1</v>
      </c>
      <c r="AG128" s="55">
        <v>0.97</v>
      </c>
      <c r="AH128" s="55">
        <v>0.75</v>
      </c>
      <c r="AI128" s="24" t="s">
        <v>755</v>
      </c>
      <c r="AJ128" s="24"/>
      <c r="AK128" s="24" t="s">
        <v>697</v>
      </c>
    </row>
    <row r="129" spans="2:37" x14ac:dyDescent="0.25">
      <c r="B129" s="48">
        <v>155</v>
      </c>
      <c r="C129" s="25">
        <v>20200401</v>
      </c>
      <c r="D129" s="24" t="s">
        <v>2</v>
      </c>
      <c r="E129" s="24" t="s">
        <v>743</v>
      </c>
      <c r="F129" s="26" t="s">
        <v>70</v>
      </c>
      <c r="G129" s="24" t="s">
        <v>677</v>
      </c>
      <c r="H129" s="24" t="s">
        <v>744</v>
      </c>
      <c r="I129" s="24" t="s">
        <v>334</v>
      </c>
      <c r="J129" s="24" t="s">
        <v>70</v>
      </c>
      <c r="K129" s="102" t="s">
        <v>163</v>
      </c>
      <c r="L129" s="26" t="s">
        <v>747</v>
      </c>
      <c r="M129" s="26" t="s">
        <v>753</v>
      </c>
      <c r="N129" s="27" t="s">
        <v>713</v>
      </c>
      <c r="O129" s="25" t="s">
        <v>202</v>
      </c>
      <c r="P129" s="24" t="s">
        <v>73</v>
      </c>
      <c r="Q129" s="24"/>
      <c r="R129" s="24"/>
      <c r="S129" s="24"/>
      <c r="T129" s="24">
        <f>ROUND(IF(D129=Table!$C$3,V129*Table!$C$4/8,V129*Table!$D$4/8),3)</f>
        <v>39</v>
      </c>
      <c r="U129" s="24">
        <f t="shared" si="19"/>
        <v>39</v>
      </c>
      <c r="V129" s="24">
        <v>2.4</v>
      </c>
      <c r="W129" s="24">
        <f>V129</f>
        <v>2.4</v>
      </c>
      <c r="X129" s="24" t="s">
        <v>83</v>
      </c>
      <c r="Y129" s="28">
        <v>43920</v>
      </c>
      <c r="Z129" s="28">
        <v>43924</v>
      </c>
      <c r="AA129" s="28">
        <v>43924</v>
      </c>
      <c r="AB129" s="28">
        <v>43924</v>
      </c>
      <c r="AC129" s="28" t="s">
        <v>204</v>
      </c>
      <c r="AD129" s="121"/>
      <c r="AE129" s="121"/>
      <c r="AF129" s="55">
        <v>1</v>
      </c>
      <c r="AG129" s="55">
        <v>1</v>
      </c>
      <c r="AH129" s="55" t="s">
        <v>219</v>
      </c>
      <c r="AI129" s="24"/>
      <c r="AJ129" s="24"/>
      <c r="AK129" s="24"/>
    </row>
    <row r="130" spans="2:37" x14ac:dyDescent="0.25">
      <c r="B130" s="48">
        <v>156</v>
      </c>
      <c r="C130" s="25">
        <v>20200401</v>
      </c>
      <c r="D130" s="24" t="s">
        <v>2</v>
      </c>
      <c r="E130" s="24" t="s">
        <v>743</v>
      </c>
      <c r="F130" s="26" t="s">
        <v>70</v>
      </c>
      <c r="G130" s="24" t="s">
        <v>749</v>
      </c>
      <c r="H130" s="24" t="s">
        <v>187</v>
      </c>
      <c r="I130" s="24" t="s">
        <v>334</v>
      </c>
      <c r="J130" s="24" t="s">
        <v>70</v>
      </c>
      <c r="K130" s="24" t="s">
        <v>163</v>
      </c>
      <c r="L130" s="26" t="s">
        <v>278</v>
      </c>
      <c r="M130" s="26" t="s">
        <v>753</v>
      </c>
      <c r="N130" s="27" t="s">
        <v>713</v>
      </c>
      <c r="O130" s="25" t="s">
        <v>202</v>
      </c>
      <c r="P130" s="24" t="s">
        <v>75</v>
      </c>
      <c r="Q130" s="24"/>
      <c r="R130" s="24"/>
      <c r="S130" s="24"/>
      <c r="T130" s="24">
        <f>ROUND(IF(D130=Table!$C$3,V130*Table!$C$4/8,V130*Table!$D$4/8),3)</f>
        <v>39</v>
      </c>
      <c r="U130" s="24">
        <f t="shared" si="19"/>
        <v>39</v>
      </c>
      <c r="V130" s="24">
        <v>2.4</v>
      </c>
      <c r="W130" s="24">
        <v>1</v>
      </c>
      <c r="X130" s="24" t="s">
        <v>83</v>
      </c>
      <c r="Y130" s="28">
        <v>43920</v>
      </c>
      <c r="Z130" s="28">
        <v>43924</v>
      </c>
      <c r="AA130" s="28">
        <v>43924</v>
      </c>
      <c r="AB130" s="28">
        <v>43924</v>
      </c>
      <c r="AC130" s="28" t="s">
        <v>204</v>
      </c>
      <c r="AD130" s="121"/>
      <c r="AE130" s="121"/>
      <c r="AF130" s="55">
        <v>1</v>
      </c>
      <c r="AG130" s="55">
        <v>1</v>
      </c>
      <c r="AH130" s="55">
        <v>1</v>
      </c>
      <c r="AI130" s="24"/>
      <c r="AJ130" s="24"/>
      <c r="AK130" s="24"/>
    </row>
    <row r="131" spans="2:37" x14ac:dyDescent="0.25">
      <c r="B131" s="48">
        <v>157</v>
      </c>
      <c r="C131" s="25">
        <v>20200401</v>
      </c>
      <c r="D131" s="24" t="s">
        <v>2</v>
      </c>
      <c r="E131" s="24" t="s">
        <v>743</v>
      </c>
      <c r="F131" s="26" t="s">
        <v>70</v>
      </c>
      <c r="G131" s="24" t="s">
        <v>750</v>
      </c>
      <c r="H131" s="24" t="s">
        <v>188</v>
      </c>
      <c r="I131" s="24" t="s">
        <v>334</v>
      </c>
      <c r="J131" s="24" t="s">
        <v>70</v>
      </c>
      <c r="K131" s="24" t="s">
        <v>163</v>
      </c>
      <c r="L131" s="26" t="s">
        <v>278</v>
      </c>
      <c r="M131" s="26" t="s">
        <v>753</v>
      </c>
      <c r="N131" s="27" t="s">
        <v>713</v>
      </c>
      <c r="O131" s="25" t="s">
        <v>202</v>
      </c>
      <c r="P131" s="24" t="s">
        <v>75</v>
      </c>
      <c r="Q131" s="24"/>
      <c r="R131" s="24"/>
      <c r="S131" s="24"/>
      <c r="T131" s="24">
        <f>ROUND(IF(D131=Table!$C$3,V131*Table!$C$4/8,V131*Table!$D$4/8),3)</f>
        <v>39</v>
      </c>
      <c r="U131" s="24">
        <f t="shared" si="19"/>
        <v>39</v>
      </c>
      <c r="V131" s="24">
        <v>2.4</v>
      </c>
      <c r="W131" s="24">
        <v>1</v>
      </c>
      <c r="X131" s="24" t="s">
        <v>83</v>
      </c>
      <c r="Y131" s="28">
        <v>43920</v>
      </c>
      <c r="Z131" s="28">
        <v>43924</v>
      </c>
      <c r="AA131" s="28">
        <v>43924</v>
      </c>
      <c r="AB131" s="28">
        <v>43924</v>
      </c>
      <c r="AC131" s="28" t="s">
        <v>204</v>
      </c>
      <c r="AD131" s="121"/>
      <c r="AE131" s="121"/>
      <c r="AF131" s="55">
        <v>1</v>
      </c>
      <c r="AG131" s="55">
        <v>1</v>
      </c>
      <c r="AH131" s="55">
        <v>1</v>
      </c>
      <c r="AI131" s="24"/>
      <c r="AJ131" s="24"/>
      <c r="AK131" s="24"/>
    </row>
    <row r="132" spans="2:37" x14ac:dyDescent="0.25">
      <c r="B132" s="48">
        <v>158</v>
      </c>
      <c r="C132" s="25">
        <v>20200401</v>
      </c>
      <c r="D132" s="24" t="s">
        <v>3</v>
      </c>
      <c r="E132" s="24" t="s">
        <v>743</v>
      </c>
      <c r="F132" s="26" t="s">
        <v>70</v>
      </c>
      <c r="G132" s="24" t="s">
        <v>751</v>
      </c>
      <c r="H132" s="24" t="s">
        <v>745</v>
      </c>
      <c r="I132" s="24" t="s">
        <v>334</v>
      </c>
      <c r="J132" s="24" t="s">
        <v>70</v>
      </c>
      <c r="K132" s="102" t="s">
        <v>849</v>
      </c>
      <c r="L132" s="26" t="s">
        <v>748</v>
      </c>
      <c r="M132" s="26" t="s">
        <v>753</v>
      </c>
      <c r="N132" s="27" t="s">
        <v>713</v>
      </c>
      <c r="O132" s="25" t="s">
        <v>202</v>
      </c>
      <c r="P132" s="24" t="s">
        <v>74</v>
      </c>
      <c r="Q132" s="24"/>
      <c r="R132" s="24"/>
      <c r="S132" s="24"/>
      <c r="T132" s="24">
        <f>ROUND(IF(D132=Table!$C$3,V132*Table!$C$4/8,V132*Table!$D$4/8),3)</f>
        <v>67.5</v>
      </c>
      <c r="U132" s="24">
        <f t="shared" si="19"/>
        <v>67.5</v>
      </c>
      <c r="V132" s="24">
        <v>1.2</v>
      </c>
      <c r="W132" s="24">
        <v>4</v>
      </c>
      <c r="X132" s="24" t="s">
        <v>83</v>
      </c>
      <c r="Y132" s="28">
        <v>43920</v>
      </c>
      <c r="Z132" s="28">
        <v>43924</v>
      </c>
      <c r="AA132" s="28">
        <v>43924</v>
      </c>
      <c r="AB132" s="28">
        <v>43924</v>
      </c>
      <c r="AC132" s="28" t="s">
        <v>204</v>
      </c>
      <c r="AD132" s="121"/>
      <c r="AE132" s="121"/>
      <c r="AF132" s="55">
        <v>1</v>
      </c>
      <c r="AG132" s="55">
        <v>1</v>
      </c>
      <c r="AH132" s="55">
        <v>1</v>
      </c>
      <c r="AI132" s="24"/>
      <c r="AJ132" s="24"/>
      <c r="AK132" s="24"/>
    </row>
    <row r="133" spans="2:37" x14ac:dyDescent="0.25">
      <c r="B133" s="48">
        <v>159</v>
      </c>
      <c r="C133" s="25">
        <v>20200401</v>
      </c>
      <c r="D133" s="24" t="s">
        <v>3</v>
      </c>
      <c r="E133" s="24" t="s">
        <v>743</v>
      </c>
      <c r="F133" s="26" t="s">
        <v>70</v>
      </c>
      <c r="G133" s="24" t="s">
        <v>752</v>
      </c>
      <c r="H133" s="24" t="s">
        <v>746</v>
      </c>
      <c r="I133" s="24" t="s">
        <v>334</v>
      </c>
      <c r="J133" s="24" t="s">
        <v>70</v>
      </c>
      <c r="K133" s="102" t="s">
        <v>849</v>
      </c>
      <c r="L133" s="26" t="s">
        <v>278</v>
      </c>
      <c r="M133" s="26" t="s">
        <v>753</v>
      </c>
      <c r="N133" s="27" t="s">
        <v>713</v>
      </c>
      <c r="O133" s="25" t="s">
        <v>202</v>
      </c>
      <c r="P133" s="24" t="s">
        <v>74</v>
      </c>
      <c r="Q133" s="24"/>
      <c r="R133" s="24"/>
      <c r="S133" s="24"/>
      <c r="T133" s="24">
        <f>ROUND(IF(D133=Table!$C$3,V133*Table!$C$4/8,V133*Table!$D$4/8),3)</f>
        <v>67.5</v>
      </c>
      <c r="U133" s="24">
        <f t="shared" si="19"/>
        <v>67.5</v>
      </c>
      <c r="V133" s="24">
        <v>1.2</v>
      </c>
      <c r="W133" s="24">
        <v>4</v>
      </c>
      <c r="X133" s="24" t="s">
        <v>83</v>
      </c>
      <c r="Y133" s="28">
        <v>43920</v>
      </c>
      <c r="Z133" s="28">
        <v>43924</v>
      </c>
      <c r="AA133" s="28">
        <v>43924</v>
      </c>
      <c r="AB133" s="28">
        <v>43924</v>
      </c>
      <c r="AC133" s="28" t="s">
        <v>204</v>
      </c>
      <c r="AD133" s="121"/>
      <c r="AE133" s="121"/>
      <c r="AF133" s="55">
        <v>1</v>
      </c>
      <c r="AG133" s="55">
        <v>1</v>
      </c>
      <c r="AH133" s="55">
        <v>1</v>
      </c>
      <c r="AI133" s="24"/>
      <c r="AJ133" s="24"/>
      <c r="AK133" s="24"/>
    </row>
    <row r="134" spans="2:37" x14ac:dyDescent="0.25">
      <c r="B134" s="96">
        <v>160</v>
      </c>
      <c r="C134" s="25">
        <v>20200403</v>
      </c>
      <c r="D134" s="24" t="s">
        <v>2</v>
      </c>
      <c r="E134" s="24" t="s">
        <v>769</v>
      </c>
      <c r="F134" s="26" t="s">
        <v>70</v>
      </c>
      <c r="G134" s="26" t="s">
        <v>70</v>
      </c>
      <c r="H134" s="24" t="s">
        <v>765</v>
      </c>
      <c r="I134" s="24" t="s">
        <v>335</v>
      </c>
      <c r="J134" s="24" t="s">
        <v>70</v>
      </c>
      <c r="K134" s="24" t="s">
        <v>847</v>
      </c>
      <c r="L134" s="26" t="s">
        <v>770</v>
      </c>
      <c r="M134" s="26" t="s">
        <v>771</v>
      </c>
      <c r="N134" s="27" t="s">
        <v>772</v>
      </c>
      <c r="O134" s="100" t="s">
        <v>70</v>
      </c>
      <c r="P134" s="24" t="s">
        <v>6</v>
      </c>
      <c r="Q134" s="24"/>
      <c r="R134" s="24"/>
      <c r="S134" s="24"/>
      <c r="T134" s="24">
        <f>ROUND(IF(D134=Table!$C$3,V134*Table!$C$4/8,V134*Table!$D$4/8),3)</f>
        <v>32.5</v>
      </c>
      <c r="U134" s="24">
        <f t="shared" si="19"/>
        <v>32.5</v>
      </c>
      <c r="V134" s="24">
        <v>2</v>
      </c>
      <c r="W134" s="24">
        <v>2</v>
      </c>
      <c r="X134" s="24" t="s">
        <v>83</v>
      </c>
      <c r="Y134" s="28">
        <v>43927</v>
      </c>
      <c r="Z134" s="28">
        <v>43927</v>
      </c>
      <c r="AA134" s="28">
        <v>43927</v>
      </c>
      <c r="AB134" s="28">
        <v>43927</v>
      </c>
      <c r="AC134" s="28" t="s">
        <v>204</v>
      </c>
      <c r="AD134" s="121"/>
      <c r="AE134" s="121"/>
      <c r="AF134" s="55">
        <v>0.95599999999999996</v>
      </c>
      <c r="AG134" s="55">
        <v>0.95599999999999996</v>
      </c>
      <c r="AH134" s="55">
        <v>1</v>
      </c>
      <c r="AI134" s="24" t="s">
        <v>843</v>
      </c>
      <c r="AJ134" s="24"/>
      <c r="AK134" s="24"/>
    </row>
    <row r="135" spans="2:37" x14ac:dyDescent="0.25">
      <c r="B135" s="96">
        <v>161</v>
      </c>
      <c r="C135" s="25">
        <v>20200403</v>
      </c>
      <c r="D135" s="24" t="s">
        <v>2</v>
      </c>
      <c r="E135" s="24" t="s">
        <v>769</v>
      </c>
      <c r="F135" s="26" t="s">
        <v>70</v>
      </c>
      <c r="G135" s="26" t="s">
        <v>70</v>
      </c>
      <c r="H135" s="24" t="s">
        <v>766</v>
      </c>
      <c r="I135" s="24" t="s">
        <v>335</v>
      </c>
      <c r="J135" s="24" t="s">
        <v>70</v>
      </c>
      <c r="K135" s="24" t="s">
        <v>847</v>
      </c>
      <c r="L135" s="26">
        <v>2.9</v>
      </c>
      <c r="M135" s="26" t="s">
        <v>771</v>
      </c>
      <c r="N135" s="27" t="s">
        <v>773</v>
      </c>
      <c r="O135" s="100" t="s">
        <v>70</v>
      </c>
      <c r="P135" s="24" t="s">
        <v>73</v>
      </c>
      <c r="Q135" s="24"/>
      <c r="R135" s="24"/>
      <c r="S135" s="24"/>
      <c r="T135" s="24">
        <f>ROUND(IF(D135=Table!$C$3,V135*Table!$C$4/8,V135*Table!$D$4/8),3)</f>
        <v>32.5</v>
      </c>
      <c r="U135" s="24">
        <f t="shared" si="19"/>
        <v>32.5</v>
      </c>
      <c r="V135" s="24">
        <v>2</v>
      </c>
      <c r="W135" s="24">
        <v>2</v>
      </c>
      <c r="X135" s="24" t="s">
        <v>83</v>
      </c>
      <c r="Y135" s="28">
        <v>43927</v>
      </c>
      <c r="Z135" s="28">
        <v>43927</v>
      </c>
      <c r="AA135" s="28">
        <v>43927</v>
      </c>
      <c r="AB135" s="28">
        <v>43927</v>
      </c>
      <c r="AC135" s="28" t="s">
        <v>204</v>
      </c>
      <c r="AD135" s="121"/>
      <c r="AE135" s="121"/>
      <c r="AF135" s="55">
        <v>1</v>
      </c>
      <c r="AG135" s="55">
        <v>1</v>
      </c>
      <c r="AH135" s="55">
        <v>1</v>
      </c>
      <c r="AI135" s="24"/>
      <c r="AJ135" s="24"/>
      <c r="AK135" s="24"/>
    </row>
    <row r="136" spans="2:37" x14ac:dyDescent="0.25">
      <c r="B136" s="96">
        <v>162</v>
      </c>
      <c r="C136" s="25">
        <v>20200403</v>
      </c>
      <c r="D136" s="24" t="s">
        <v>2</v>
      </c>
      <c r="E136" s="24" t="s">
        <v>769</v>
      </c>
      <c r="F136" s="26" t="s">
        <v>70</v>
      </c>
      <c r="G136" s="26" t="s">
        <v>70</v>
      </c>
      <c r="H136" s="24" t="s">
        <v>767</v>
      </c>
      <c r="I136" s="24" t="s">
        <v>335</v>
      </c>
      <c r="J136" s="24" t="s">
        <v>70</v>
      </c>
      <c r="K136" s="24" t="s">
        <v>847</v>
      </c>
      <c r="L136" s="26">
        <v>1.9</v>
      </c>
      <c r="M136" s="26" t="s">
        <v>771</v>
      </c>
      <c r="N136" s="27" t="s">
        <v>774</v>
      </c>
      <c r="O136" s="100" t="s">
        <v>70</v>
      </c>
      <c r="P136" s="24" t="s">
        <v>75</v>
      </c>
      <c r="Q136" s="24"/>
      <c r="R136" s="24"/>
      <c r="S136" s="24"/>
      <c r="T136" s="24">
        <f>ROUND(IF(D136=Table!$C$3,V136*Table!$C$4/8,V136*Table!$D$4/8),3)</f>
        <v>48.75</v>
      </c>
      <c r="U136" s="24">
        <f t="shared" si="19"/>
        <v>48.75</v>
      </c>
      <c r="V136" s="24">
        <v>3</v>
      </c>
      <c r="W136" s="24">
        <v>3</v>
      </c>
      <c r="X136" s="24" t="s">
        <v>83</v>
      </c>
      <c r="Y136" s="28">
        <v>43927</v>
      </c>
      <c r="Z136" s="28">
        <v>43927</v>
      </c>
      <c r="AA136" s="28">
        <v>43927</v>
      </c>
      <c r="AB136" s="28">
        <v>43927</v>
      </c>
      <c r="AC136" s="28" t="s">
        <v>204</v>
      </c>
      <c r="AD136" s="121"/>
      <c r="AE136" s="121"/>
      <c r="AF136" s="55">
        <v>1</v>
      </c>
      <c r="AG136" s="55">
        <v>1</v>
      </c>
      <c r="AH136" s="55">
        <v>1</v>
      </c>
      <c r="AI136" s="24"/>
      <c r="AJ136" s="24"/>
      <c r="AK136" s="24"/>
    </row>
    <row r="137" spans="2:37" x14ac:dyDescent="0.25">
      <c r="B137" s="96">
        <v>163</v>
      </c>
      <c r="C137" s="25">
        <v>20200403</v>
      </c>
      <c r="D137" s="24" t="s">
        <v>2</v>
      </c>
      <c r="E137" s="24" t="s">
        <v>769</v>
      </c>
      <c r="F137" s="26" t="s">
        <v>70</v>
      </c>
      <c r="G137" s="26" t="s">
        <v>70</v>
      </c>
      <c r="H137" s="24" t="s">
        <v>768</v>
      </c>
      <c r="I137" s="24" t="s">
        <v>334</v>
      </c>
      <c r="J137" s="24" t="s">
        <v>70</v>
      </c>
      <c r="K137" s="24" t="s">
        <v>847</v>
      </c>
      <c r="L137" s="26">
        <v>1.3</v>
      </c>
      <c r="M137" s="26" t="s">
        <v>771</v>
      </c>
      <c r="N137" s="27" t="s">
        <v>775</v>
      </c>
      <c r="O137" s="100" t="s">
        <v>70</v>
      </c>
      <c r="P137" s="24" t="s">
        <v>74</v>
      </c>
      <c r="Q137" s="24"/>
      <c r="R137" s="24"/>
      <c r="S137" s="24"/>
      <c r="T137" s="24">
        <f>ROUND(IF(D137=Table!$C$3,V137*Table!$C$4/8,V137*Table!$D$4/8),3)</f>
        <v>32.5</v>
      </c>
      <c r="U137" s="24">
        <f t="shared" si="19"/>
        <v>32.5</v>
      </c>
      <c r="V137" s="24">
        <v>2</v>
      </c>
      <c r="W137" s="24">
        <v>2</v>
      </c>
      <c r="X137" s="24" t="s">
        <v>83</v>
      </c>
      <c r="Y137" s="28">
        <v>43927</v>
      </c>
      <c r="Z137" s="28">
        <v>43927</v>
      </c>
      <c r="AA137" s="28">
        <v>43927</v>
      </c>
      <c r="AB137" s="28">
        <v>43927</v>
      </c>
      <c r="AC137" s="28" t="s">
        <v>204</v>
      </c>
      <c r="AD137" s="121"/>
      <c r="AE137" s="121"/>
      <c r="AF137" s="55"/>
      <c r="AG137" s="55"/>
      <c r="AH137" s="55"/>
      <c r="AI137" s="24"/>
      <c r="AJ137" s="24"/>
      <c r="AK137" s="24"/>
    </row>
    <row r="138" spans="2:37" x14ac:dyDescent="0.25">
      <c r="B138" s="97">
        <v>164</v>
      </c>
      <c r="C138" s="25">
        <v>20200407</v>
      </c>
      <c r="D138" s="24" t="s">
        <v>2</v>
      </c>
      <c r="E138" s="24" t="s">
        <v>784</v>
      </c>
      <c r="F138" s="26" t="s">
        <v>70</v>
      </c>
      <c r="G138" s="26" t="s">
        <v>70</v>
      </c>
      <c r="H138" s="24" t="s">
        <v>776</v>
      </c>
      <c r="I138" s="24" t="s">
        <v>334</v>
      </c>
      <c r="J138" s="24" t="s">
        <v>70</v>
      </c>
      <c r="K138" s="24" t="s">
        <v>848</v>
      </c>
      <c r="L138" s="26">
        <v>1.5</v>
      </c>
      <c r="M138" s="26" t="s">
        <v>785</v>
      </c>
      <c r="N138" s="27" t="s">
        <v>786</v>
      </c>
      <c r="O138" s="100" t="s">
        <v>70</v>
      </c>
      <c r="P138" s="24" t="s">
        <v>6</v>
      </c>
      <c r="Q138" s="24"/>
      <c r="R138" s="24"/>
      <c r="S138" s="24"/>
      <c r="T138" s="24">
        <f>ROUND(IF(D138=Table!$C$3,V138*Table!$C$4/8,V138*Table!$D$4/8),3)</f>
        <v>24.375</v>
      </c>
      <c r="U138" s="24">
        <f t="shared" si="19"/>
        <v>24.375</v>
      </c>
      <c r="V138" s="24">
        <v>1.5</v>
      </c>
      <c r="W138" s="24">
        <v>1.5</v>
      </c>
      <c r="X138" s="24" t="s">
        <v>83</v>
      </c>
      <c r="Y138" s="28">
        <v>43928</v>
      </c>
      <c r="Z138" s="28">
        <v>43928</v>
      </c>
      <c r="AA138" s="28">
        <v>43928</v>
      </c>
      <c r="AB138" s="28">
        <v>43928</v>
      </c>
      <c r="AC138" s="28" t="s">
        <v>204</v>
      </c>
      <c r="AD138" s="121"/>
      <c r="AE138" s="121"/>
      <c r="AF138" s="55">
        <v>0.86699999999999999</v>
      </c>
      <c r="AG138" s="55">
        <v>0.86699999999999999</v>
      </c>
      <c r="AH138" s="55" t="s">
        <v>219</v>
      </c>
      <c r="AI138" s="24" t="s">
        <v>844</v>
      </c>
      <c r="AJ138" s="24"/>
      <c r="AK138" s="24"/>
    </row>
    <row r="139" spans="2:37" x14ac:dyDescent="0.25">
      <c r="B139" s="97">
        <v>165</v>
      </c>
      <c r="C139" s="25">
        <v>20200407</v>
      </c>
      <c r="D139" s="24" t="s">
        <v>2</v>
      </c>
      <c r="E139" s="24" t="s">
        <v>784</v>
      </c>
      <c r="F139" s="26" t="s">
        <v>70</v>
      </c>
      <c r="G139" s="26" t="s">
        <v>70</v>
      </c>
      <c r="H139" s="24" t="s">
        <v>777</v>
      </c>
      <c r="I139" s="24" t="s">
        <v>334</v>
      </c>
      <c r="J139" s="24" t="s">
        <v>70</v>
      </c>
      <c r="K139" s="24" t="s">
        <v>848</v>
      </c>
      <c r="L139" s="26">
        <v>1.8</v>
      </c>
      <c r="M139" s="26" t="s">
        <v>785</v>
      </c>
      <c r="N139" s="27" t="s">
        <v>787</v>
      </c>
      <c r="O139" s="100" t="s">
        <v>70</v>
      </c>
      <c r="P139" s="24" t="s">
        <v>6</v>
      </c>
      <c r="Q139" s="24"/>
      <c r="R139" s="24"/>
      <c r="S139" s="24"/>
      <c r="T139" s="24">
        <f>ROUND(IF(D139=Table!$C$3,V139*Table!$C$4/8,V139*Table!$D$4/8),3)</f>
        <v>24.375</v>
      </c>
      <c r="U139" s="24">
        <f t="shared" si="19"/>
        <v>24.375</v>
      </c>
      <c r="V139" s="24">
        <v>1.5</v>
      </c>
      <c r="W139" s="24">
        <v>1.5</v>
      </c>
      <c r="X139" s="24" t="s">
        <v>83</v>
      </c>
      <c r="Y139" s="28">
        <v>43928</v>
      </c>
      <c r="Z139" s="28">
        <v>43928</v>
      </c>
      <c r="AA139" s="28">
        <v>43928</v>
      </c>
      <c r="AB139" s="28">
        <v>43928</v>
      </c>
      <c r="AC139" s="28" t="s">
        <v>204</v>
      </c>
      <c r="AD139" s="121"/>
      <c r="AE139" s="121"/>
      <c r="AF139" s="55">
        <v>0.89500000000000002</v>
      </c>
      <c r="AG139" s="55">
        <v>0.89500000000000002</v>
      </c>
      <c r="AH139" s="55" t="s">
        <v>219</v>
      </c>
      <c r="AI139" s="24" t="s">
        <v>844</v>
      </c>
      <c r="AJ139" s="24"/>
      <c r="AK139" s="24"/>
    </row>
    <row r="140" spans="2:37" x14ac:dyDescent="0.25">
      <c r="B140" s="97">
        <v>166</v>
      </c>
      <c r="C140" s="25">
        <v>20200407</v>
      </c>
      <c r="D140" s="24" t="s">
        <v>2</v>
      </c>
      <c r="E140" s="24" t="s">
        <v>784</v>
      </c>
      <c r="F140" s="26" t="s">
        <v>70</v>
      </c>
      <c r="G140" s="26" t="s">
        <v>70</v>
      </c>
      <c r="H140" s="24" t="s">
        <v>778</v>
      </c>
      <c r="I140" s="24" t="s">
        <v>334</v>
      </c>
      <c r="J140" s="24" t="s">
        <v>70</v>
      </c>
      <c r="K140" s="24" t="s">
        <v>848</v>
      </c>
      <c r="L140" s="26">
        <v>1.8</v>
      </c>
      <c r="M140" s="26" t="s">
        <v>785</v>
      </c>
      <c r="N140" s="27" t="s">
        <v>788</v>
      </c>
      <c r="O140" s="100" t="s">
        <v>70</v>
      </c>
      <c r="P140" s="24" t="s">
        <v>73</v>
      </c>
      <c r="Q140" s="24"/>
      <c r="R140" s="24"/>
      <c r="S140" s="24"/>
      <c r="T140" s="24">
        <f>ROUND(IF(D140=Table!$C$3,V140*Table!$C$4/8,V140*Table!$D$4/8),3)</f>
        <v>24.375</v>
      </c>
      <c r="U140" s="24">
        <f>T140</f>
        <v>24.375</v>
      </c>
      <c r="V140" s="24">
        <v>1.5</v>
      </c>
      <c r="W140" s="24">
        <f>V140</f>
        <v>1.5</v>
      </c>
      <c r="X140" s="24" t="s">
        <v>83</v>
      </c>
      <c r="Y140" s="28">
        <v>43928</v>
      </c>
      <c r="Z140" s="28">
        <v>43928</v>
      </c>
      <c r="AA140" s="28">
        <v>43928</v>
      </c>
      <c r="AB140" s="28">
        <v>43928</v>
      </c>
      <c r="AC140" s="28" t="s">
        <v>204</v>
      </c>
      <c r="AD140" s="121"/>
      <c r="AE140" s="121"/>
      <c r="AF140" s="55">
        <v>1</v>
      </c>
      <c r="AG140" s="55">
        <v>1</v>
      </c>
      <c r="AH140" s="55" t="s">
        <v>219</v>
      </c>
      <c r="AI140" s="24"/>
      <c r="AJ140" s="24"/>
      <c r="AK140" s="24"/>
    </row>
    <row r="141" spans="2:37" x14ac:dyDescent="0.25">
      <c r="B141" s="97">
        <v>167</v>
      </c>
      <c r="C141" s="25">
        <v>20200407</v>
      </c>
      <c r="D141" s="24" t="s">
        <v>2</v>
      </c>
      <c r="E141" s="24" t="s">
        <v>784</v>
      </c>
      <c r="F141" s="26" t="s">
        <v>70</v>
      </c>
      <c r="G141" s="26" t="s">
        <v>70</v>
      </c>
      <c r="H141" s="24" t="s">
        <v>779</v>
      </c>
      <c r="I141" s="24" t="s">
        <v>334</v>
      </c>
      <c r="J141" s="24" t="s">
        <v>70</v>
      </c>
      <c r="K141" s="24" t="s">
        <v>848</v>
      </c>
      <c r="L141" s="26">
        <v>1.8</v>
      </c>
      <c r="M141" s="26" t="s">
        <v>785</v>
      </c>
      <c r="N141" s="27" t="s">
        <v>789</v>
      </c>
      <c r="O141" s="100" t="s">
        <v>70</v>
      </c>
      <c r="P141" s="24" t="s">
        <v>73</v>
      </c>
      <c r="Q141" s="24"/>
      <c r="R141" s="24"/>
      <c r="S141" s="24"/>
      <c r="T141" s="24">
        <f>ROUND(IF(D141=Table!$C$3,V141*Table!$C$4/8,V141*Table!$D$4/8),3)</f>
        <v>24.375</v>
      </c>
      <c r="U141" s="24">
        <f>T141</f>
        <v>24.375</v>
      </c>
      <c r="V141" s="24">
        <v>1.5</v>
      </c>
      <c r="W141" s="24">
        <f>V141</f>
        <v>1.5</v>
      </c>
      <c r="X141" s="24" t="s">
        <v>83</v>
      </c>
      <c r="Y141" s="28">
        <v>43928</v>
      </c>
      <c r="Z141" s="28">
        <v>43928</v>
      </c>
      <c r="AA141" s="28">
        <v>43928</v>
      </c>
      <c r="AB141" s="28">
        <v>43928</v>
      </c>
      <c r="AC141" s="28" t="s">
        <v>204</v>
      </c>
      <c r="AD141" s="121"/>
      <c r="AE141" s="121"/>
      <c r="AF141" s="55">
        <v>1</v>
      </c>
      <c r="AG141" s="55">
        <v>1</v>
      </c>
      <c r="AH141" s="55" t="s">
        <v>219</v>
      </c>
      <c r="AI141" s="24"/>
      <c r="AJ141" s="24"/>
      <c r="AK141" s="24"/>
    </row>
    <row r="142" spans="2:37" x14ac:dyDescent="0.25">
      <c r="B142" s="97">
        <v>168</v>
      </c>
      <c r="C142" s="25">
        <v>20200407</v>
      </c>
      <c r="D142" s="24" t="s">
        <v>2</v>
      </c>
      <c r="E142" s="24" t="s">
        <v>784</v>
      </c>
      <c r="F142" s="26" t="s">
        <v>70</v>
      </c>
      <c r="G142" s="26" t="s">
        <v>70</v>
      </c>
      <c r="H142" s="24" t="s">
        <v>780</v>
      </c>
      <c r="I142" s="24" t="s">
        <v>334</v>
      </c>
      <c r="J142" s="24" t="s">
        <v>70</v>
      </c>
      <c r="K142" s="24" t="s">
        <v>848</v>
      </c>
      <c r="L142" s="26">
        <v>1.1299999999999999</v>
      </c>
      <c r="M142" s="26" t="s">
        <v>785</v>
      </c>
      <c r="N142" s="27" t="s">
        <v>790</v>
      </c>
      <c r="O142" s="100" t="s">
        <v>70</v>
      </c>
      <c r="P142" s="24" t="s">
        <v>74</v>
      </c>
      <c r="Q142" s="24"/>
      <c r="R142" s="24"/>
      <c r="S142" s="24"/>
      <c r="T142" s="24">
        <f>ROUND(IF(D142=Table!$C$3,V142*Table!$C$4/8,V142*Table!$D$4/8),3)</f>
        <v>24.375</v>
      </c>
      <c r="U142" s="24">
        <f>T142</f>
        <v>24.375</v>
      </c>
      <c r="V142" s="24">
        <v>1.5</v>
      </c>
      <c r="W142" s="24">
        <v>3</v>
      </c>
      <c r="X142" s="24" t="s">
        <v>83</v>
      </c>
      <c r="Y142" s="28">
        <v>43928</v>
      </c>
      <c r="Z142" s="28">
        <v>43928</v>
      </c>
      <c r="AA142" s="28">
        <v>43928</v>
      </c>
      <c r="AB142" s="28">
        <v>43928</v>
      </c>
      <c r="AC142" s="28" t="s">
        <v>204</v>
      </c>
      <c r="AD142" s="121"/>
      <c r="AE142" s="121"/>
      <c r="AF142" s="55"/>
      <c r="AG142" s="55"/>
      <c r="AH142" s="55"/>
      <c r="AI142" s="24"/>
      <c r="AJ142" s="24"/>
      <c r="AK142" s="24"/>
    </row>
    <row r="143" spans="2:37" x14ac:dyDescent="0.25">
      <c r="B143" s="97">
        <v>169</v>
      </c>
      <c r="C143" s="25">
        <v>20200407</v>
      </c>
      <c r="D143" s="24" t="s">
        <v>2</v>
      </c>
      <c r="E143" s="24" t="s">
        <v>784</v>
      </c>
      <c r="F143" s="26" t="s">
        <v>70</v>
      </c>
      <c r="G143" s="26" t="s">
        <v>70</v>
      </c>
      <c r="H143" s="24" t="s">
        <v>781</v>
      </c>
      <c r="I143" s="24" t="s">
        <v>334</v>
      </c>
      <c r="J143" s="24" t="s">
        <v>70</v>
      </c>
      <c r="K143" s="24" t="s">
        <v>848</v>
      </c>
      <c r="L143" s="26">
        <v>1.17</v>
      </c>
      <c r="M143" s="26" t="s">
        <v>785</v>
      </c>
      <c r="N143" s="27" t="s">
        <v>791</v>
      </c>
      <c r="O143" s="100" t="s">
        <v>70</v>
      </c>
      <c r="P143" s="24" t="s">
        <v>74</v>
      </c>
      <c r="Q143" s="24"/>
      <c r="R143" s="24"/>
      <c r="S143" s="24"/>
      <c r="T143" s="24">
        <f>ROUND(IF(D143=Table!$C$3,V143*Table!$C$4/8,V143*Table!$D$4/8),3)</f>
        <v>24.375</v>
      </c>
      <c r="U143" s="24">
        <f>T143</f>
        <v>24.375</v>
      </c>
      <c r="V143" s="24">
        <v>1.5</v>
      </c>
      <c r="W143" s="24">
        <v>3</v>
      </c>
      <c r="X143" s="24" t="s">
        <v>83</v>
      </c>
      <c r="Y143" s="28">
        <v>43928</v>
      </c>
      <c r="Z143" s="28">
        <v>43928</v>
      </c>
      <c r="AA143" s="28">
        <v>43928</v>
      </c>
      <c r="AB143" s="28">
        <v>43928</v>
      </c>
      <c r="AC143" s="28" t="s">
        <v>204</v>
      </c>
      <c r="AD143" s="121"/>
      <c r="AE143" s="121"/>
      <c r="AF143" s="55"/>
      <c r="AG143" s="55"/>
      <c r="AH143" s="55"/>
      <c r="AI143" s="24"/>
      <c r="AJ143" s="24"/>
      <c r="AK143" s="24"/>
    </row>
    <row r="144" spans="2:37" x14ac:dyDescent="0.25">
      <c r="B144" s="97">
        <v>170</v>
      </c>
      <c r="C144" s="25">
        <v>20200407</v>
      </c>
      <c r="D144" s="24" t="s">
        <v>2</v>
      </c>
      <c r="E144" s="24" t="s">
        <v>784</v>
      </c>
      <c r="F144" s="26" t="s">
        <v>70</v>
      </c>
      <c r="G144" s="26" t="s">
        <v>70</v>
      </c>
      <c r="H144" s="24" t="s">
        <v>782</v>
      </c>
      <c r="I144" s="24" t="s">
        <v>334</v>
      </c>
      <c r="J144" s="24" t="s">
        <v>70</v>
      </c>
      <c r="K144" s="24" t="s">
        <v>848</v>
      </c>
      <c r="L144" s="26">
        <v>1.8</v>
      </c>
      <c r="M144" s="26" t="s">
        <v>785</v>
      </c>
      <c r="N144" s="27" t="s">
        <v>792</v>
      </c>
      <c r="O144" s="100" t="s">
        <v>70</v>
      </c>
      <c r="P144" s="24" t="s">
        <v>75</v>
      </c>
      <c r="Q144" s="24"/>
      <c r="R144" s="24"/>
      <c r="S144" s="24"/>
      <c r="T144" s="24">
        <f>ROUND(IF(D144=Table!$C$3,V144*Table!$C$4/8,V144*Table!$D$4/8),3)</f>
        <v>24.375</v>
      </c>
      <c r="U144" s="24">
        <f>T144</f>
        <v>24.375</v>
      </c>
      <c r="V144" s="24">
        <v>1.5</v>
      </c>
      <c r="W144" s="24">
        <v>2</v>
      </c>
      <c r="X144" s="24" t="s">
        <v>83</v>
      </c>
      <c r="Y144" s="28">
        <v>43928</v>
      </c>
      <c r="Z144" s="28">
        <v>43928</v>
      </c>
      <c r="AA144" s="28">
        <v>43928</v>
      </c>
      <c r="AB144" s="28">
        <v>43931</v>
      </c>
      <c r="AC144" s="28" t="s">
        <v>204</v>
      </c>
      <c r="AD144" s="121"/>
      <c r="AE144" s="121"/>
      <c r="AF144" s="55">
        <v>1</v>
      </c>
      <c r="AG144" s="55">
        <v>1</v>
      </c>
      <c r="AH144" s="55">
        <v>1</v>
      </c>
      <c r="AI144" s="24"/>
      <c r="AJ144" s="24"/>
      <c r="AK144" s="24"/>
    </row>
    <row r="145" spans="2:37" x14ac:dyDescent="0.25">
      <c r="B145" s="97">
        <v>171</v>
      </c>
      <c r="C145" s="25">
        <v>20200407</v>
      </c>
      <c r="D145" s="24" t="s">
        <v>2</v>
      </c>
      <c r="E145" s="24" t="s">
        <v>784</v>
      </c>
      <c r="F145" s="26" t="s">
        <v>70</v>
      </c>
      <c r="G145" s="26" t="s">
        <v>70</v>
      </c>
      <c r="H145" s="24" t="s">
        <v>783</v>
      </c>
      <c r="I145" s="24" t="s">
        <v>334</v>
      </c>
      <c r="J145" s="24" t="s">
        <v>70</v>
      </c>
      <c r="K145" s="24" t="s">
        <v>848</v>
      </c>
      <c r="L145" s="26">
        <v>1.4</v>
      </c>
      <c r="M145" s="26" t="s">
        <v>785</v>
      </c>
      <c r="N145" s="27" t="s">
        <v>793</v>
      </c>
      <c r="O145" s="100" t="s">
        <v>70</v>
      </c>
      <c r="P145" s="24" t="s">
        <v>75</v>
      </c>
      <c r="Q145" s="24"/>
      <c r="R145" s="24"/>
      <c r="S145" s="24"/>
      <c r="T145" s="24">
        <f>ROUND(IF(D145=Table!$C$3,V145*Table!$C$4/8,V145*Table!$D$4/8),3)</f>
        <v>24.375</v>
      </c>
      <c r="U145" s="24">
        <f>T145</f>
        <v>24.375</v>
      </c>
      <c r="V145" s="24">
        <v>1.5</v>
      </c>
      <c r="W145" s="24">
        <v>2</v>
      </c>
      <c r="X145" s="24" t="s">
        <v>83</v>
      </c>
      <c r="Y145" s="28">
        <v>43928</v>
      </c>
      <c r="Z145" s="28">
        <v>43928</v>
      </c>
      <c r="AA145" s="28">
        <v>43928</v>
      </c>
      <c r="AB145" s="28">
        <v>43931</v>
      </c>
      <c r="AC145" s="28" t="s">
        <v>204</v>
      </c>
      <c r="AD145" s="121"/>
      <c r="AE145" s="121"/>
      <c r="AF145" s="55">
        <v>1</v>
      </c>
      <c r="AG145" s="55">
        <v>1</v>
      </c>
      <c r="AH145" s="55">
        <v>1</v>
      </c>
      <c r="AI145" s="24"/>
      <c r="AJ145" s="24"/>
      <c r="AK145" s="24"/>
    </row>
    <row r="146" spans="2:37" x14ac:dyDescent="0.25">
      <c r="B146" s="101">
        <v>172</v>
      </c>
      <c r="C146" s="25">
        <v>20200407</v>
      </c>
      <c r="D146" s="24" t="s">
        <v>2</v>
      </c>
      <c r="E146" s="24" t="s">
        <v>842</v>
      </c>
      <c r="F146" s="26" t="s">
        <v>70</v>
      </c>
      <c r="G146" s="24" t="s">
        <v>681</v>
      </c>
      <c r="H146" s="24" t="s">
        <v>794</v>
      </c>
      <c r="I146" s="24" t="s">
        <v>334</v>
      </c>
      <c r="J146" s="24" t="s">
        <v>70</v>
      </c>
      <c r="K146" s="102" t="s">
        <v>851</v>
      </c>
      <c r="L146" s="26" t="s">
        <v>809</v>
      </c>
      <c r="M146" s="26" t="s">
        <v>826</v>
      </c>
      <c r="N146" s="27" t="s">
        <v>827</v>
      </c>
      <c r="O146" s="25" t="s">
        <v>202</v>
      </c>
      <c r="P146" s="24" t="s">
        <v>6</v>
      </c>
      <c r="Q146" s="24"/>
      <c r="R146" s="24"/>
      <c r="S146" s="24">
        <v>162</v>
      </c>
      <c r="T146" s="24">
        <f>ROUND(IF(D146=Table!$C$3,V146*Table!$C$4/8,V146*Table!$D$4/8),3)</f>
        <v>111.8</v>
      </c>
      <c r="U146" s="24">
        <f>T146</f>
        <v>111.8</v>
      </c>
      <c r="V146" s="24">
        <v>6.88</v>
      </c>
      <c r="W146" s="24">
        <v>6</v>
      </c>
      <c r="X146" s="24" t="s">
        <v>83</v>
      </c>
      <c r="Y146" s="28">
        <v>43929</v>
      </c>
      <c r="Z146" s="28">
        <v>43930</v>
      </c>
      <c r="AA146" s="28">
        <v>43929</v>
      </c>
      <c r="AB146" s="28">
        <v>43929</v>
      </c>
      <c r="AC146" s="28" t="s">
        <v>204</v>
      </c>
      <c r="AD146" s="121"/>
      <c r="AE146" s="121"/>
      <c r="AF146" s="55">
        <v>0.95699999999999996</v>
      </c>
      <c r="AG146" s="55">
        <v>0.96199999999999997</v>
      </c>
      <c r="AH146" s="55">
        <v>0.96199999999999997</v>
      </c>
      <c r="AI146" s="24" t="s">
        <v>852</v>
      </c>
      <c r="AJ146" s="24"/>
      <c r="AK146" s="24"/>
    </row>
    <row r="147" spans="2:37" x14ac:dyDescent="0.25">
      <c r="B147" s="101">
        <v>173</v>
      </c>
      <c r="C147" s="25">
        <v>20200407</v>
      </c>
      <c r="D147" s="24" t="s">
        <v>3</v>
      </c>
      <c r="E147" s="24" t="s">
        <v>842</v>
      </c>
      <c r="F147" s="26" t="s">
        <v>70</v>
      </c>
      <c r="G147" s="24" t="s">
        <v>677</v>
      </c>
      <c r="H147" s="24" t="s">
        <v>795</v>
      </c>
      <c r="I147" s="24" t="s">
        <v>335</v>
      </c>
      <c r="J147" s="24" t="s">
        <v>70</v>
      </c>
      <c r="K147" s="102" t="s">
        <v>850</v>
      </c>
      <c r="L147" s="26" t="s">
        <v>810</v>
      </c>
      <c r="M147" s="26" t="s">
        <v>826</v>
      </c>
      <c r="N147" s="27" t="s">
        <v>828</v>
      </c>
      <c r="O147" s="25" t="s">
        <v>202</v>
      </c>
      <c r="P147" s="24" t="s">
        <v>6</v>
      </c>
      <c r="Q147" s="24"/>
      <c r="R147" s="24"/>
      <c r="S147" s="24">
        <v>129</v>
      </c>
      <c r="T147" s="24">
        <f>ROUND(IF(D147=Table!$C$3,V147*Table!$C$4/8,V147*Table!$D$4/8),3)</f>
        <v>67.5</v>
      </c>
      <c r="U147" s="24">
        <f>T147</f>
        <v>67.5</v>
      </c>
      <c r="V147" s="24">
        <v>1.2</v>
      </c>
      <c r="W147" s="24">
        <v>1</v>
      </c>
      <c r="X147" s="24" t="s">
        <v>83</v>
      </c>
      <c r="Y147" s="28">
        <v>43929</v>
      </c>
      <c r="Z147" s="28">
        <v>43930</v>
      </c>
      <c r="AA147" s="28">
        <v>43930</v>
      </c>
      <c r="AB147" s="28">
        <v>43930</v>
      </c>
      <c r="AC147" s="28" t="s">
        <v>204</v>
      </c>
      <c r="AD147" s="121"/>
      <c r="AE147" s="121"/>
      <c r="AF147" s="55">
        <v>1</v>
      </c>
      <c r="AG147" s="55">
        <v>1</v>
      </c>
      <c r="AH147" s="55" t="s">
        <v>219</v>
      </c>
      <c r="AI147" s="24"/>
      <c r="AJ147" s="24"/>
      <c r="AK147" s="24"/>
    </row>
    <row r="148" spans="2:37" x14ac:dyDescent="0.25">
      <c r="B148" s="101">
        <v>174</v>
      </c>
      <c r="C148" s="25">
        <v>20200407</v>
      </c>
      <c r="D148" s="24" t="s">
        <v>3</v>
      </c>
      <c r="E148" s="24" t="s">
        <v>842</v>
      </c>
      <c r="F148" s="26" t="s">
        <v>70</v>
      </c>
      <c r="G148" s="24" t="s">
        <v>749</v>
      </c>
      <c r="H148" s="24" t="s">
        <v>796</v>
      </c>
      <c r="I148" s="24" t="s">
        <v>335</v>
      </c>
      <c r="J148" s="24" t="s">
        <v>70</v>
      </c>
      <c r="K148" s="24" t="s">
        <v>850</v>
      </c>
      <c r="L148" s="26" t="s">
        <v>811</v>
      </c>
      <c r="M148" s="26" t="s">
        <v>826</v>
      </c>
      <c r="N148" s="27" t="s">
        <v>829</v>
      </c>
      <c r="O148" s="25" t="s">
        <v>201</v>
      </c>
      <c r="P148" s="24" t="s">
        <v>73</v>
      </c>
      <c r="Q148" s="24"/>
      <c r="R148" s="24"/>
      <c r="S148" s="24">
        <v>75</v>
      </c>
      <c r="T148" s="24">
        <f>ROUND(IF(D148=Table!$C$3,V148*Table!$C$4/8,V148*Table!$D$4/8),3)</f>
        <v>67.5</v>
      </c>
      <c r="U148" s="24">
        <f>T148</f>
        <v>67.5</v>
      </c>
      <c r="V148" s="24">
        <v>1.2</v>
      </c>
      <c r="W148" s="24">
        <v>1</v>
      </c>
      <c r="X148" s="24" t="s">
        <v>83</v>
      </c>
      <c r="Y148" s="28">
        <v>43929</v>
      </c>
      <c r="Z148" s="28">
        <v>43930</v>
      </c>
      <c r="AA148" s="28">
        <v>43929</v>
      </c>
      <c r="AB148" s="28">
        <v>43929</v>
      </c>
      <c r="AC148" s="28" t="s">
        <v>204</v>
      </c>
      <c r="AD148" s="121"/>
      <c r="AE148" s="121"/>
      <c r="AF148" s="55">
        <v>1</v>
      </c>
      <c r="AG148" s="55">
        <v>1</v>
      </c>
      <c r="AH148" s="55">
        <v>1</v>
      </c>
      <c r="AI148" s="24"/>
      <c r="AJ148" s="24"/>
      <c r="AK148" s="24"/>
    </row>
    <row r="149" spans="2:37" x14ac:dyDescent="0.25">
      <c r="B149" s="101">
        <v>175</v>
      </c>
      <c r="C149" s="25">
        <v>20200407</v>
      </c>
      <c r="D149" s="24" t="s">
        <v>3</v>
      </c>
      <c r="E149" s="24" t="s">
        <v>842</v>
      </c>
      <c r="F149" s="26" t="s">
        <v>70</v>
      </c>
      <c r="G149" s="24" t="s">
        <v>750</v>
      </c>
      <c r="H149" s="24" t="s">
        <v>797</v>
      </c>
      <c r="I149" s="24" t="s">
        <v>335</v>
      </c>
      <c r="J149" s="24" t="s">
        <v>70</v>
      </c>
      <c r="K149" s="24" t="s">
        <v>850</v>
      </c>
      <c r="L149" s="26" t="s">
        <v>812</v>
      </c>
      <c r="M149" s="26" t="s">
        <v>826</v>
      </c>
      <c r="N149" s="27" t="s">
        <v>830</v>
      </c>
      <c r="O149" s="25" t="s">
        <v>201</v>
      </c>
      <c r="P149" s="24" t="s">
        <v>73</v>
      </c>
      <c r="Q149" s="24"/>
      <c r="R149" s="24"/>
      <c r="S149" s="24">
        <v>357</v>
      </c>
      <c r="T149" s="24">
        <f>ROUND(IF(D149=Table!$C$3,V149*Table!$C$4/8,V149*Table!$D$4/8),3)</f>
        <v>90</v>
      </c>
      <c r="U149" s="24">
        <f t="shared" ref="U149:U152" si="20">T149</f>
        <v>90</v>
      </c>
      <c r="V149" s="24">
        <v>1.6</v>
      </c>
      <c r="W149" s="24">
        <v>1</v>
      </c>
      <c r="X149" s="24" t="s">
        <v>83</v>
      </c>
      <c r="Y149" s="28">
        <v>43929</v>
      </c>
      <c r="Z149" s="28">
        <v>43930</v>
      </c>
      <c r="AA149" s="28">
        <v>43929</v>
      </c>
      <c r="AB149" s="28">
        <v>43929</v>
      </c>
      <c r="AC149" s="28" t="s">
        <v>204</v>
      </c>
      <c r="AD149" s="121"/>
      <c r="AE149" s="121"/>
      <c r="AF149" s="55">
        <v>1</v>
      </c>
      <c r="AG149" s="55">
        <v>1</v>
      </c>
      <c r="AH149" s="55">
        <v>0.33</v>
      </c>
      <c r="AI149" s="107"/>
      <c r="AJ149" s="24"/>
      <c r="AK149" s="24"/>
    </row>
    <row r="150" spans="2:37" x14ac:dyDescent="0.25">
      <c r="B150" s="101">
        <v>176</v>
      </c>
      <c r="C150" s="25">
        <v>20200407</v>
      </c>
      <c r="D150" s="24" t="s">
        <v>3</v>
      </c>
      <c r="E150" s="24" t="s">
        <v>842</v>
      </c>
      <c r="F150" s="26" t="s">
        <v>70</v>
      </c>
      <c r="G150" s="24" t="s">
        <v>824</v>
      </c>
      <c r="H150" s="24" t="s">
        <v>798</v>
      </c>
      <c r="I150" s="24" t="s">
        <v>335</v>
      </c>
      <c r="J150" s="24" t="s">
        <v>70</v>
      </c>
      <c r="K150" s="24" t="s">
        <v>850</v>
      </c>
      <c r="L150" s="26" t="s">
        <v>813</v>
      </c>
      <c r="M150" s="26" t="s">
        <v>826</v>
      </c>
      <c r="N150" s="27" t="s">
        <v>831</v>
      </c>
      <c r="O150" s="25" t="s">
        <v>201</v>
      </c>
      <c r="P150" s="24" t="s">
        <v>73</v>
      </c>
      <c r="Q150" s="24"/>
      <c r="R150" s="24"/>
      <c r="S150" s="24">
        <v>312</v>
      </c>
      <c r="T150" s="24">
        <f>ROUND(IF(D150=Table!$C$3,V150*Table!$C$4/8,V150*Table!$D$4/8),3)</f>
        <v>225</v>
      </c>
      <c r="U150" s="24">
        <f t="shared" si="20"/>
        <v>225</v>
      </c>
      <c r="V150" s="24">
        <v>4</v>
      </c>
      <c r="W150" s="24">
        <v>4</v>
      </c>
      <c r="X150" s="24" t="s">
        <v>83</v>
      </c>
      <c r="Y150" s="28">
        <v>43929</v>
      </c>
      <c r="Z150" s="28">
        <v>43930</v>
      </c>
      <c r="AA150" s="28">
        <v>43929</v>
      </c>
      <c r="AB150" s="28">
        <v>43929</v>
      </c>
      <c r="AC150" s="28" t="s">
        <v>204</v>
      </c>
      <c r="AD150" s="121"/>
      <c r="AE150" s="121"/>
      <c r="AF150" s="55">
        <v>1</v>
      </c>
      <c r="AG150" s="55">
        <v>1</v>
      </c>
      <c r="AH150" s="55">
        <v>1</v>
      </c>
      <c r="AI150" s="24"/>
      <c r="AJ150" s="24"/>
      <c r="AK150" s="24"/>
    </row>
    <row r="151" spans="2:37" x14ac:dyDescent="0.25">
      <c r="B151" s="101">
        <v>177</v>
      </c>
      <c r="C151" s="25">
        <v>20200407</v>
      </c>
      <c r="D151" s="24" t="s">
        <v>3</v>
      </c>
      <c r="E151" s="24" t="s">
        <v>842</v>
      </c>
      <c r="F151" s="26" t="s">
        <v>70</v>
      </c>
      <c r="G151" s="24" t="s">
        <v>825</v>
      </c>
      <c r="H151" s="24" t="s">
        <v>799</v>
      </c>
      <c r="I151" s="24" t="s">
        <v>335</v>
      </c>
      <c r="J151" s="24" t="s">
        <v>70</v>
      </c>
      <c r="K151" s="24" t="s">
        <v>850</v>
      </c>
      <c r="L151" s="26" t="s">
        <v>814</v>
      </c>
      <c r="M151" s="26" t="s">
        <v>826</v>
      </c>
      <c r="N151" s="27" t="s">
        <v>832</v>
      </c>
      <c r="O151" s="25" t="s">
        <v>201</v>
      </c>
      <c r="P151" s="24" t="s">
        <v>73</v>
      </c>
      <c r="Q151" s="24"/>
      <c r="R151" s="24"/>
      <c r="S151" s="24">
        <v>8</v>
      </c>
      <c r="T151" s="24">
        <f>ROUND(IF(D151=Table!$C$3,V151*Table!$C$4/8,V151*Table!$D$4/8),3)</f>
        <v>6.75</v>
      </c>
      <c r="U151" s="24">
        <f t="shared" si="20"/>
        <v>6.75</v>
      </c>
      <c r="V151" s="24">
        <v>0.12</v>
      </c>
      <c r="W151" s="24">
        <v>1</v>
      </c>
      <c r="X151" s="24" t="s">
        <v>83</v>
      </c>
      <c r="Y151" s="28">
        <v>43929</v>
      </c>
      <c r="Z151" s="28">
        <v>43930</v>
      </c>
      <c r="AA151" s="28">
        <v>43929</v>
      </c>
      <c r="AB151" s="28">
        <v>43929</v>
      </c>
      <c r="AC151" s="28" t="s">
        <v>204</v>
      </c>
      <c r="AD151" s="121"/>
      <c r="AE151" s="121"/>
      <c r="AF151" s="55">
        <v>1</v>
      </c>
      <c r="AG151" s="55">
        <v>1</v>
      </c>
      <c r="AH151" s="55">
        <v>1</v>
      </c>
      <c r="AI151" s="24"/>
      <c r="AJ151" s="24"/>
      <c r="AK151" s="24"/>
    </row>
    <row r="152" spans="2:37" x14ac:dyDescent="0.25">
      <c r="B152" s="101">
        <v>178</v>
      </c>
      <c r="C152" s="25">
        <v>20200407</v>
      </c>
      <c r="D152" s="24" t="s">
        <v>3</v>
      </c>
      <c r="E152" s="24" t="s">
        <v>842</v>
      </c>
      <c r="F152" s="26" t="s">
        <v>70</v>
      </c>
      <c r="G152" s="24" t="s">
        <v>294</v>
      </c>
      <c r="H152" s="24" t="s">
        <v>800</v>
      </c>
      <c r="I152" s="24" t="s">
        <v>335</v>
      </c>
      <c r="J152" s="24" t="s">
        <v>70</v>
      </c>
      <c r="K152" s="24" t="s">
        <v>850</v>
      </c>
      <c r="L152" s="26" t="s">
        <v>815</v>
      </c>
      <c r="M152" s="26" t="s">
        <v>826</v>
      </c>
      <c r="N152" s="27" t="s">
        <v>833</v>
      </c>
      <c r="O152" s="25" t="s">
        <v>201</v>
      </c>
      <c r="P152" s="24" t="s">
        <v>73</v>
      </c>
      <c r="Q152" s="24"/>
      <c r="R152" s="24"/>
      <c r="S152" s="24">
        <v>38</v>
      </c>
      <c r="T152" s="24">
        <f>ROUND(IF(D152=Table!$C$3,V152*Table!$C$4/8,V152*Table!$D$4/8),3)</f>
        <v>72</v>
      </c>
      <c r="U152" s="24">
        <f t="shared" si="20"/>
        <v>72</v>
      </c>
      <c r="V152" s="24">
        <v>1.2800000000000002</v>
      </c>
      <c r="W152" s="24">
        <v>1</v>
      </c>
      <c r="X152" s="24" t="s">
        <v>83</v>
      </c>
      <c r="Y152" s="28">
        <v>43929</v>
      </c>
      <c r="Z152" s="28">
        <v>43930</v>
      </c>
      <c r="AA152" s="28">
        <v>43929</v>
      </c>
      <c r="AB152" s="28">
        <v>43929</v>
      </c>
      <c r="AC152" s="28" t="s">
        <v>204</v>
      </c>
      <c r="AD152" s="121"/>
      <c r="AE152" s="121"/>
      <c r="AF152" s="55">
        <v>1</v>
      </c>
      <c r="AG152" s="55">
        <v>1</v>
      </c>
      <c r="AH152" s="55">
        <v>0.5</v>
      </c>
      <c r="AI152" s="24"/>
      <c r="AJ152" s="24"/>
      <c r="AK152" s="24"/>
    </row>
    <row r="153" spans="2:37" x14ac:dyDescent="0.25">
      <c r="B153" s="101">
        <v>179</v>
      </c>
      <c r="C153" s="25">
        <v>20200407</v>
      </c>
      <c r="D153" s="24" t="s">
        <v>3</v>
      </c>
      <c r="E153" s="24" t="s">
        <v>842</v>
      </c>
      <c r="F153" s="26" t="s">
        <v>70</v>
      </c>
      <c r="G153" s="24" t="s">
        <v>678</v>
      </c>
      <c r="H153" s="24" t="s">
        <v>801</v>
      </c>
      <c r="I153" s="24" t="s">
        <v>335</v>
      </c>
      <c r="J153" s="24" t="s">
        <v>70</v>
      </c>
      <c r="K153" s="24" t="s">
        <v>850</v>
      </c>
      <c r="L153" s="26" t="s">
        <v>816</v>
      </c>
      <c r="M153" s="26" t="s">
        <v>826</v>
      </c>
      <c r="N153" s="27" t="s">
        <v>834</v>
      </c>
      <c r="O153" s="25" t="s">
        <v>203</v>
      </c>
      <c r="P153" s="24" t="s">
        <v>75</v>
      </c>
      <c r="Q153" s="24"/>
      <c r="R153" s="24"/>
      <c r="S153" s="24">
        <v>26</v>
      </c>
      <c r="T153" s="24">
        <f>ROUND(IF(D153=Table!$C$3,V153*Table!$C$4/8,V153*Table!$D$4/8),3)</f>
        <v>72</v>
      </c>
      <c r="U153" s="24">
        <f>T153</f>
        <v>72</v>
      </c>
      <c r="V153" s="24">
        <v>1.2800000000000002</v>
      </c>
      <c r="W153" s="24">
        <v>2</v>
      </c>
      <c r="X153" s="24" t="s">
        <v>83</v>
      </c>
      <c r="Y153" s="28">
        <v>43929</v>
      </c>
      <c r="Z153" s="28">
        <v>43930</v>
      </c>
      <c r="AA153" s="28">
        <v>43931</v>
      </c>
      <c r="AB153" s="28">
        <v>43931</v>
      </c>
      <c r="AC153" s="28" t="s">
        <v>204</v>
      </c>
      <c r="AD153" s="121"/>
      <c r="AE153" s="121"/>
      <c r="AF153" s="55">
        <v>1</v>
      </c>
      <c r="AG153" s="55">
        <v>1</v>
      </c>
      <c r="AH153" s="55">
        <v>1</v>
      </c>
      <c r="AI153" s="24"/>
      <c r="AJ153" s="24"/>
      <c r="AK153" s="24"/>
    </row>
    <row r="154" spans="2:37" x14ac:dyDescent="0.25">
      <c r="B154" s="101">
        <v>180</v>
      </c>
      <c r="C154" s="25">
        <v>20200407</v>
      </c>
      <c r="D154" s="24" t="s">
        <v>3</v>
      </c>
      <c r="E154" s="24" t="s">
        <v>842</v>
      </c>
      <c r="F154" s="26" t="s">
        <v>70</v>
      </c>
      <c r="G154" s="24" t="s">
        <v>679</v>
      </c>
      <c r="H154" s="24" t="s">
        <v>802</v>
      </c>
      <c r="I154" s="24" t="s">
        <v>335</v>
      </c>
      <c r="J154" s="24" t="s">
        <v>70</v>
      </c>
      <c r="K154" s="24" t="s">
        <v>850</v>
      </c>
      <c r="L154" s="26" t="s">
        <v>817</v>
      </c>
      <c r="M154" s="26" t="s">
        <v>826</v>
      </c>
      <c r="N154" s="27" t="s">
        <v>835</v>
      </c>
      <c r="O154" s="25" t="s">
        <v>203</v>
      </c>
      <c r="P154" s="24" t="s">
        <v>75</v>
      </c>
      <c r="Q154" s="24"/>
      <c r="R154" s="24"/>
      <c r="S154" s="24">
        <v>127</v>
      </c>
      <c r="T154" s="24">
        <f>ROUND(IF(D154=Table!$C$3,V154*Table!$C$4/8,V154*Table!$D$4/8),3)</f>
        <v>144</v>
      </c>
      <c r="U154" s="24">
        <f>T154</f>
        <v>144</v>
      </c>
      <c r="V154" s="24">
        <v>2.5600000000000005</v>
      </c>
      <c r="W154" s="24">
        <v>3</v>
      </c>
      <c r="X154" s="24" t="s">
        <v>83</v>
      </c>
      <c r="Y154" s="28">
        <v>43929</v>
      </c>
      <c r="Z154" s="28">
        <v>43930</v>
      </c>
      <c r="AA154" s="28">
        <v>43931</v>
      </c>
      <c r="AB154" s="28">
        <v>43931</v>
      </c>
      <c r="AC154" s="28" t="s">
        <v>204</v>
      </c>
      <c r="AD154" s="121"/>
      <c r="AE154" s="121"/>
      <c r="AF154" s="55">
        <v>1</v>
      </c>
      <c r="AG154" s="55">
        <v>1</v>
      </c>
      <c r="AH154" s="55">
        <v>1</v>
      </c>
      <c r="AI154" s="24"/>
      <c r="AJ154" s="24"/>
      <c r="AK154" s="24"/>
    </row>
    <row r="155" spans="2:37" x14ac:dyDescent="0.25">
      <c r="B155" s="101">
        <v>181</v>
      </c>
      <c r="C155" s="25">
        <v>20200407</v>
      </c>
      <c r="D155" s="24" t="s">
        <v>3</v>
      </c>
      <c r="E155" s="24" t="s">
        <v>842</v>
      </c>
      <c r="F155" s="26" t="s">
        <v>70</v>
      </c>
      <c r="G155" s="24" t="s">
        <v>124</v>
      </c>
      <c r="H155" s="24" t="s">
        <v>803</v>
      </c>
      <c r="I155" s="24" t="s">
        <v>335</v>
      </c>
      <c r="J155" s="24" t="s">
        <v>70</v>
      </c>
      <c r="K155" s="24" t="s">
        <v>850</v>
      </c>
      <c r="L155" s="26" t="s">
        <v>818</v>
      </c>
      <c r="M155" s="26" t="s">
        <v>826</v>
      </c>
      <c r="N155" s="27" t="s">
        <v>836</v>
      </c>
      <c r="O155" s="25" t="s">
        <v>203</v>
      </c>
      <c r="P155" s="24" t="s">
        <v>75</v>
      </c>
      <c r="Q155" s="24"/>
      <c r="R155" s="24"/>
      <c r="S155" s="24">
        <v>200</v>
      </c>
      <c r="T155" s="24">
        <f>ROUND(IF(D155=Table!$C$3,V155*Table!$C$4/8,V155*Table!$D$4/8),3)</f>
        <v>180</v>
      </c>
      <c r="U155" s="24">
        <f>T155</f>
        <v>180</v>
      </c>
      <c r="V155" s="24">
        <v>3.2</v>
      </c>
      <c r="W155" s="24">
        <v>3</v>
      </c>
      <c r="X155" s="24" t="s">
        <v>83</v>
      </c>
      <c r="Y155" s="28">
        <v>43929</v>
      </c>
      <c r="Z155" s="28">
        <v>43930</v>
      </c>
      <c r="AA155" s="28">
        <v>43931</v>
      </c>
      <c r="AB155" s="28">
        <v>43931</v>
      </c>
      <c r="AC155" s="28" t="s">
        <v>204</v>
      </c>
      <c r="AD155" s="121"/>
      <c r="AE155" s="121"/>
      <c r="AF155" s="55">
        <v>1</v>
      </c>
      <c r="AG155" s="55">
        <v>1</v>
      </c>
      <c r="AH155" s="55">
        <v>1</v>
      </c>
      <c r="AI155" s="24"/>
      <c r="AJ155" s="24"/>
      <c r="AK155" s="24"/>
    </row>
    <row r="156" spans="2:37" x14ac:dyDescent="0.25">
      <c r="B156" s="101">
        <v>182</v>
      </c>
      <c r="C156" s="25">
        <v>20200407</v>
      </c>
      <c r="D156" s="24" t="s">
        <v>3</v>
      </c>
      <c r="E156" s="24" t="s">
        <v>842</v>
      </c>
      <c r="F156" s="26" t="s">
        <v>70</v>
      </c>
      <c r="G156" s="24" t="s">
        <v>125</v>
      </c>
      <c r="H156" s="24" t="s">
        <v>804</v>
      </c>
      <c r="I156" s="24" t="s">
        <v>335</v>
      </c>
      <c r="J156" s="24" t="s">
        <v>70</v>
      </c>
      <c r="K156" s="24" t="s">
        <v>850</v>
      </c>
      <c r="L156" s="26" t="s">
        <v>819</v>
      </c>
      <c r="M156" s="26" t="s">
        <v>826</v>
      </c>
      <c r="N156" s="27" t="s">
        <v>837</v>
      </c>
      <c r="O156" s="25" t="s">
        <v>203</v>
      </c>
      <c r="P156" s="24" t="s">
        <v>75</v>
      </c>
      <c r="Q156" s="24"/>
      <c r="R156" s="24"/>
      <c r="S156" s="24">
        <v>56</v>
      </c>
      <c r="T156" s="24">
        <f>ROUND(IF(D156=Table!$C$3,V156*Table!$C$4/8,V156*Table!$D$4/8),3)</f>
        <v>72</v>
      </c>
      <c r="U156" s="24">
        <f>T156</f>
        <v>72</v>
      </c>
      <c r="V156" s="24">
        <v>1.2800000000000002</v>
      </c>
      <c r="W156" s="24">
        <v>2</v>
      </c>
      <c r="X156" s="24" t="s">
        <v>83</v>
      </c>
      <c r="Y156" s="28">
        <v>43929</v>
      </c>
      <c r="Z156" s="28">
        <v>43930</v>
      </c>
      <c r="AA156" s="28">
        <v>43931</v>
      </c>
      <c r="AB156" s="28">
        <v>43931</v>
      </c>
      <c r="AC156" s="28" t="s">
        <v>204</v>
      </c>
      <c r="AD156" s="121"/>
      <c r="AE156" s="121"/>
      <c r="AF156" s="55">
        <v>1</v>
      </c>
      <c r="AG156" s="55">
        <v>1</v>
      </c>
      <c r="AH156" s="55">
        <v>1</v>
      </c>
      <c r="AI156" s="24"/>
      <c r="AJ156" s="24"/>
      <c r="AK156" s="24"/>
    </row>
    <row r="157" spans="2:37" x14ac:dyDescent="0.25">
      <c r="B157" s="101">
        <v>183</v>
      </c>
      <c r="C157" s="25">
        <v>20200407</v>
      </c>
      <c r="D157" s="24" t="s">
        <v>3</v>
      </c>
      <c r="E157" s="24" t="s">
        <v>842</v>
      </c>
      <c r="F157" s="26" t="s">
        <v>70</v>
      </c>
      <c r="G157" s="24" t="s">
        <v>126</v>
      </c>
      <c r="H157" s="24" t="s">
        <v>805</v>
      </c>
      <c r="I157" s="24" t="s">
        <v>335</v>
      </c>
      <c r="J157" s="24" t="s">
        <v>70</v>
      </c>
      <c r="K157" s="24" t="s">
        <v>850</v>
      </c>
      <c r="L157" s="26" t="s">
        <v>820</v>
      </c>
      <c r="M157" s="26" t="s">
        <v>826</v>
      </c>
      <c r="N157" s="27" t="s">
        <v>838</v>
      </c>
      <c r="O157" s="25" t="s">
        <v>654</v>
      </c>
      <c r="P157" s="24" t="s">
        <v>6</v>
      </c>
      <c r="Q157" s="24"/>
      <c r="R157" s="24"/>
      <c r="S157" s="24">
        <v>213</v>
      </c>
      <c r="T157" s="24">
        <f>ROUND(IF(D157=Table!$C$3,V157*Table!$C$4/8,V157*Table!$D$4/8),3)</f>
        <v>180</v>
      </c>
      <c r="U157" s="24">
        <f t="shared" ref="U157" si="21">T157</f>
        <v>180</v>
      </c>
      <c r="V157" s="24">
        <v>3.2</v>
      </c>
      <c r="W157" s="24">
        <v>3</v>
      </c>
      <c r="X157" s="24" t="s">
        <v>83</v>
      </c>
      <c r="Y157" s="28">
        <v>43929</v>
      </c>
      <c r="Z157" s="28">
        <v>43930</v>
      </c>
      <c r="AA157" s="28">
        <v>43931</v>
      </c>
      <c r="AB157" s="28">
        <v>43931</v>
      </c>
      <c r="AC157" s="28" t="s">
        <v>204</v>
      </c>
      <c r="AD157" s="121"/>
      <c r="AE157" s="121"/>
      <c r="AF157" s="55">
        <v>0.97</v>
      </c>
      <c r="AG157" s="55">
        <v>0.95</v>
      </c>
      <c r="AH157" s="55">
        <v>0.5</v>
      </c>
      <c r="AI157" s="24" t="s">
        <v>880</v>
      </c>
      <c r="AJ157" s="24"/>
      <c r="AK157" s="24"/>
    </row>
    <row r="158" spans="2:37" x14ac:dyDescent="0.25">
      <c r="B158" s="101">
        <v>184</v>
      </c>
      <c r="C158" s="25">
        <v>20200407</v>
      </c>
      <c r="D158" s="24" t="s">
        <v>3</v>
      </c>
      <c r="E158" s="24" t="s">
        <v>842</v>
      </c>
      <c r="F158" s="26" t="s">
        <v>70</v>
      </c>
      <c r="G158" s="24" t="s">
        <v>680</v>
      </c>
      <c r="H158" s="24" t="s">
        <v>806</v>
      </c>
      <c r="I158" s="24" t="s">
        <v>335</v>
      </c>
      <c r="J158" s="24" t="s">
        <v>70</v>
      </c>
      <c r="K158" s="24" t="s">
        <v>850</v>
      </c>
      <c r="L158" s="26" t="s">
        <v>821</v>
      </c>
      <c r="M158" s="26" t="s">
        <v>826</v>
      </c>
      <c r="N158" s="27" t="s">
        <v>839</v>
      </c>
      <c r="O158" s="25" t="s">
        <v>654</v>
      </c>
      <c r="P158" s="24" t="s">
        <v>6</v>
      </c>
      <c r="Q158" s="24"/>
      <c r="R158" s="24"/>
      <c r="S158" s="24">
        <v>138</v>
      </c>
      <c r="T158" s="24">
        <f>ROUND(IF(D158=Table!$C$3,V158*Table!$C$4/8,V158*Table!$D$4/8),3)</f>
        <v>144</v>
      </c>
      <c r="U158" s="24">
        <f>T158</f>
        <v>144</v>
      </c>
      <c r="V158" s="24">
        <v>2.56</v>
      </c>
      <c r="W158" s="24">
        <v>1</v>
      </c>
      <c r="X158" s="24" t="s">
        <v>83</v>
      </c>
      <c r="Y158" s="28">
        <v>43929</v>
      </c>
      <c r="Z158" s="28">
        <v>43930</v>
      </c>
      <c r="AA158" s="28">
        <v>43931</v>
      </c>
      <c r="AB158" s="28">
        <v>43931</v>
      </c>
      <c r="AC158" s="28" t="s">
        <v>204</v>
      </c>
      <c r="AD158" s="121"/>
      <c r="AE158" s="121"/>
      <c r="AF158" s="55">
        <v>1</v>
      </c>
      <c r="AG158" s="55">
        <v>1</v>
      </c>
      <c r="AH158" s="55">
        <v>0.5</v>
      </c>
      <c r="AI158" s="24"/>
      <c r="AJ158" s="24"/>
      <c r="AK158" s="24"/>
    </row>
    <row r="159" spans="2:37" x14ac:dyDescent="0.25">
      <c r="B159" s="101">
        <v>185</v>
      </c>
      <c r="C159" s="25">
        <v>20200407</v>
      </c>
      <c r="D159" s="24" t="s">
        <v>3</v>
      </c>
      <c r="E159" s="24" t="s">
        <v>842</v>
      </c>
      <c r="F159" s="26" t="s">
        <v>70</v>
      </c>
      <c r="G159" s="24" t="s">
        <v>127</v>
      </c>
      <c r="H159" s="24" t="s">
        <v>807</v>
      </c>
      <c r="I159" s="24" t="s">
        <v>335</v>
      </c>
      <c r="J159" s="24" t="s">
        <v>70</v>
      </c>
      <c r="K159" s="24" t="s">
        <v>850</v>
      </c>
      <c r="L159" s="26" t="s">
        <v>822</v>
      </c>
      <c r="M159" s="26" t="s">
        <v>826</v>
      </c>
      <c r="N159" s="27" t="s">
        <v>840</v>
      </c>
      <c r="O159" s="25" t="s">
        <v>654</v>
      </c>
      <c r="P159" s="24" t="s">
        <v>74</v>
      </c>
      <c r="Q159" s="24"/>
      <c r="R159" s="24"/>
      <c r="S159" s="24">
        <v>430</v>
      </c>
      <c r="T159" s="24">
        <f>ROUND(IF(D159=Table!$C$3,V159*Table!$C$4/8,V159*Table!$D$4/8),3)</f>
        <v>315</v>
      </c>
      <c r="U159" s="24">
        <f t="shared" ref="U159:U160" si="22">T159</f>
        <v>315</v>
      </c>
      <c r="V159" s="24">
        <v>5.6</v>
      </c>
      <c r="W159" s="24">
        <v>8</v>
      </c>
      <c r="X159" s="24" t="s">
        <v>83</v>
      </c>
      <c r="Y159" s="28">
        <v>43929</v>
      </c>
      <c r="Z159" s="28">
        <v>43930</v>
      </c>
      <c r="AA159" s="28">
        <v>43931</v>
      </c>
      <c r="AB159" s="28">
        <v>43931</v>
      </c>
      <c r="AC159" s="28" t="s">
        <v>204</v>
      </c>
      <c r="AD159" s="121"/>
      <c r="AE159" s="121"/>
      <c r="AF159" s="55"/>
      <c r="AG159" s="55"/>
      <c r="AH159" s="55"/>
      <c r="AI159" s="24"/>
      <c r="AJ159" s="24"/>
      <c r="AK159" s="24"/>
    </row>
    <row r="160" spans="2:37" x14ac:dyDescent="0.25">
      <c r="B160" s="101">
        <v>186</v>
      </c>
      <c r="C160" s="25">
        <v>20200407</v>
      </c>
      <c r="D160" s="24" t="s">
        <v>3</v>
      </c>
      <c r="E160" s="24" t="s">
        <v>842</v>
      </c>
      <c r="F160" s="26" t="s">
        <v>70</v>
      </c>
      <c r="G160" s="24" t="s">
        <v>129</v>
      </c>
      <c r="H160" s="24" t="s">
        <v>808</v>
      </c>
      <c r="I160" s="24" t="s">
        <v>335</v>
      </c>
      <c r="J160" s="24" t="s">
        <v>70</v>
      </c>
      <c r="K160" s="24" t="s">
        <v>850</v>
      </c>
      <c r="L160" s="26" t="s">
        <v>823</v>
      </c>
      <c r="M160" s="26" t="s">
        <v>826</v>
      </c>
      <c r="N160" s="27" t="s">
        <v>841</v>
      </c>
      <c r="O160" s="25" t="s">
        <v>654</v>
      </c>
      <c r="P160" s="24" t="s">
        <v>74</v>
      </c>
      <c r="Q160" s="24"/>
      <c r="R160" s="24"/>
      <c r="S160" s="24">
        <v>56</v>
      </c>
      <c r="T160" s="24">
        <f>ROUND(IF(D160=Table!$C$3,V160*Table!$C$4/8,V160*Table!$D$4/8),3)</f>
        <v>72</v>
      </c>
      <c r="U160" s="24">
        <f t="shared" si="22"/>
        <v>72</v>
      </c>
      <c r="V160" s="24">
        <v>1.28</v>
      </c>
      <c r="W160" s="24">
        <v>8</v>
      </c>
      <c r="X160" s="24" t="s">
        <v>83</v>
      </c>
      <c r="Y160" s="28">
        <v>43929</v>
      </c>
      <c r="Z160" s="28">
        <v>43930</v>
      </c>
      <c r="AA160" s="28">
        <v>43931</v>
      </c>
      <c r="AB160" s="28">
        <v>43931</v>
      </c>
      <c r="AC160" s="28" t="s">
        <v>204</v>
      </c>
      <c r="AD160" s="121"/>
      <c r="AE160" s="121"/>
      <c r="AF160" s="55"/>
      <c r="AG160" s="55"/>
      <c r="AH160" s="55"/>
      <c r="AI160" s="24"/>
      <c r="AJ160" s="24"/>
      <c r="AK160" s="24"/>
    </row>
    <row r="161" spans="2:37" x14ac:dyDescent="0.25">
      <c r="B161" s="109">
        <v>187</v>
      </c>
      <c r="C161" s="25">
        <v>20200409</v>
      </c>
      <c r="D161" s="24" t="s">
        <v>2</v>
      </c>
      <c r="E161" s="24" t="s">
        <v>866</v>
      </c>
      <c r="F161" s="26" t="s">
        <v>70</v>
      </c>
      <c r="G161" s="26" t="s">
        <v>70</v>
      </c>
      <c r="H161" s="24" t="s">
        <v>858</v>
      </c>
      <c r="I161" s="24" t="s">
        <v>334</v>
      </c>
      <c r="J161" s="24"/>
      <c r="K161" s="24"/>
      <c r="L161" s="26">
        <v>1.3</v>
      </c>
      <c r="M161" s="26" t="s">
        <v>867</v>
      </c>
      <c r="N161" s="27" t="s">
        <v>868</v>
      </c>
      <c r="O161" s="100" t="s">
        <v>70</v>
      </c>
      <c r="P161" s="24" t="s">
        <v>6</v>
      </c>
      <c r="Q161" s="24"/>
      <c r="R161" s="24"/>
      <c r="S161" s="24"/>
      <c r="T161" s="24">
        <f>ROUND(IF(D161=Table!$C$3,V161*Table!$C$4/8,V161*Table!$D$4/8),3)</f>
        <v>40.625</v>
      </c>
      <c r="U161" s="24">
        <f>T161</f>
        <v>40.625</v>
      </c>
      <c r="V161" s="24">
        <v>2.5</v>
      </c>
      <c r="W161" s="24"/>
      <c r="X161" s="24" t="s">
        <v>82</v>
      </c>
      <c r="Y161" s="28">
        <v>43931</v>
      </c>
      <c r="Z161" s="28">
        <v>43931</v>
      </c>
      <c r="AA161" s="28">
        <v>43931</v>
      </c>
      <c r="AB161" s="28">
        <v>43931</v>
      </c>
      <c r="AC161" s="28" t="s">
        <v>204</v>
      </c>
      <c r="AD161" s="121"/>
      <c r="AE161" s="121"/>
      <c r="AF161" s="55">
        <v>0.93300000000000005</v>
      </c>
      <c r="AG161" s="55">
        <v>0.93799999999999994</v>
      </c>
      <c r="AH161" s="55">
        <v>1</v>
      </c>
      <c r="AI161" s="24" t="s">
        <v>882</v>
      </c>
      <c r="AJ161" s="24"/>
      <c r="AK161" s="24"/>
    </row>
    <row r="162" spans="2:37" x14ac:dyDescent="0.25">
      <c r="B162" s="109">
        <v>188</v>
      </c>
      <c r="C162" s="25">
        <v>20200409</v>
      </c>
      <c r="D162" s="24" t="s">
        <v>2</v>
      </c>
      <c r="E162" s="24" t="s">
        <v>866</v>
      </c>
      <c r="F162" s="26" t="s">
        <v>70</v>
      </c>
      <c r="G162" s="26" t="s">
        <v>70</v>
      </c>
      <c r="H162" s="24" t="s">
        <v>859</v>
      </c>
      <c r="I162" s="24" t="s">
        <v>334</v>
      </c>
      <c r="J162" s="24"/>
      <c r="K162" s="24"/>
      <c r="L162" s="26">
        <v>1.5</v>
      </c>
      <c r="M162" s="26" t="s">
        <v>867</v>
      </c>
      <c r="N162" s="27" t="s">
        <v>869</v>
      </c>
      <c r="O162" s="100" t="s">
        <v>70</v>
      </c>
      <c r="P162" s="24" t="s">
        <v>73</v>
      </c>
      <c r="Q162" s="24"/>
      <c r="R162" s="24"/>
      <c r="S162" s="24"/>
      <c r="T162" s="24">
        <f>ROUND(IF(D162=Table!$C$3,V162*Table!$C$4/8,V162*Table!$D$4/8),3)</f>
        <v>40.625</v>
      </c>
      <c r="U162" s="24">
        <f>T162</f>
        <v>40.625</v>
      </c>
      <c r="V162" s="24">
        <v>2.5</v>
      </c>
      <c r="W162" s="24">
        <f>V162</f>
        <v>2.5</v>
      </c>
      <c r="X162" s="24" t="s">
        <v>82</v>
      </c>
      <c r="Y162" s="28">
        <v>43931</v>
      </c>
      <c r="Z162" s="28">
        <v>43931</v>
      </c>
      <c r="AA162" s="28">
        <v>43931</v>
      </c>
      <c r="AB162" s="28">
        <v>43931</v>
      </c>
      <c r="AC162" s="28" t="s">
        <v>204</v>
      </c>
      <c r="AD162" s="121"/>
      <c r="AE162" s="121"/>
      <c r="AF162" s="55">
        <v>1</v>
      </c>
      <c r="AG162" s="55">
        <v>1</v>
      </c>
      <c r="AH162" s="55" t="s">
        <v>219</v>
      </c>
      <c r="AI162" s="24"/>
      <c r="AJ162" s="24"/>
      <c r="AK162" s="24"/>
    </row>
    <row r="163" spans="2:37" x14ac:dyDescent="0.25">
      <c r="B163" s="109">
        <v>189</v>
      </c>
      <c r="C163" s="25">
        <v>20200409</v>
      </c>
      <c r="D163" s="24" t="s">
        <v>2</v>
      </c>
      <c r="E163" s="24" t="s">
        <v>866</v>
      </c>
      <c r="F163" s="26" t="s">
        <v>70</v>
      </c>
      <c r="G163" s="26" t="s">
        <v>70</v>
      </c>
      <c r="H163" s="24" t="s">
        <v>860</v>
      </c>
      <c r="I163" s="24" t="s">
        <v>334</v>
      </c>
      <c r="J163" s="24"/>
      <c r="K163" s="24"/>
      <c r="L163" s="26">
        <v>1.4</v>
      </c>
      <c r="M163" s="26" t="s">
        <v>867</v>
      </c>
      <c r="N163" s="27" t="s">
        <v>870</v>
      </c>
      <c r="O163" s="100" t="s">
        <v>70</v>
      </c>
      <c r="P163" s="24" t="s">
        <v>74</v>
      </c>
      <c r="Q163" s="24"/>
      <c r="R163" s="24"/>
      <c r="S163" s="24"/>
      <c r="T163" s="24">
        <f>ROUND(IF(D163=Table!$C$3,V163*Table!$C$4/8,V163*Table!$D$4/8),3)</f>
        <v>24.375</v>
      </c>
      <c r="U163" s="24">
        <f>T163</f>
        <v>24.375</v>
      </c>
      <c r="V163" s="24">
        <v>1.5</v>
      </c>
      <c r="W163" s="24">
        <v>1.5</v>
      </c>
      <c r="X163" s="24" t="s">
        <v>82</v>
      </c>
      <c r="Y163" s="28">
        <v>43931</v>
      </c>
      <c r="Z163" s="28">
        <v>43931</v>
      </c>
      <c r="AA163" s="28">
        <v>43931</v>
      </c>
      <c r="AB163" s="28">
        <v>43931</v>
      </c>
      <c r="AC163" s="28" t="s">
        <v>204</v>
      </c>
      <c r="AD163" s="121"/>
      <c r="AE163" s="121"/>
      <c r="AF163" s="55"/>
      <c r="AG163" s="55"/>
      <c r="AH163" s="55"/>
      <c r="AI163" s="24"/>
      <c r="AJ163" s="24"/>
      <c r="AK163" s="24"/>
    </row>
    <row r="164" spans="2:37" x14ac:dyDescent="0.25">
      <c r="B164" s="109">
        <v>190</v>
      </c>
      <c r="C164" s="25">
        <v>20200409</v>
      </c>
      <c r="D164" s="24" t="s">
        <v>2</v>
      </c>
      <c r="E164" s="24" t="s">
        <v>866</v>
      </c>
      <c r="F164" s="26" t="s">
        <v>70</v>
      </c>
      <c r="G164" s="26" t="s">
        <v>70</v>
      </c>
      <c r="H164" s="24" t="s">
        <v>861</v>
      </c>
      <c r="I164" s="24" t="s">
        <v>334</v>
      </c>
      <c r="J164" s="24"/>
      <c r="K164" s="24"/>
      <c r="L164" s="26">
        <v>1.3</v>
      </c>
      <c r="M164" s="26" t="s">
        <v>867</v>
      </c>
      <c r="N164" s="27" t="s">
        <v>871</v>
      </c>
      <c r="O164" s="100" t="s">
        <v>70</v>
      </c>
      <c r="P164" s="24" t="s">
        <v>74</v>
      </c>
      <c r="Q164" s="24"/>
      <c r="R164" s="24"/>
      <c r="S164" s="24"/>
      <c r="T164" s="24">
        <f>ROUND(IF(D164=Table!$C$3,V164*Table!$C$4/8,V164*Table!$D$4/8),3)</f>
        <v>24.375</v>
      </c>
      <c r="U164" s="24">
        <f>T164</f>
        <v>24.375</v>
      </c>
      <c r="V164" s="24">
        <v>1.5</v>
      </c>
      <c r="W164" s="24">
        <v>1.5</v>
      </c>
      <c r="X164" s="24" t="s">
        <v>82</v>
      </c>
      <c r="Y164" s="28">
        <v>43931</v>
      </c>
      <c r="Z164" s="28">
        <v>43931</v>
      </c>
      <c r="AA164" s="28">
        <v>43931</v>
      </c>
      <c r="AB164" s="28">
        <v>43931</v>
      </c>
      <c r="AC164" s="28" t="s">
        <v>204</v>
      </c>
      <c r="AD164" s="121"/>
      <c r="AE164" s="121"/>
      <c r="AF164" s="55"/>
      <c r="AG164" s="55"/>
      <c r="AH164" s="55"/>
      <c r="AI164" s="24"/>
      <c r="AJ164" s="24"/>
      <c r="AK164" s="24"/>
    </row>
    <row r="165" spans="2:37" x14ac:dyDescent="0.25">
      <c r="B165" s="109">
        <v>191</v>
      </c>
      <c r="C165" s="25">
        <v>20200409</v>
      </c>
      <c r="D165" s="24" t="s">
        <v>2</v>
      </c>
      <c r="E165" s="24" t="s">
        <v>866</v>
      </c>
      <c r="F165" s="26" t="s">
        <v>70</v>
      </c>
      <c r="G165" s="26" t="s">
        <v>70</v>
      </c>
      <c r="H165" s="24" t="s">
        <v>862</v>
      </c>
      <c r="I165" s="24" t="s">
        <v>334</v>
      </c>
      <c r="J165" s="24"/>
      <c r="K165" s="24"/>
      <c r="L165" s="26">
        <v>1.2</v>
      </c>
      <c r="M165" s="26" t="s">
        <v>867</v>
      </c>
      <c r="N165" s="27" t="s">
        <v>872</v>
      </c>
      <c r="O165" s="100" t="s">
        <v>70</v>
      </c>
      <c r="P165" s="24" t="s">
        <v>75</v>
      </c>
      <c r="Q165" s="24"/>
      <c r="R165" s="24"/>
      <c r="S165" s="24"/>
      <c r="T165" s="24">
        <f>ROUND(IF(D165=Table!$C$3,V165*Table!$C$4/8,V165*Table!$D$4/8),3)</f>
        <v>24.375</v>
      </c>
      <c r="U165" s="24">
        <f>T165</f>
        <v>24.375</v>
      </c>
      <c r="V165" s="24">
        <v>1.5</v>
      </c>
      <c r="W165" s="24">
        <v>2</v>
      </c>
      <c r="X165" s="24" t="s">
        <v>82</v>
      </c>
      <c r="Y165" s="28">
        <v>43931</v>
      </c>
      <c r="Z165" s="28">
        <v>43931</v>
      </c>
      <c r="AA165" s="28">
        <v>43931</v>
      </c>
      <c r="AB165" s="28">
        <v>43931</v>
      </c>
      <c r="AC165" s="28" t="s">
        <v>204</v>
      </c>
      <c r="AD165" s="121"/>
      <c r="AE165" s="121"/>
      <c r="AF165" s="55">
        <v>1</v>
      </c>
      <c r="AG165" s="55">
        <v>1</v>
      </c>
      <c r="AH165" s="55" t="s">
        <v>219</v>
      </c>
      <c r="AI165" s="24"/>
      <c r="AJ165" s="24"/>
      <c r="AK165" s="24"/>
    </row>
    <row r="166" spans="2:37" x14ac:dyDescent="0.25">
      <c r="B166" s="109">
        <v>192</v>
      </c>
      <c r="C166" s="25">
        <v>20200409</v>
      </c>
      <c r="D166" s="24" t="s">
        <v>2</v>
      </c>
      <c r="E166" s="24" t="s">
        <v>866</v>
      </c>
      <c r="F166" s="26" t="s">
        <v>70</v>
      </c>
      <c r="G166" s="26" t="s">
        <v>70</v>
      </c>
      <c r="H166" s="24" t="s">
        <v>863</v>
      </c>
      <c r="I166" s="24" t="s">
        <v>334</v>
      </c>
      <c r="J166" s="24"/>
      <c r="K166" s="24"/>
      <c r="L166" s="26">
        <v>1.4</v>
      </c>
      <c r="M166" s="26" t="s">
        <v>867</v>
      </c>
      <c r="N166" s="27" t="s">
        <v>873</v>
      </c>
      <c r="O166" s="100" t="s">
        <v>70</v>
      </c>
      <c r="P166" s="24" t="s">
        <v>75</v>
      </c>
      <c r="Q166" s="24"/>
      <c r="R166" s="24"/>
      <c r="S166" s="24"/>
      <c r="T166" s="24">
        <f>ROUND(IF(D166=Table!$C$3,V166*Table!$C$4/8,V166*Table!$D$4/8),3)</f>
        <v>24.375</v>
      </c>
      <c r="U166" s="24">
        <f>T166</f>
        <v>24.375</v>
      </c>
      <c r="V166" s="24">
        <v>1.5</v>
      </c>
      <c r="W166" s="24">
        <v>2</v>
      </c>
      <c r="X166" s="24" t="s">
        <v>82</v>
      </c>
      <c r="Y166" s="28">
        <v>43931</v>
      </c>
      <c r="Z166" s="28">
        <v>43931</v>
      </c>
      <c r="AA166" s="28">
        <v>43931</v>
      </c>
      <c r="AB166" s="28">
        <v>43931</v>
      </c>
      <c r="AC166" s="28" t="s">
        <v>204</v>
      </c>
      <c r="AD166" s="121"/>
      <c r="AE166" s="121"/>
      <c r="AF166" s="55">
        <v>1</v>
      </c>
      <c r="AG166" s="55">
        <v>1</v>
      </c>
      <c r="AH166" s="55" t="s">
        <v>219</v>
      </c>
      <c r="AI166" s="24"/>
      <c r="AJ166" s="24"/>
      <c r="AK166" s="24"/>
    </row>
    <row r="167" spans="2:37" x14ac:dyDescent="0.25">
      <c r="B167" s="109">
        <v>193</v>
      </c>
      <c r="C167" s="25">
        <v>20200409</v>
      </c>
      <c r="D167" s="24" t="s">
        <v>2</v>
      </c>
      <c r="E167" s="24" t="s">
        <v>866</v>
      </c>
      <c r="F167" s="26" t="s">
        <v>70</v>
      </c>
      <c r="G167" s="26" t="s">
        <v>70</v>
      </c>
      <c r="H167" s="24" t="s">
        <v>864</v>
      </c>
      <c r="I167" s="24" t="s">
        <v>334</v>
      </c>
      <c r="J167" s="24"/>
      <c r="K167" s="24"/>
      <c r="L167" s="26">
        <v>1.1000000000000001</v>
      </c>
      <c r="M167" s="26" t="s">
        <v>867</v>
      </c>
      <c r="N167" s="27" t="s">
        <v>874</v>
      </c>
      <c r="O167" s="100" t="s">
        <v>70</v>
      </c>
      <c r="P167" s="24" t="s">
        <v>6</v>
      </c>
      <c r="Q167" s="24"/>
      <c r="R167" s="24"/>
      <c r="S167" s="24"/>
      <c r="T167" s="24">
        <f>ROUND(IF(D167=Table!$C$3,V167*Table!$C$4/8,V167*Table!$D$4/8),3)</f>
        <v>24.375</v>
      </c>
      <c r="U167" s="24">
        <f>T167</f>
        <v>24.375</v>
      </c>
      <c r="V167" s="24">
        <v>1.5</v>
      </c>
      <c r="W167" s="24">
        <v>1</v>
      </c>
      <c r="X167" s="24" t="s">
        <v>82</v>
      </c>
      <c r="Y167" s="28">
        <v>43931</v>
      </c>
      <c r="Z167" s="28">
        <v>43931</v>
      </c>
      <c r="AA167" s="28">
        <v>43931</v>
      </c>
      <c r="AB167" s="28">
        <v>43931</v>
      </c>
      <c r="AC167" s="28" t="s">
        <v>204</v>
      </c>
      <c r="AD167" s="121"/>
      <c r="AE167" s="121"/>
      <c r="AF167" s="55">
        <v>1</v>
      </c>
      <c r="AG167" s="55">
        <v>1</v>
      </c>
      <c r="AH167" s="55" t="s">
        <v>219</v>
      </c>
      <c r="AI167" s="24"/>
      <c r="AJ167" s="24"/>
      <c r="AK167" s="24"/>
    </row>
    <row r="168" spans="2:37" x14ac:dyDescent="0.25">
      <c r="B168" s="109">
        <v>194</v>
      </c>
      <c r="C168" s="25">
        <v>20200409</v>
      </c>
      <c r="D168" s="24" t="s">
        <v>2</v>
      </c>
      <c r="E168" s="24" t="s">
        <v>866</v>
      </c>
      <c r="F168" s="26" t="s">
        <v>70</v>
      </c>
      <c r="G168" s="26" t="s">
        <v>70</v>
      </c>
      <c r="H168" s="24" t="s">
        <v>865</v>
      </c>
      <c r="I168" s="24" t="s">
        <v>334</v>
      </c>
      <c r="J168" s="24"/>
      <c r="K168" s="24"/>
      <c r="L168" s="26">
        <v>1.7</v>
      </c>
      <c r="M168" s="26" t="s">
        <v>867</v>
      </c>
      <c r="N168" s="27" t="s">
        <v>875</v>
      </c>
      <c r="O168" s="100" t="s">
        <v>70</v>
      </c>
      <c r="P168" s="24" t="s">
        <v>73</v>
      </c>
      <c r="Q168" s="24"/>
      <c r="R168" s="24"/>
      <c r="S168" s="24"/>
      <c r="T168" s="24">
        <f>ROUND(IF(D168=Table!$C$3,V168*Table!$C$4/8,V168*Table!$D$4/8),3)</f>
        <v>24.375</v>
      </c>
      <c r="U168" s="24">
        <f>T168</f>
        <v>24.375</v>
      </c>
      <c r="V168" s="24">
        <v>1.5</v>
      </c>
      <c r="W168" s="24">
        <f>V168</f>
        <v>1.5</v>
      </c>
      <c r="X168" s="24" t="s">
        <v>82</v>
      </c>
      <c r="Y168" s="28">
        <v>43931</v>
      </c>
      <c r="Z168" s="28">
        <v>43931</v>
      </c>
      <c r="AA168" s="28">
        <v>43931</v>
      </c>
      <c r="AB168" s="28">
        <v>43931</v>
      </c>
      <c r="AC168" s="28" t="s">
        <v>204</v>
      </c>
      <c r="AD168" s="121"/>
      <c r="AE168" s="121"/>
      <c r="AF168" s="55">
        <v>1</v>
      </c>
      <c r="AG168" s="55">
        <v>1</v>
      </c>
      <c r="AH168" s="55" t="s">
        <v>219</v>
      </c>
      <c r="AI168" s="24"/>
      <c r="AJ168" s="24"/>
      <c r="AK168" s="24"/>
    </row>
    <row r="169" spans="2:37" x14ac:dyDescent="0.25">
      <c r="B169" s="110">
        <v>195</v>
      </c>
      <c r="C169" s="25">
        <v>20200409</v>
      </c>
      <c r="D169" s="24" t="s">
        <v>2</v>
      </c>
      <c r="E169" s="24" t="s">
        <v>876</v>
      </c>
      <c r="F169" s="26"/>
      <c r="G169" s="24" t="s">
        <v>677</v>
      </c>
      <c r="H169" s="24" t="s">
        <v>878</v>
      </c>
      <c r="I169" s="24" t="s">
        <v>334</v>
      </c>
      <c r="J169" s="24"/>
      <c r="K169" s="24"/>
      <c r="L169" s="26" t="s">
        <v>879</v>
      </c>
      <c r="M169" s="26" t="s">
        <v>877</v>
      </c>
      <c r="N169" s="27" t="s">
        <v>881</v>
      </c>
      <c r="O169" s="25" t="s">
        <v>202</v>
      </c>
      <c r="P169" s="24" t="s">
        <v>73</v>
      </c>
      <c r="Q169" s="24"/>
      <c r="R169" s="24"/>
      <c r="S169" s="24"/>
      <c r="T169" s="24">
        <f>ROUND(IF(D169=Table!$C$3,V169*Table!$C$4/8,V169*Table!$D$4/8),3)</f>
        <v>52</v>
      </c>
      <c r="U169" s="24">
        <f>T169</f>
        <v>52</v>
      </c>
      <c r="V169" s="24">
        <v>3.2</v>
      </c>
      <c r="W169" s="24">
        <f>V169</f>
        <v>3.2</v>
      </c>
      <c r="X169" s="24" t="s">
        <v>82</v>
      </c>
      <c r="Y169" s="28">
        <v>43931</v>
      </c>
      <c r="Z169" s="28">
        <v>43931</v>
      </c>
      <c r="AA169" s="28">
        <v>43931</v>
      </c>
      <c r="AB169" s="28">
        <v>43931</v>
      </c>
      <c r="AC169" s="28" t="s">
        <v>204</v>
      </c>
      <c r="AD169" s="121"/>
      <c r="AE169" s="121"/>
      <c r="AF169" s="55">
        <v>1</v>
      </c>
      <c r="AG169" s="55">
        <v>1</v>
      </c>
      <c r="AH169" s="55">
        <v>1</v>
      </c>
      <c r="AI169" s="24"/>
      <c r="AJ169" s="24"/>
      <c r="AK169" s="24"/>
    </row>
    <row r="170" spans="2:37" x14ac:dyDescent="0.25">
      <c r="B170" s="30"/>
      <c r="C170" s="25"/>
      <c r="D170" s="24"/>
      <c r="E170" s="24"/>
      <c r="F170" s="26"/>
      <c r="G170" s="24"/>
      <c r="H170" s="24"/>
      <c r="I170" s="24"/>
      <c r="J170" s="24"/>
      <c r="K170" s="24"/>
      <c r="L170" s="26"/>
      <c r="M170" s="26"/>
      <c r="N170" s="27"/>
      <c r="O170" s="25"/>
      <c r="P170" s="24"/>
      <c r="Q170" s="24"/>
      <c r="R170" s="24"/>
      <c r="S170" s="24"/>
      <c r="T170" s="24"/>
      <c r="U170" s="24"/>
      <c r="V170" s="24"/>
      <c r="W170" s="24"/>
      <c r="X170" s="24"/>
      <c r="Y170" s="28"/>
      <c r="Z170" s="28"/>
      <c r="AA170" s="28"/>
      <c r="AB170" s="28"/>
      <c r="AC170" s="28"/>
      <c r="AD170" s="121"/>
      <c r="AE170" s="121"/>
      <c r="AF170" s="55"/>
      <c r="AG170" s="55"/>
      <c r="AH170" s="55"/>
      <c r="AI170" s="24"/>
      <c r="AJ170" s="24"/>
      <c r="AK170" s="24"/>
    </row>
    <row r="171" spans="2:37" x14ac:dyDescent="0.25">
      <c r="B171" s="30"/>
      <c r="C171" s="25"/>
      <c r="D171" s="24"/>
      <c r="E171" s="24"/>
      <c r="F171" s="26"/>
      <c r="G171" s="24"/>
      <c r="H171" s="24"/>
      <c r="I171" s="24"/>
      <c r="J171" s="24"/>
      <c r="K171" s="24"/>
      <c r="L171" s="26"/>
      <c r="M171" s="26"/>
      <c r="N171" s="27"/>
      <c r="O171" s="25"/>
      <c r="P171" s="24"/>
      <c r="Q171" s="24"/>
      <c r="R171" s="24"/>
      <c r="S171" s="24"/>
      <c r="T171" s="24"/>
      <c r="U171" s="24"/>
      <c r="V171" s="24"/>
      <c r="W171" s="24"/>
      <c r="X171" s="24"/>
      <c r="Y171" s="28"/>
      <c r="Z171" s="28"/>
      <c r="AA171" s="28"/>
      <c r="AB171" s="28"/>
      <c r="AC171" s="28"/>
      <c r="AD171" s="121"/>
      <c r="AE171" s="121"/>
      <c r="AF171" s="55"/>
      <c r="AG171" s="55"/>
      <c r="AH171" s="55"/>
      <c r="AI171" s="24"/>
      <c r="AJ171" s="24"/>
      <c r="AK171" s="24"/>
    </row>
    <row r="172" spans="2:37" x14ac:dyDescent="0.25">
      <c r="B172" s="30"/>
      <c r="C172" s="25"/>
      <c r="D172" s="24"/>
      <c r="E172" s="24"/>
      <c r="F172" s="26"/>
      <c r="G172" s="24"/>
      <c r="H172" s="24"/>
      <c r="I172" s="24"/>
      <c r="J172" s="24"/>
      <c r="K172" s="24"/>
      <c r="L172" s="26"/>
      <c r="M172" s="26"/>
      <c r="N172" s="27"/>
      <c r="O172" s="25"/>
      <c r="P172" s="24"/>
      <c r="Q172" s="24"/>
      <c r="R172" s="24"/>
      <c r="S172" s="24"/>
      <c r="T172" s="24"/>
      <c r="U172" s="24"/>
      <c r="V172" s="24"/>
      <c r="W172" s="24"/>
      <c r="X172" s="24"/>
      <c r="Y172" s="28"/>
      <c r="Z172" s="28"/>
      <c r="AA172" s="28"/>
      <c r="AB172" s="28"/>
      <c r="AC172" s="28"/>
      <c r="AD172" s="121"/>
      <c r="AE172" s="121"/>
      <c r="AF172" s="55"/>
      <c r="AG172" s="55"/>
      <c r="AH172" s="55"/>
      <c r="AI172" s="24"/>
      <c r="AJ172" s="24"/>
      <c r="AK172" s="24"/>
    </row>
    <row r="173" spans="2:37" x14ac:dyDescent="0.25">
      <c r="B173" s="30"/>
      <c r="C173" s="25"/>
      <c r="D173" s="24"/>
      <c r="E173" s="24"/>
      <c r="F173" s="26"/>
      <c r="G173" s="24"/>
      <c r="H173" s="24"/>
      <c r="I173" s="24"/>
      <c r="J173" s="24"/>
      <c r="K173" s="24"/>
      <c r="L173" s="26"/>
      <c r="M173" s="26"/>
      <c r="N173" s="27"/>
      <c r="O173" s="25"/>
      <c r="P173" s="24"/>
      <c r="Q173" s="24"/>
      <c r="R173" s="24"/>
      <c r="S173" s="24"/>
      <c r="T173" s="24"/>
      <c r="U173" s="24"/>
      <c r="V173" s="24"/>
      <c r="W173" s="24"/>
      <c r="X173" s="24"/>
      <c r="Y173" s="28"/>
      <c r="Z173" s="28"/>
      <c r="AA173" s="28"/>
      <c r="AB173" s="28"/>
      <c r="AC173" s="28"/>
      <c r="AD173" s="121"/>
      <c r="AE173" s="121"/>
      <c r="AF173" s="55"/>
      <c r="AG173" s="55"/>
      <c r="AH173" s="55"/>
      <c r="AI173" s="24"/>
      <c r="AJ173" s="24"/>
      <c r="AK173" s="24"/>
    </row>
    <row r="174" spans="2:37" x14ac:dyDescent="0.25">
      <c r="B174" s="30"/>
      <c r="C174" s="25"/>
      <c r="D174" s="24"/>
      <c r="E174" s="24"/>
      <c r="F174" s="26"/>
      <c r="G174" s="24"/>
      <c r="H174" s="24"/>
      <c r="I174" s="24"/>
      <c r="J174" s="24"/>
      <c r="K174" s="24"/>
      <c r="L174" s="26"/>
      <c r="M174" s="26"/>
      <c r="N174" s="27"/>
      <c r="O174" s="25"/>
      <c r="P174" s="24"/>
      <c r="Q174" s="24"/>
      <c r="R174" s="24"/>
      <c r="S174" s="24"/>
      <c r="T174" s="24"/>
      <c r="U174" s="24"/>
      <c r="V174" s="24"/>
      <c r="W174" s="24"/>
      <c r="X174" s="24"/>
      <c r="Y174" s="28"/>
      <c r="Z174" s="28"/>
      <c r="AA174" s="28"/>
      <c r="AB174" s="28"/>
      <c r="AC174" s="28"/>
      <c r="AD174" s="121"/>
      <c r="AE174" s="121"/>
      <c r="AF174" s="55"/>
      <c r="AG174" s="55"/>
      <c r="AH174" s="55"/>
      <c r="AI174" s="24"/>
      <c r="AJ174" s="24"/>
      <c r="AK174" s="24"/>
    </row>
    <row r="175" spans="2:37" x14ac:dyDescent="0.25">
      <c r="B175" s="30"/>
      <c r="C175" s="25"/>
      <c r="D175" s="24"/>
      <c r="E175" s="24"/>
      <c r="F175" s="26"/>
      <c r="G175" s="24"/>
      <c r="H175" s="24"/>
      <c r="I175" s="24"/>
      <c r="J175" s="24"/>
      <c r="K175" s="24"/>
      <c r="L175" s="26"/>
      <c r="M175" s="26"/>
      <c r="N175" s="27"/>
      <c r="O175" s="25"/>
      <c r="P175" s="24"/>
      <c r="Q175" s="24"/>
      <c r="R175" s="24"/>
      <c r="S175" s="24"/>
      <c r="T175" s="24"/>
      <c r="U175" s="24"/>
      <c r="V175" s="24"/>
      <c r="W175" s="24"/>
      <c r="X175" s="24"/>
      <c r="Y175" s="28"/>
      <c r="Z175" s="28"/>
      <c r="AA175" s="28"/>
      <c r="AB175" s="28"/>
      <c r="AC175" s="28"/>
      <c r="AD175" s="121"/>
      <c r="AE175" s="121"/>
      <c r="AF175" s="55"/>
      <c r="AG175" s="55"/>
      <c r="AH175" s="55"/>
      <c r="AI175" s="24"/>
      <c r="AJ175" s="24"/>
      <c r="AK175" s="24"/>
    </row>
    <row r="176" spans="2:37" x14ac:dyDescent="0.25">
      <c r="B176" s="30"/>
      <c r="C176" s="25"/>
      <c r="D176" s="24"/>
      <c r="E176" s="24"/>
      <c r="F176" s="26"/>
      <c r="G176" s="24"/>
      <c r="H176" s="24"/>
      <c r="I176" s="24"/>
      <c r="J176" s="24"/>
      <c r="K176" s="24"/>
      <c r="L176" s="26"/>
      <c r="M176" s="26"/>
      <c r="N176" s="27"/>
      <c r="O176" s="25"/>
      <c r="P176" s="24"/>
      <c r="Q176" s="24"/>
      <c r="R176" s="24"/>
      <c r="S176" s="24"/>
      <c r="T176" s="24"/>
      <c r="U176" s="24"/>
      <c r="V176" s="24"/>
      <c r="W176" s="24"/>
      <c r="X176" s="24"/>
      <c r="Y176" s="28"/>
      <c r="Z176" s="28"/>
      <c r="AA176" s="28"/>
      <c r="AB176" s="28"/>
      <c r="AC176" s="28"/>
      <c r="AD176" s="121"/>
      <c r="AE176" s="121"/>
      <c r="AF176" s="55"/>
      <c r="AG176" s="55"/>
      <c r="AH176" s="55"/>
      <c r="AI176" s="24"/>
      <c r="AJ176" s="24"/>
      <c r="AK176" s="24"/>
    </row>
    <row r="177" spans="2:36" x14ac:dyDescent="0.25">
      <c r="B177" s="30"/>
      <c r="C177" s="25"/>
      <c r="D177" s="24"/>
      <c r="E177" s="24"/>
      <c r="F177" s="26"/>
      <c r="G177" s="24"/>
      <c r="H177" s="24"/>
      <c r="I177" s="24"/>
      <c r="J177" s="24"/>
      <c r="K177" s="24"/>
      <c r="L177" s="26"/>
      <c r="M177" s="26"/>
      <c r="N177" s="27"/>
      <c r="O177" s="25"/>
      <c r="P177" s="24"/>
      <c r="Q177" s="24"/>
      <c r="R177" s="24"/>
      <c r="S177" s="24"/>
      <c r="T177" s="3"/>
      <c r="U177" s="24"/>
      <c r="V177" s="24"/>
      <c r="W177" s="24"/>
      <c r="X177" s="24"/>
      <c r="Y177" s="28"/>
      <c r="Z177" s="28"/>
      <c r="AA177" s="28"/>
      <c r="AB177" s="28"/>
      <c r="AC177" s="28"/>
      <c r="AD177" s="121"/>
      <c r="AE177" s="121"/>
      <c r="AF177" s="55"/>
      <c r="AG177" s="55"/>
      <c r="AH177" s="55"/>
      <c r="AI177" s="24"/>
      <c r="AJ177" s="24"/>
    </row>
    <row r="178" spans="2:36" x14ac:dyDescent="0.25">
      <c r="B178" s="30"/>
      <c r="C178" s="25"/>
      <c r="D178" s="24"/>
      <c r="E178" s="24"/>
      <c r="F178" s="26"/>
      <c r="G178" s="24"/>
      <c r="H178" s="24"/>
      <c r="I178" s="24"/>
      <c r="J178" s="24"/>
      <c r="K178" s="24"/>
      <c r="L178" s="26"/>
      <c r="M178" s="26"/>
      <c r="N178" s="27"/>
      <c r="O178" s="25"/>
      <c r="P178" s="24"/>
      <c r="Q178" s="24"/>
      <c r="R178" s="24"/>
      <c r="S178" s="24"/>
      <c r="T178" s="3"/>
      <c r="U178" s="24"/>
      <c r="V178" s="24"/>
      <c r="W178" s="24"/>
      <c r="X178" s="24"/>
      <c r="Y178" s="28"/>
      <c r="Z178" s="28"/>
      <c r="AA178" s="28"/>
      <c r="AB178" s="28"/>
      <c r="AC178" s="28"/>
      <c r="AD178" s="121"/>
      <c r="AE178" s="121"/>
      <c r="AF178" s="55"/>
      <c r="AG178" s="55"/>
      <c r="AH178" s="55"/>
      <c r="AI178" s="24"/>
      <c r="AJ178" s="24"/>
    </row>
    <row r="179" spans="2:36" x14ac:dyDescent="0.25">
      <c r="B179" s="30"/>
      <c r="C179" s="25"/>
      <c r="D179" s="24"/>
      <c r="E179" s="24"/>
      <c r="F179" s="26"/>
      <c r="G179" s="24"/>
      <c r="H179" s="24"/>
      <c r="I179" s="24"/>
      <c r="J179" s="24"/>
      <c r="K179" s="24"/>
      <c r="L179" s="26"/>
      <c r="M179" s="26"/>
      <c r="N179" s="27"/>
      <c r="O179" s="25"/>
      <c r="P179" s="24"/>
      <c r="Q179" s="24"/>
      <c r="R179" s="24"/>
      <c r="S179" s="24"/>
      <c r="T179" s="3"/>
      <c r="U179" s="24"/>
      <c r="V179" s="24"/>
      <c r="W179" s="24"/>
      <c r="X179" s="24"/>
      <c r="Y179" s="28"/>
      <c r="Z179" s="28"/>
      <c r="AA179" s="28"/>
      <c r="AB179" s="28"/>
      <c r="AC179" s="28"/>
      <c r="AD179" s="121"/>
      <c r="AE179" s="121"/>
      <c r="AF179" s="55"/>
      <c r="AG179" s="55"/>
      <c r="AH179" s="55"/>
      <c r="AI179" s="24"/>
      <c r="AJ179" s="24"/>
    </row>
    <row r="180" spans="2:36" x14ac:dyDescent="0.25">
      <c r="B180" s="30"/>
      <c r="C180" s="25"/>
      <c r="D180" s="24"/>
      <c r="E180" s="24"/>
      <c r="F180" s="26"/>
      <c r="G180" s="24"/>
      <c r="H180" s="24"/>
      <c r="I180" s="24"/>
      <c r="J180" s="24"/>
      <c r="K180" s="24"/>
      <c r="L180" s="26"/>
      <c r="M180" s="26"/>
      <c r="N180" s="27"/>
      <c r="O180" s="25"/>
      <c r="P180" s="24"/>
      <c r="Q180" s="24"/>
      <c r="R180" s="24"/>
      <c r="S180" s="24"/>
      <c r="T180" s="3"/>
      <c r="U180" s="24"/>
      <c r="V180" s="24"/>
      <c r="W180" s="24"/>
      <c r="X180" s="24"/>
      <c r="Y180" s="28"/>
      <c r="Z180" s="28"/>
      <c r="AA180" s="28"/>
      <c r="AB180" s="28"/>
      <c r="AC180" s="28"/>
      <c r="AD180" s="121"/>
      <c r="AE180" s="121"/>
      <c r="AF180" s="55"/>
      <c r="AG180" s="55"/>
      <c r="AH180" s="55"/>
      <c r="AI180" s="24"/>
      <c r="AJ180" s="24"/>
    </row>
    <row r="181" spans="2:36" x14ac:dyDescent="0.25">
      <c r="B181" s="30"/>
      <c r="C181" s="25"/>
      <c r="D181" s="24"/>
      <c r="E181" s="24"/>
      <c r="F181" s="26"/>
      <c r="G181" s="24"/>
      <c r="H181" s="24"/>
      <c r="I181" s="24"/>
      <c r="J181" s="24"/>
      <c r="K181" s="24"/>
      <c r="L181" s="26"/>
      <c r="M181" s="26"/>
      <c r="N181" s="27"/>
      <c r="O181" s="25"/>
      <c r="P181" s="24"/>
      <c r="Q181" s="24"/>
      <c r="R181" s="24"/>
      <c r="S181" s="24"/>
      <c r="T181" s="3"/>
      <c r="U181" s="24"/>
      <c r="V181" s="24"/>
      <c r="W181" s="24"/>
      <c r="X181" s="24"/>
      <c r="Y181" s="28"/>
      <c r="Z181" s="28"/>
      <c r="AA181" s="28"/>
      <c r="AB181" s="28"/>
      <c r="AC181" s="28"/>
      <c r="AD181" s="121"/>
      <c r="AE181" s="121"/>
      <c r="AF181" s="55"/>
      <c r="AG181" s="55"/>
      <c r="AH181" s="55"/>
      <c r="AI181" s="24"/>
      <c r="AJ181" s="24"/>
    </row>
    <row r="182" spans="2:36" x14ac:dyDescent="0.25">
      <c r="B182" s="30"/>
      <c r="C182" s="25"/>
      <c r="D182" s="24"/>
      <c r="E182" s="24"/>
      <c r="F182" s="26"/>
      <c r="G182" s="24"/>
      <c r="H182" s="24"/>
      <c r="I182" s="24"/>
      <c r="J182" s="24"/>
      <c r="K182" s="24"/>
      <c r="L182" s="26"/>
      <c r="M182" s="26"/>
      <c r="N182" s="27"/>
      <c r="O182" s="25"/>
      <c r="P182" s="24"/>
      <c r="Q182" s="24"/>
      <c r="R182" s="24"/>
      <c r="S182" s="24"/>
      <c r="T182" s="3"/>
      <c r="U182" s="24"/>
      <c r="V182" s="24"/>
      <c r="W182" s="24"/>
      <c r="X182" s="24"/>
      <c r="Y182" s="28"/>
      <c r="Z182" s="28"/>
      <c r="AA182" s="28"/>
      <c r="AB182" s="28"/>
      <c r="AC182" s="28"/>
      <c r="AD182" s="121"/>
      <c r="AE182" s="121"/>
      <c r="AF182" s="55"/>
      <c r="AG182" s="55"/>
      <c r="AH182" s="55"/>
      <c r="AI182" s="24"/>
      <c r="AJ182" s="24"/>
    </row>
    <row r="183" spans="2:36" x14ac:dyDescent="0.25">
      <c r="B183" s="30"/>
      <c r="C183" s="25"/>
      <c r="D183" s="24"/>
      <c r="E183" s="24"/>
      <c r="F183" s="26"/>
      <c r="G183" s="24"/>
      <c r="H183" s="24"/>
      <c r="I183" s="24"/>
      <c r="J183" s="24"/>
      <c r="K183" s="24"/>
      <c r="L183" s="26"/>
      <c r="M183" s="26"/>
      <c r="N183" s="27"/>
      <c r="O183" s="25"/>
      <c r="P183" s="24"/>
      <c r="Q183" s="24"/>
      <c r="R183" s="24"/>
      <c r="S183" s="24"/>
      <c r="T183" s="3"/>
      <c r="U183" s="24"/>
      <c r="V183" s="24"/>
      <c r="W183" s="24"/>
      <c r="X183" s="24"/>
      <c r="Y183" s="28"/>
      <c r="Z183" s="28"/>
      <c r="AA183" s="28"/>
      <c r="AB183" s="28"/>
      <c r="AC183" s="28"/>
      <c r="AD183" s="121"/>
      <c r="AE183" s="121"/>
      <c r="AF183" s="55"/>
      <c r="AG183" s="55"/>
      <c r="AH183" s="55"/>
      <c r="AI183" s="24"/>
      <c r="AJ183" s="24"/>
    </row>
    <row r="184" spans="2:36" x14ac:dyDescent="0.25">
      <c r="B184" s="30"/>
      <c r="C184" s="25"/>
      <c r="D184" s="24"/>
      <c r="E184" s="24"/>
      <c r="F184" s="26"/>
      <c r="G184" s="24"/>
      <c r="H184" s="24"/>
      <c r="I184" s="24"/>
      <c r="J184" s="24"/>
      <c r="K184" s="24"/>
      <c r="L184" s="26"/>
      <c r="M184" s="26"/>
      <c r="N184" s="27"/>
      <c r="O184" s="25"/>
      <c r="P184" s="24"/>
      <c r="Q184" s="24"/>
      <c r="R184" s="24"/>
      <c r="S184" s="24"/>
      <c r="T184" s="3"/>
      <c r="U184" s="24"/>
      <c r="V184" s="24"/>
      <c r="W184" s="24"/>
      <c r="X184" s="24"/>
      <c r="Y184" s="28"/>
      <c r="Z184" s="28"/>
      <c r="AA184" s="28"/>
      <c r="AB184" s="28"/>
      <c r="AC184" s="28"/>
      <c r="AD184" s="121"/>
      <c r="AE184" s="121"/>
      <c r="AF184" s="55"/>
      <c r="AG184" s="55"/>
      <c r="AH184" s="55"/>
      <c r="AI184" s="24"/>
      <c r="AJ184" s="24"/>
    </row>
    <row r="185" spans="2:36" x14ac:dyDescent="0.25">
      <c r="B185" s="30"/>
      <c r="C185" s="25"/>
      <c r="D185" s="24"/>
      <c r="E185" s="24"/>
      <c r="F185" s="26"/>
      <c r="G185" s="24"/>
      <c r="H185" s="24"/>
      <c r="I185" s="24"/>
      <c r="J185" s="24"/>
      <c r="K185" s="24"/>
      <c r="L185" s="26"/>
      <c r="M185" s="26"/>
      <c r="N185" s="27"/>
      <c r="O185" s="25"/>
      <c r="P185" s="24"/>
      <c r="Q185" s="24"/>
      <c r="R185" s="24"/>
      <c r="S185" s="24"/>
      <c r="T185" s="3"/>
      <c r="U185" s="24"/>
      <c r="V185" s="24"/>
      <c r="W185" s="24"/>
      <c r="X185" s="24"/>
      <c r="Y185" s="28"/>
      <c r="Z185" s="28"/>
      <c r="AA185" s="28"/>
      <c r="AB185" s="28"/>
      <c r="AC185" s="28"/>
      <c r="AD185" s="121"/>
      <c r="AE185" s="121"/>
      <c r="AF185" s="55"/>
      <c r="AG185" s="55"/>
      <c r="AH185" s="55"/>
      <c r="AI185" s="24"/>
      <c r="AJ185" s="24"/>
    </row>
    <row r="186" spans="2:36" x14ac:dyDescent="0.25">
      <c r="B186" s="30"/>
      <c r="C186" s="25"/>
      <c r="D186" s="24"/>
      <c r="E186" s="24"/>
      <c r="F186" s="26"/>
      <c r="G186" s="24"/>
      <c r="H186" s="24"/>
      <c r="I186" s="24"/>
      <c r="J186" s="24"/>
      <c r="K186" s="24"/>
      <c r="L186" s="26"/>
      <c r="M186" s="26"/>
      <c r="N186" s="27"/>
      <c r="O186" s="25"/>
      <c r="P186" s="24"/>
      <c r="Q186" s="24"/>
      <c r="R186" s="24"/>
      <c r="S186" s="24"/>
      <c r="T186" s="3"/>
      <c r="U186" s="24"/>
      <c r="V186" s="24"/>
      <c r="W186" s="24"/>
      <c r="X186" s="24"/>
      <c r="Y186" s="28"/>
      <c r="Z186" s="28"/>
      <c r="AA186" s="28"/>
      <c r="AB186" s="28"/>
      <c r="AC186" s="28"/>
      <c r="AD186" s="121"/>
      <c r="AE186" s="121"/>
      <c r="AF186" s="55"/>
      <c r="AG186" s="55"/>
      <c r="AH186" s="55"/>
      <c r="AI186" s="24"/>
      <c r="AJ186" s="24"/>
    </row>
    <row r="187" spans="2:36" x14ac:dyDescent="0.25">
      <c r="B187" s="30"/>
      <c r="C187" s="25"/>
      <c r="D187" s="24"/>
      <c r="E187" s="24"/>
      <c r="F187" s="26"/>
      <c r="G187" s="24"/>
      <c r="H187" s="24"/>
      <c r="I187" s="24"/>
      <c r="J187" s="24"/>
      <c r="K187" s="24"/>
      <c r="L187" s="26"/>
      <c r="M187" s="26"/>
      <c r="N187" s="27"/>
      <c r="O187" s="25"/>
      <c r="P187" s="24"/>
      <c r="Q187" s="24"/>
      <c r="R187" s="24"/>
      <c r="S187" s="24"/>
      <c r="T187" s="3"/>
      <c r="U187" s="24"/>
      <c r="V187" s="24"/>
      <c r="W187" s="24"/>
      <c r="X187" s="24"/>
      <c r="Y187" s="28"/>
      <c r="Z187" s="28"/>
      <c r="AA187" s="28"/>
      <c r="AB187" s="28"/>
      <c r="AC187" s="28"/>
      <c r="AD187" s="121"/>
      <c r="AE187" s="121"/>
      <c r="AF187" s="55"/>
      <c r="AG187" s="55"/>
      <c r="AH187" s="55"/>
      <c r="AI187" s="24"/>
      <c r="AJ187" s="24"/>
    </row>
    <row r="188" spans="2:36" x14ac:dyDescent="0.25">
      <c r="B188" s="30"/>
      <c r="C188" s="25"/>
      <c r="D188" s="24"/>
      <c r="E188" s="24"/>
      <c r="F188" s="26"/>
      <c r="G188" s="24"/>
      <c r="H188" s="24"/>
      <c r="I188" s="24"/>
      <c r="J188" s="24"/>
      <c r="K188" s="24"/>
      <c r="L188" s="26"/>
      <c r="M188" s="26"/>
      <c r="N188" s="27"/>
      <c r="O188" s="25"/>
      <c r="P188" s="24"/>
      <c r="Q188" s="24"/>
      <c r="R188" s="24"/>
      <c r="S188" s="24"/>
      <c r="T188" s="3"/>
      <c r="U188" s="24"/>
      <c r="V188" s="24"/>
      <c r="W188" s="24"/>
      <c r="X188" s="24"/>
      <c r="Y188" s="28"/>
      <c r="Z188" s="28"/>
      <c r="AA188" s="28"/>
      <c r="AB188" s="28"/>
      <c r="AC188" s="28"/>
      <c r="AD188" s="121"/>
      <c r="AE188" s="121"/>
      <c r="AF188" s="55"/>
      <c r="AG188" s="55"/>
      <c r="AH188" s="55"/>
      <c r="AI188" s="24"/>
      <c r="AJ188" s="24"/>
    </row>
    <row r="189" spans="2:36" x14ac:dyDescent="0.25">
      <c r="B189" s="30"/>
      <c r="C189" s="25"/>
      <c r="D189" s="24"/>
      <c r="E189" s="24"/>
      <c r="F189" s="26"/>
      <c r="G189" s="24"/>
      <c r="H189" s="24"/>
      <c r="I189" s="24"/>
      <c r="J189" s="24"/>
      <c r="K189" s="24"/>
      <c r="L189" s="26"/>
      <c r="M189" s="26"/>
      <c r="N189" s="27"/>
      <c r="O189" s="25"/>
      <c r="P189" s="24"/>
      <c r="Q189" s="24"/>
      <c r="R189" s="24"/>
      <c r="S189" s="24"/>
      <c r="T189" s="3"/>
      <c r="U189" s="24"/>
      <c r="V189" s="24"/>
      <c r="W189" s="24"/>
      <c r="X189" s="24"/>
      <c r="Y189" s="28"/>
      <c r="Z189" s="28"/>
      <c r="AA189" s="28"/>
      <c r="AB189" s="28"/>
      <c r="AC189" s="28"/>
      <c r="AD189" s="121"/>
      <c r="AE189" s="121"/>
      <c r="AF189" s="55"/>
      <c r="AG189" s="55"/>
      <c r="AH189" s="55"/>
      <c r="AI189" s="24"/>
      <c r="AJ189" s="24"/>
    </row>
    <row r="190" spans="2:36" x14ac:dyDescent="0.25">
      <c r="B190" s="30"/>
      <c r="C190" s="25"/>
      <c r="D190" s="24"/>
      <c r="E190" s="24"/>
      <c r="F190" s="26"/>
      <c r="G190" s="24"/>
      <c r="H190" s="24"/>
      <c r="I190" s="24"/>
      <c r="J190" s="24"/>
      <c r="K190" s="24"/>
      <c r="L190" s="26"/>
      <c r="M190" s="26"/>
      <c r="N190" s="27"/>
      <c r="O190" s="25"/>
      <c r="P190" s="24"/>
      <c r="Q190" s="24"/>
      <c r="R190" s="24"/>
      <c r="S190" s="24"/>
      <c r="T190" s="3"/>
      <c r="U190" s="24"/>
      <c r="V190" s="24"/>
      <c r="W190" s="24"/>
      <c r="X190" s="24"/>
      <c r="Y190" s="28"/>
      <c r="Z190" s="28"/>
      <c r="AA190" s="28"/>
      <c r="AB190" s="28"/>
      <c r="AC190" s="28"/>
      <c r="AD190" s="121"/>
      <c r="AE190" s="121"/>
      <c r="AF190" s="55"/>
      <c r="AG190" s="55"/>
      <c r="AH190" s="55"/>
      <c r="AI190" s="24"/>
      <c r="AJ190" s="24"/>
    </row>
    <row r="191" spans="2:36" x14ac:dyDescent="0.25">
      <c r="B191" s="30"/>
      <c r="C191" s="25"/>
      <c r="D191" s="24"/>
      <c r="E191" s="24"/>
      <c r="F191" s="26"/>
      <c r="G191" s="24"/>
      <c r="H191" s="24"/>
      <c r="I191" s="24"/>
      <c r="J191" s="24"/>
      <c r="K191" s="24"/>
      <c r="L191" s="26"/>
      <c r="M191" s="26"/>
      <c r="N191" s="27"/>
      <c r="O191" s="25"/>
      <c r="P191" s="24"/>
      <c r="Q191" s="24"/>
      <c r="R191" s="24"/>
      <c r="S191" s="24"/>
      <c r="T191" s="3"/>
      <c r="U191" s="24"/>
      <c r="V191" s="24"/>
      <c r="W191" s="24"/>
      <c r="X191" s="24"/>
      <c r="Y191" s="28"/>
      <c r="Z191" s="28"/>
      <c r="AA191" s="28"/>
      <c r="AB191" s="28"/>
      <c r="AC191" s="28"/>
      <c r="AD191" s="121"/>
      <c r="AE191" s="121"/>
      <c r="AF191" s="55"/>
      <c r="AG191" s="55"/>
      <c r="AH191" s="55"/>
      <c r="AI191" s="24"/>
      <c r="AJ191" s="24"/>
    </row>
    <row r="192" spans="2:36" x14ac:dyDescent="0.25">
      <c r="B192" s="30"/>
      <c r="C192" s="25"/>
      <c r="D192" s="24"/>
      <c r="E192" s="24"/>
      <c r="F192" s="26"/>
      <c r="G192" s="24"/>
      <c r="H192" s="24"/>
      <c r="I192" s="24"/>
      <c r="J192" s="24"/>
      <c r="K192" s="24"/>
      <c r="L192" s="26"/>
      <c r="M192" s="26"/>
      <c r="N192" s="27"/>
      <c r="O192" s="25"/>
      <c r="P192" s="24"/>
      <c r="Q192" s="24"/>
      <c r="R192" s="24"/>
      <c r="S192" s="24"/>
      <c r="T192" s="3"/>
      <c r="U192" s="24"/>
      <c r="V192" s="24"/>
      <c r="W192" s="24"/>
      <c r="X192" s="24"/>
      <c r="Y192" s="28"/>
      <c r="Z192" s="28"/>
      <c r="AA192" s="28"/>
      <c r="AB192" s="28"/>
      <c r="AC192" s="28"/>
      <c r="AD192" s="121"/>
      <c r="AE192" s="121"/>
      <c r="AF192" s="55"/>
      <c r="AG192" s="55"/>
      <c r="AH192" s="55"/>
      <c r="AI192" s="24"/>
      <c r="AJ192" s="24"/>
    </row>
    <row r="193" spans="2:36" x14ac:dyDescent="0.25">
      <c r="B193" s="30"/>
      <c r="C193" s="25"/>
      <c r="D193" s="24"/>
      <c r="E193" s="24"/>
      <c r="F193" s="26"/>
      <c r="G193" s="24"/>
      <c r="H193" s="24"/>
      <c r="I193" s="24"/>
      <c r="J193" s="24"/>
      <c r="K193" s="24"/>
      <c r="L193" s="26"/>
      <c r="M193" s="26"/>
      <c r="N193" s="27"/>
      <c r="O193" s="25"/>
      <c r="P193" s="24"/>
      <c r="Q193" s="24"/>
      <c r="R193" s="24"/>
      <c r="S193" s="24"/>
      <c r="T193" s="3"/>
      <c r="U193" s="24"/>
      <c r="V193" s="24"/>
      <c r="W193" s="24"/>
      <c r="X193" s="24"/>
      <c r="Y193" s="28"/>
      <c r="Z193" s="28"/>
      <c r="AA193" s="28"/>
      <c r="AB193" s="28"/>
      <c r="AC193" s="28"/>
      <c r="AD193" s="121"/>
      <c r="AE193" s="121"/>
      <c r="AF193" s="55"/>
      <c r="AG193" s="55"/>
      <c r="AH193" s="55"/>
      <c r="AI193" s="24"/>
      <c r="AJ193" s="24"/>
    </row>
    <row r="194" spans="2:36" x14ac:dyDescent="0.25">
      <c r="B194" s="30"/>
      <c r="C194" s="25"/>
      <c r="D194" s="24"/>
      <c r="E194" s="24"/>
      <c r="F194" s="26"/>
      <c r="G194" s="24"/>
      <c r="H194" s="24"/>
      <c r="I194" s="24"/>
      <c r="J194" s="24"/>
      <c r="K194" s="24"/>
      <c r="L194" s="26"/>
      <c r="M194" s="26"/>
      <c r="N194" s="27"/>
      <c r="O194" s="25"/>
      <c r="P194" s="24"/>
      <c r="Q194" s="24"/>
      <c r="R194" s="24"/>
      <c r="S194" s="24"/>
      <c r="T194" s="3"/>
      <c r="U194" s="24"/>
      <c r="V194" s="24"/>
      <c r="W194" s="24"/>
      <c r="X194" s="24"/>
      <c r="Y194" s="28"/>
      <c r="Z194" s="28"/>
      <c r="AA194" s="28"/>
      <c r="AB194" s="28"/>
      <c r="AC194" s="28"/>
      <c r="AD194" s="121"/>
      <c r="AE194" s="121"/>
      <c r="AF194" s="55"/>
      <c r="AG194" s="55"/>
      <c r="AH194" s="55"/>
      <c r="AI194" s="24"/>
      <c r="AJ194" s="24"/>
    </row>
    <row r="195" spans="2:36" x14ac:dyDescent="0.25">
      <c r="B195" s="30"/>
      <c r="C195" s="25"/>
      <c r="D195" s="24"/>
      <c r="E195" s="24"/>
      <c r="F195" s="26"/>
      <c r="G195" s="24"/>
      <c r="H195" s="24"/>
      <c r="I195" s="24"/>
      <c r="J195" s="24"/>
      <c r="K195" s="24"/>
      <c r="L195" s="26"/>
      <c r="M195" s="26"/>
      <c r="N195" s="27"/>
      <c r="O195" s="25"/>
      <c r="P195" s="24"/>
      <c r="Q195" s="24"/>
      <c r="R195" s="24"/>
      <c r="S195" s="24"/>
      <c r="T195" s="3"/>
      <c r="U195" s="24"/>
      <c r="V195" s="24"/>
      <c r="W195" s="24"/>
      <c r="X195" s="24"/>
      <c r="Y195" s="28"/>
      <c r="Z195" s="28"/>
      <c r="AA195" s="28"/>
      <c r="AB195" s="28"/>
      <c r="AC195" s="28"/>
      <c r="AD195" s="121"/>
      <c r="AE195" s="121"/>
      <c r="AF195" s="55"/>
      <c r="AG195" s="55"/>
      <c r="AH195" s="55"/>
      <c r="AI195" s="24"/>
      <c r="AJ195" s="24"/>
    </row>
    <row r="196" spans="2:36" x14ac:dyDescent="0.25">
      <c r="B196" s="30"/>
      <c r="C196" s="25"/>
      <c r="D196" s="24"/>
      <c r="E196" s="24"/>
      <c r="F196" s="26"/>
      <c r="G196" s="24"/>
      <c r="H196" s="24"/>
      <c r="I196" s="24"/>
      <c r="J196" s="24"/>
      <c r="K196" s="24"/>
      <c r="L196" s="26"/>
      <c r="M196" s="26"/>
      <c r="N196" s="27"/>
      <c r="O196" s="25"/>
      <c r="P196" s="24"/>
      <c r="Q196" s="24"/>
      <c r="R196" s="24"/>
      <c r="S196" s="24"/>
      <c r="T196" s="3"/>
      <c r="U196" s="24"/>
      <c r="V196" s="24"/>
      <c r="W196" s="24"/>
      <c r="X196" s="24"/>
      <c r="Y196" s="28"/>
      <c r="Z196" s="28"/>
      <c r="AA196" s="28"/>
      <c r="AB196" s="28"/>
      <c r="AC196" s="28"/>
      <c r="AD196" s="121"/>
      <c r="AE196" s="121"/>
      <c r="AF196" s="55"/>
      <c r="AG196" s="55"/>
      <c r="AH196" s="55"/>
      <c r="AI196" s="24"/>
      <c r="AJ196" s="24"/>
    </row>
    <row r="197" spans="2:36" x14ac:dyDescent="0.25">
      <c r="B197" s="30"/>
      <c r="C197" s="25"/>
      <c r="D197" s="24"/>
      <c r="E197" s="24"/>
      <c r="F197" s="26"/>
      <c r="G197" s="24"/>
      <c r="H197" s="24"/>
      <c r="I197" s="24"/>
      <c r="J197" s="24"/>
      <c r="K197" s="24"/>
      <c r="L197" s="26"/>
      <c r="M197" s="26"/>
      <c r="N197" s="27"/>
      <c r="O197" s="25"/>
      <c r="P197" s="24"/>
      <c r="Q197" s="24"/>
      <c r="R197" s="24"/>
      <c r="S197" s="24"/>
      <c r="T197" s="3"/>
      <c r="U197" s="24"/>
      <c r="V197" s="24"/>
      <c r="W197" s="24"/>
      <c r="X197" s="24"/>
      <c r="Y197" s="28"/>
      <c r="Z197" s="28"/>
      <c r="AA197" s="28"/>
      <c r="AB197" s="28"/>
      <c r="AC197" s="28"/>
      <c r="AD197" s="121"/>
      <c r="AE197" s="121"/>
      <c r="AF197" s="55"/>
      <c r="AG197" s="55"/>
      <c r="AH197" s="55"/>
      <c r="AI197" s="24"/>
      <c r="AJ197" s="24"/>
    </row>
    <row r="198" spans="2:36" x14ac:dyDescent="0.25">
      <c r="B198" s="30"/>
      <c r="C198" s="25"/>
      <c r="D198" s="24"/>
      <c r="E198" s="24"/>
      <c r="F198" s="26"/>
      <c r="G198" s="24"/>
      <c r="H198" s="24"/>
      <c r="I198" s="24"/>
      <c r="J198" s="24"/>
      <c r="K198" s="24"/>
      <c r="L198" s="26"/>
      <c r="M198" s="26"/>
      <c r="N198" s="27"/>
      <c r="O198" s="25"/>
      <c r="P198" s="24"/>
      <c r="Q198" s="24"/>
      <c r="R198" s="24"/>
      <c r="S198" s="24"/>
      <c r="T198" s="3"/>
      <c r="U198" s="24"/>
      <c r="V198" s="24"/>
      <c r="W198" s="24"/>
      <c r="X198" s="24"/>
      <c r="Y198" s="28"/>
      <c r="Z198" s="28"/>
      <c r="AA198" s="28"/>
      <c r="AB198" s="28"/>
      <c r="AC198" s="28"/>
      <c r="AD198" s="121"/>
      <c r="AE198" s="121"/>
      <c r="AF198" s="55"/>
      <c r="AG198" s="55"/>
      <c r="AH198" s="55"/>
      <c r="AI198" s="24"/>
      <c r="AJ198" s="24"/>
    </row>
    <row r="199" spans="2:36" x14ac:dyDescent="0.25">
      <c r="B199" s="30"/>
      <c r="C199" s="25"/>
      <c r="D199" s="24"/>
      <c r="E199" s="24"/>
      <c r="F199" s="26"/>
      <c r="G199" s="24"/>
      <c r="H199" s="24"/>
      <c r="I199" s="24"/>
      <c r="J199" s="24"/>
      <c r="K199" s="24"/>
      <c r="L199" s="26"/>
      <c r="M199" s="26"/>
      <c r="N199" s="27"/>
      <c r="O199" s="25"/>
      <c r="P199" s="24"/>
      <c r="Q199" s="24"/>
      <c r="R199" s="24"/>
      <c r="S199" s="24"/>
      <c r="T199" s="3"/>
      <c r="U199" s="24"/>
      <c r="V199" s="24"/>
      <c r="W199" s="24"/>
      <c r="X199" s="24"/>
      <c r="Y199" s="28"/>
      <c r="Z199" s="28"/>
      <c r="AA199" s="28"/>
      <c r="AB199" s="28"/>
      <c r="AC199" s="28"/>
      <c r="AD199" s="121"/>
      <c r="AE199" s="121"/>
      <c r="AF199" s="55"/>
      <c r="AG199" s="55"/>
      <c r="AH199" s="55"/>
      <c r="AI199" s="24"/>
      <c r="AJ199" s="24"/>
    </row>
    <row r="200" spans="2:36" x14ac:dyDescent="0.25">
      <c r="B200" s="30"/>
      <c r="C200" s="25"/>
      <c r="D200" s="24"/>
      <c r="E200" s="24"/>
      <c r="F200" s="26"/>
      <c r="G200" s="24"/>
      <c r="H200" s="24"/>
      <c r="I200" s="24"/>
      <c r="J200" s="24"/>
      <c r="K200" s="24"/>
      <c r="L200" s="26"/>
      <c r="M200" s="26"/>
      <c r="N200" s="27"/>
      <c r="O200" s="25"/>
      <c r="P200" s="24"/>
      <c r="Q200" s="24"/>
      <c r="R200" s="24"/>
      <c r="S200" s="24"/>
      <c r="T200" s="3"/>
      <c r="U200" s="24"/>
      <c r="V200" s="24"/>
      <c r="W200" s="24"/>
      <c r="X200" s="24"/>
      <c r="Y200" s="28"/>
      <c r="Z200" s="28"/>
      <c r="AA200" s="28"/>
      <c r="AB200" s="28"/>
      <c r="AC200" s="28"/>
      <c r="AD200" s="121"/>
      <c r="AE200" s="121"/>
      <c r="AF200" s="55"/>
      <c r="AG200" s="55"/>
      <c r="AH200" s="55"/>
      <c r="AI200" s="24"/>
      <c r="AJ200" s="24"/>
    </row>
    <row r="201" spans="2:36" x14ac:dyDescent="0.25">
      <c r="B201" s="30"/>
      <c r="C201" s="25"/>
      <c r="D201" s="24"/>
      <c r="E201" s="24"/>
      <c r="F201" s="26"/>
      <c r="G201" s="24"/>
      <c r="H201" s="24"/>
      <c r="I201" s="24"/>
      <c r="J201" s="24"/>
      <c r="K201" s="24"/>
      <c r="L201" s="26"/>
      <c r="M201" s="26"/>
      <c r="N201" s="27"/>
      <c r="O201" s="25"/>
      <c r="P201" s="24"/>
      <c r="Q201" s="24"/>
      <c r="R201" s="24"/>
      <c r="S201" s="24"/>
      <c r="T201" s="3"/>
      <c r="U201" s="24"/>
      <c r="V201" s="24"/>
      <c r="W201" s="24"/>
      <c r="X201" s="24"/>
      <c r="Y201" s="28"/>
      <c r="Z201" s="28"/>
      <c r="AA201" s="28"/>
      <c r="AB201" s="28"/>
      <c r="AC201" s="28"/>
      <c r="AD201" s="121"/>
      <c r="AE201" s="121"/>
      <c r="AF201" s="55"/>
      <c r="AG201" s="55"/>
      <c r="AH201" s="55"/>
      <c r="AI201" s="24"/>
      <c r="AJ201" s="24"/>
    </row>
    <row r="202" spans="2:36" x14ac:dyDescent="0.25">
      <c r="B202" s="30"/>
      <c r="C202" s="25"/>
      <c r="D202" s="24"/>
      <c r="E202" s="24"/>
      <c r="F202" s="26"/>
      <c r="G202" s="24"/>
      <c r="H202" s="24"/>
      <c r="I202" s="24"/>
      <c r="J202" s="24"/>
      <c r="K202" s="24"/>
      <c r="L202" s="26"/>
      <c r="M202" s="26"/>
      <c r="N202" s="27"/>
      <c r="O202" s="25"/>
      <c r="P202" s="24"/>
      <c r="Q202" s="24"/>
      <c r="R202" s="24"/>
      <c r="S202" s="24"/>
      <c r="T202" s="3"/>
      <c r="U202" s="24"/>
      <c r="V202" s="24"/>
      <c r="W202" s="24"/>
      <c r="X202" s="24"/>
      <c r="Y202" s="28"/>
      <c r="Z202" s="28"/>
      <c r="AA202" s="28"/>
      <c r="AB202" s="28"/>
      <c r="AC202" s="28"/>
      <c r="AD202" s="121"/>
      <c r="AE202" s="121"/>
      <c r="AF202" s="55"/>
      <c r="AG202" s="55"/>
      <c r="AH202" s="55"/>
      <c r="AI202" s="24"/>
      <c r="AJ202" s="24"/>
    </row>
    <row r="203" spans="2:36" x14ac:dyDescent="0.25">
      <c r="B203" s="30"/>
      <c r="C203" s="25"/>
      <c r="D203" s="24"/>
      <c r="E203" s="24"/>
      <c r="F203" s="26"/>
      <c r="G203" s="24"/>
      <c r="H203" s="24"/>
      <c r="I203" s="24"/>
      <c r="J203" s="24"/>
      <c r="K203" s="24"/>
      <c r="L203" s="26"/>
      <c r="M203" s="26"/>
      <c r="N203" s="27"/>
      <c r="O203" s="25"/>
      <c r="P203" s="24"/>
      <c r="Q203" s="24"/>
      <c r="R203" s="24"/>
      <c r="S203" s="24"/>
      <c r="T203" s="3"/>
      <c r="U203" s="24"/>
      <c r="V203" s="24"/>
      <c r="W203" s="24"/>
      <c r="X203" s="24"/>
      <c r="Y203" s="28"/>
      <c r="Z203" s="28"/>
      <c r="AA203" s="28"/>
      <c r="AB203" s="28"/>
      <c r="AC203" s="28"/>
      <c r="AD203" s="121"/>
      <c r="AE203" s="121"/>
      <c r="AF203" s="55"/>
      <c r="AG203" s="55"/>
      <c r="AH203" s="55"/>
      <c r="AI203" s="24"/>
      <c r="AJ203" s="24"/>
    </row>
    <row r="204" spans="2:36" x14ac:dyDescent="0.25">
      <c r="B204" s="30"/>
      <c r="C204" s="25"/>
      <c r="D204" s="24"/>
      <c r="E204" s="24"/>
      <c r="F204" s="26"/>
      <c r="G204" s="24"/>
      <c r="H204" s="24"/>
      <c r="I204" s="24"/>
      <c r="J204" s="24"/>
      <c r="K204" s="24"/>
      <c r="L204" s="26"/>
      <c r="M204" s="26"/>
      <c r="N204" s="27"/>
      <c r="O204" s="25"/>
      <c r="P204" s="24"/>
      <c r="Q204" s="24"/>
      <c r="R204" s="24"/>
      <c r="S204" s="24"/>
      <c r="T204" s="3"/>
      <c r="U204" s="24"/>
      <c r="V204" s="24"/>
      <c r="W204" s="24"/>
      <c r="X204" s="24"/>
      <c r="Y204" s="28"/>
      <c r="Z204" s="28"/>
      <c r="AA204" s="28"/>
      <c r="AB204" s="28"/>
      <c r="AC204" s="28"/>
      <c r="AD204" s="121"/>
      <c r="AE204" s="121"/>
      <c r="AF204" s="55"/>
      <c r="AG204" s="55"/>
      <c r="AH204" s="55"/>
      <c r="AI204" s="24"/>
      <c r="AJ204" s="24"/>
    </row>
    <row r="205" spans="2:36" x14ac:dyDescent="0.25">
      <c r="B205" s="30"/>
      <c r="C205" s="25"/>
      <c r="D205" s="24"/>
      <c r="E205" s="24"/>
      <c r="F205" s="26"/>
      <c r="G205" s="24"/>
      <c r="H205" s="24"/>
      <c r="I205" s="24"/>
      <c r="J205" s="24"/>
      <c r="K205" s="24"/>
      <c r="L205" s="26"/>
      <c r="M205" s="26"/>
      <c r="N205" s="27"/>
      <c r="O205" s="25"/>
      <c r="P205" s="24"/>
      <c r="Q205" s="24"/>
      <c r="R205" s="24"/>
      <c r="S205" s="24"/>
      <c r="T205" s="3"/>
      <c r="U205" s="24"/>
      <c r="V205" s="24"/>
      <c r="W205" s="24"/>
      <c r="X205" s="24"/>
      <c r="Y205" s="28"/>
      <c r="Z205" s="28"/>
      <c r="AA205" s="28"/>
      <c r="AB205" s="28"/>
      <c r="AC205" s="28"/>
      <c r="AD205" s="121"/>
      <c r="AE205" s="121"/>
      <c r="AF205" s="55"/>
      <c r="AG205" s="55"/>
      <c r="AH205" s="55"/>
      <c r="AI205" s="24"/>
      <c r="AJ205" s="24"/>
    </row>
    <row r="206" spans="2:36" x14ac:dyDescent="0.25">
      <c r="B206" s="30"/>
      <c r="C206" s="25"/>
      <c r="D206" s="24"/>
      <c r="E206" s="24"/>
      <c r="F206" s="26"/>
      <c r="G206" s="24"/>
      <c r="H206" s="24"/>
      <c r="I206" s="24"/>
      <c r="J206" s="24"/>
      <c r="K206" s="24"/>
      <c r="L206" s="26"/>
      <c r="M206" s="26"/>
      <c r="N206" s="27"/>
      <c r="O206" s="25"/>
      <c r="P206" s="24"/>
      <c r="Q206" s="24"/>
      <c r="R206" s="24"/>
      <c r="S206" s="24"/>
      <c r="T206" s="3"/>
      <c r="U206" s="24"/>
      <c r="V206" s="24"/>
      <c r="W206" s="24"/>
      <c r="X206" s="24"/>
      <c r="Y206" s="28"/>
      <c r="Z206" s="28"/>
      <c r="AA206" s="28"/>
      <c r="AB206" s="28"/>
      <c r="AC206" s="28"/>
      <c r="AD206" s="121"/>
      <c r="AE206" s="121"/>
      <c r="AF206" s="55"/>
      <c r="AG206" s="55"/>
      <c r="AH206" s="55"/>
      <c r="AI206" s="24"/>
      <c r="AJ206" s="24"/>
    </row>
    <row r="207" spans="2:36" x14ac:dyDescent="0.25">
      <c r="B207" s="30"/>
      <c r="C207" s="25"/>
      <c r="D207" s="24"/>
      <c r="E207" s="24"/>
      <c r="F207" s="26"/>
      <c r="G207" s="24"/>
      <c r="H207" s="24"/>
      <c r="I207" s="24"/>
      <c r="J207" s="24"/>
      <c r="K207" s="24"/>
      <c r="L207" s="26"/>
      <c r="M207" s="26"/>
      <c r="N207" s="27"/>
      <c r="O207" s="25"/>
      <c r="P207" s="24"/>
      <c r="Q207" s="24"/>
      <c r="R207" s="24"/>
      <c r="S207" s="24"/>
      <c r="T207" s="3"/>
      <c r="U207" s="24"/>
      <c r="V207" s="24"/>
      <c r="W207" s="24"/>
      <c r="X207" s="24"/>
      <c r="Y207" s="28"/>
      <c r="Z207" s="28"/>
      <c r="AA207" s="28"/>
      <c r="AB207" s="28"/>
      <c r="AC207" s="28"/>
      <c r="AD207" s="121"/>
      <c r="AE207" s="121"/>
      <c r="AF207" s="55"/>
      <c r="AG207" s="55"/>
      <c r="AH207" s="55"/>
      <c r="AI207" s="24"/>
      <c r="AJ207" s="24"/>
    </row>
    <row r="208" spans="2:36" x14ac:dyDescent="0.25">
      <c r="B208" s="30"/>
      <c r="C208" s="25"/>
      <c r="D208" s="24"/>
      <c r="E208" s="24"/>
      <c r="F208" s="26"/>
      <c r="G208" s="24"/>
      <c r="H208" s="24"/>
      <c r="I208" s="24"/>
      <c r="J208" s="24"/>
      <c r="K208" s="24"/>
      <c r="L208" s="26"/>
      <c r="M208" s="26"/>
      <c r="N208" s="27"/>
      <c r="O208" s="25"/>
      <c r="P208" s="24"/>
      <c r="Q208" s="24"/>
      <c r="R208" s="24"/>
      <c r="S208" s="24"/>
      <c r="T208" s="3"/>
      <c r="U208" s="24"/>
      <c r="V208" s="24"/>
      <c r="W208" s="24"/>
      <c r="X208" s="24"/>
      <c r="Y208" s="28"/>
      <c r="Z208" s="28"/>
      <c r="AA208" s="28"/>
      <c r="AB208" s="28"/>
      <c r="AC208" s="28"/>
      <c r="AD208" s="121"/>
      <c r="AE208" s="121"/>
      <c r="AF208" s="55"/>
      <c r="AG208" s="55"/>
      <c r="AH208" s="55"/>
      <c r="AI208" s="24"/>
      <c r="AJ208" s="24"/>
    </row>
    <row r="209" spans="2:36" x14ac:dyDescent="0.25">
      <c r="B209" s="30"/>
      <c r="C209" s="25"/>
      <c r="D209" s="24"/>
      <c r="E209" s="24"/>
      <c r="F209" s="26"/>
      <c r="G209" s="24"/>
      <c r="H209" s="24"/>
      <c r="I209" s="24"/>
      <c r="J209" s="24"/>
      <c r="K209" s="24"/>
      <c r="L209" s="26"/>
      <c r="M209" s="26"/>
      <c r="N209" s="27"/>
      <c r="O209" s="25"/>
      <c r="P209" s="24"/>
      <c r="Q209" s="24"/>
      <c r="R209" s="24"/>
      <c r="S209" s="24"/>
      <c r="T209" s="3"/>
      <c r="U209" s="24"/>
      <c r="V209" s="24"/>
      <c r="W209" s="24"/>
      <c r="X209" s="24"/>
      <c r="Y209" s="28"/>
      <c r="Z209" s="28"/>
      <c r="AA209" s="28"/>
      <c r="AB209" s="28"/>
      <c r="AC209" s="28"/>
      <c r="AD209" s="121"/>
      <c r="AE209" s="121"/>
      <c r="AF209" s="55"/>
      <c r="AG209" s="55"/>
      <c r="AH209" s="55"/>
      <c r="AI209" s="24"/>
      <c r="AJ209" s="24"/>
    </row>
    <row r="210" spans="2:36" x14ac:dyDescent="0.25">
      <c r="B210" s="30"/>
      <c r="C210" s="25"/>
      <c r="D210" s="24"/>
      <c r="E210" s="24"/>
      <c r="F210" s="26"/>
      <c r="G210" s="24"/>
      <c r="H210" s="24"/>
      <c r="I210" s="24"/>
      <c r="J210" s="24"/>
      <c r="K210" s="24"/>
      <c r="L210" s="26"/>
      <c r="M210" s="26"/>
      <c r="N210" s="27"/>
      <c r="O210" s="25"/>
      <c r="P210" s="24"/>
      <c r="Q210" s="24"/>
      <c r="R210" s="24"/>
      <c r="S210" s="24"/>
      <c r="T210" s="3"/>
      <c r="U210" s="24"/>
      <c r="V210" s="24"/>
      <c r="W210" s="24"/>
      <c r="X210" s="24"/>
      <c r="Y210" s="28"/>
      <c r="Z210" s="28"/>
      <c r="AA210" s="28"/>
      <c r="AB210" s="28"/>
      <c r="AC210" s="28"/>
      <c r="AD210" s="121"/>
      <c r="AE210" s="121"/>
      <c r="AF210" s="55"/>
      <c r="AG210" s="55"/>
      <c r="AH210" s="55"/>
      <c r="AI210" s="24"/>
      <c r="AJ210" s="24"/>
    </row>
    <row r="211" spans="2:36" x14ac:dyDescent="0.25">
      <c r="B211" s="24"/>
      <c r="C211" s="24"/>
      <c r="D211" s="24"/>
      <c r="E211" s="24"/>
      <c r="F211" s="26"/>
      <c r="G211" s="24"/>
      <c r="H211" s="24"/>
      <c r="I211" s="24"/>
      <c r="J211" s="24"/>
      <c r="K211" s="24"/>
      <c r="L211" s="24"/>
      <c r="M211" s="24"/>
      <c r="N211" s="27"/>
      <c r="O211" s="25"/>
      <c r="P211" s="24"/>
      <c r="Q211" s="24"/>
      <c r="R211" s="24"/>
      <c r="S211" s="24"/>
      <c r="T211" s="24"/>
      <c r="U211" s="24"/>
      <c r="V211" s="24"/>
      <c r="W211" s="24"/>
      <c r="X211" s="24"/>
      <c r="Y211" s="29"/>
      <c r="Z211" s="29"/>
      <c r="AA211" s="29"/>
      <c r="AB211" s="29"/>
      <c r="AC211" s="29"/>
      <c r="AD211" s="121"/>
      <c r="AE211" s="121"/>
      <c r="AF211" s="55"/>
      <c r="AG211" s="55"/>
      <c r="AH211" s="55"/>
      <c r="AI211" s="24"/>
      <c r="AJ211" s="24"/>
    </row>
    <row r="212" spans="2:36" x14ac:dyDescent="0.25">
      <c r="B212" s="24"/>
      <c r="C212" s="24"/>
      <c r="D212" s="24"/>
      <c r="E212" s="24"/>
      <c r="F212" s="26"/>
      <c r="G212" s="24"/>
      <c r="H212" s="24"/>
      <c r="I212" s="24"/>
      <c r="J212" s="24"/>
      <c r="K212" s="24"/>
      <c r="L212" s="24"/>
      <c r="M212" s="24"/>
      <c r="N212" s="27"/>
      <c r="O212" s="25"/>
      <c r="P212" s="24"/>
      <c r="Q212" s="24"/>
      <c r="R212" s="24"/>
      <c r="S212" s="24"/>
      <c r="T212" s="24"/>
      <c r="U212" s="24"/>
      <c r="V212" s="24"/>
      <c r="W212" s="24"/>
      <c r="X212" s="24"/>
      <c r="Y212" s="29"/>
      <c r="Z212" s="29"/>
      <c r="AA212" s="29"/>
      <c r="AB212" s="29"/>
      <c r="AC212" s="29"/>
      <c r="AD212" s="121"/>
      <c r="AE212" s="121"/>
      <c r="AF212" s="55"/>
      <c r="AG212" s="55"/>
      <c r="AH212" s="55"/>
      <c r="AI212" s="24"/>
      <c r="AJ212" s="24"/>
    </row>
    <row r="213" spans="2:36" x14ac:dyDescent="0.25">
      <c r="B213" s="5"/>
      <c r="C213" s="5"/>
      <c r="D213" s="5"/>
      <c r="E213" s="5"/>
      <c r="F213" s="5"/>
      <c r="G213" s="5"/>
      <c r="H213" s="5"/>
      <c r="I213" s="5"/>
      <c r="J213" s="5"/>
      <c r="K213" s="5"/>
      <c r="L213" s="5"/>
      <c r="M213" s="5"/>
      <c r="N213" s="5"/>
      <c r="O213" s="5"/>
      <c r="P213" s="5"/>
      <c r="Q213" s="5"/>
    </row>
  </sheetData>
  <customSheetViews>
    <customSheetView guid="{250915DF-0B97-45D7-B29D-7EED4C89C1C1}" scale="85" topLeftCell="A169">
      <selection activeCell="F184" sqref="F184"/>
      <pageMargins left="0.7" right="0.7" top="0.75" bottom="0.75" header="0.3" footer="0.3"/>
    </customSheetView>
    <customSheetView guid="{7ECC2B8E-6A82-42F5-8AB0-4A51C54EA5EC}" scale="85" topLeftCell="A100">
      <selection activeCell="E97" sqref="E97"/>
      <pageMargins left="0.7" right="0.7" top="0.75" bottom="0.75" header="0.3" footer="0.3"/>
    </customSheetView>
    <customSheetView guid="{336B6883-2145-4B58-921E-CEC7185A847E}" scale="70" showAutoFilter="1" topLeftCell="C119">
      <selection activeCell="I138" sqref="I138"/>
      <pageMargins left="0.7" right="0.7" top="0.75" bottom="0.75" header="0.3" footer="0.3"/>
      <autoFilter ref="P2:P1792"/>
    </customSheetView>
  </customSheetViews>
  <conditionalFormatting sqref="H13:H17 H4:H7">
    <cfRule type="cellIs" dxfId="170" priority="77" operator="equal">
      <formula>1</formula>
    </cfRule>
    <cfRule type="cellIs" dxfId="169" priority="78" operator="lessThan">
      <formula>1</formula>
    </cfRule>
  </conditionalFormatting>
  <conditionalFormatting sqref="AC177:AC212 AD44:AE214 AD2:AE41">
    <cfRule type="cellIs" dxfId="168" priority="75" operator="equal">
      <formula>"OK"</formula>
    </cfRule>
    <cfRule type="cellIs" dxfId="167" priority="76" operator="equal">
      <formula>"NG"</formula>
    </cfRule>
  </conditionalFormatting>
  <conditionalFormatting sqref="L177:M210">
    <cfRule type="cellIs" dxfId="166" priority="74" operator="equal">
      <formula>"PUT_VERSION"</formula>
    </cfRule>
  </conditionalFormatting>
  <conditionalFormatting sqref="P13:P16 P4:P7">
    <cfRule type="cellIs" dxfId="165" priority="68" operator="equal">
      <formula>1</formula>
    </cfRule>
    <cfRule type="cellIs" dxfId="164" priority="69" operator="lessThan">
      <formula>1</formula>
    </cfRule>
  </conditionalFormatting>
  <conditionalFormatting sqref="P17">
    <cfRule type="cellIs" dxfId="163" priority="64" operator="equal">
      <formula>1</formula>
    </cfRule>
    <cfRule type="cellIs" dxfId="162" priority="65" operator="lessThan">
      <formula>1</formula>
    </cfRule>
  </conditionalFormatting>
  <conditionalFormatting sqref="D8">
    <cfRule type="expression" dxfId="161" priority="62">
      <formula>D8=SUM(D4:D7)</formula>
    </cfRule>
  </conditionalFormatting>
  <conditionalFormatting sqref="E8">
    <cfRule type="expression" dxfId="160" priority="61">
      <formula>E8=SUM(E4:E7)</formula>
    </cfRule>
  </conditionalFormatting>
  <conditionalFormatting sqref="F8 L8:N8">
    <cfRule type="expression" dxfId="159" priority="60">
      <formula>F8=SUM(F4:F7)</formula>
    </cfRule>
  </conditionalFormatting>
  <conditionalFormatting sqref="D17">
    <cfRule type="expression" dxfId="158" priority="59">
      <formula>D17=SUM(D13:D16)</formula>
    </cfRule>
  </conditionalFormatting>
  <conditionalFormatting sqref="E17">
    <cfRule type="expression" dxfId="157" priority="58">
      <formula>E17=SUM(E13:E16)</formula>
    </cfRule>
  </conditionalFormatting>
  <conditionalFormatting sqref="H22">
    <cfRule type="cellIs" dxfId="156" priority="43" operator="equal">
      <formula>1</formula>
    </cfRule>
    <cfRule type="cellIs" dxfId="155" priority="44" operator="lessThan">
      <formula>1</formula>
    </cfRule>
  </conditionalFormatting>
  <conditionalFormatting sqref="H23">
    <cfRule type="cellIs" dxfId="154" priority="41" operator="equal">
      <formula>1</formula>
    </cfRule>
    <cfRule type="cellIs" dxfId="153" priority="42" operator="lessThan">
      <formula>1</formula>
    </cfRule>
  </conditionalFormatting>
  <conditionalFormatting sqref="H24">
    <cfRule type="cellIs" dxfId="152" priority="39" operator="equal">
      <formula>1</formula>
    </cfRule>
    <cfRule type="cellIs" dxfId="151" priority="40" operator="lessThan">
      <formula>1</formula>
    </cfRule>
  </conditionalFormatting>
  <conditionalFormatting sqref="H25">
    <cfRule type="cellIs" dxfId="150" priority="37" operator="equal">
      <formula>1</formula>
    </cfRule>
    <cfRule type="cellIs" dxfId="149" priority="38" operator="lessThan">
      <formula>1</formula>
    </cfRule>
  </conditionalFormatting>
  <conditionalFormatting sqref="H26">
    <cfRule type="cellIs" dxfId="148" priority="35" operator="equal">
      <formula>1</formula>
    </cfRule>
    <cfRule type="cellIs" dxfId="147" priority="36" operator="lessThan">
      <formula>1</formula>
    </cfRule>
  </conditionalFormatting>
  <conditionalFormatting sqref="L17">
    <cfRule type="expression" dxfId="146" priority="34">
      <formula>L17=SUM(L13:L16)</formula>
    </cfRule>
  </conditionalFormatting>
  <conditionalFormatting sqref="M17">
    <cfRule type="expression" dxfId="145" priority="33">
      <formula>M17=SUM(M13:M16)</formula>
    </cfRule>
  </conditionalFormatting>
  <conditionalFormatting sqref="N17">
    <cfRule type="expression" dxfId="144" priority="32">
      <formula>N17=SUM(N13:N16)</formula>
    </cfRule>
  </conditionalFormatting>
  <conditionalFormatting sqref="P26">
    <cfRule type="cellIs" dxfId="143" priority="25" operator="equal">
      <formula>1</formula>
    </cfRule>
    <cfRule type="cellIs" dxfId="142" priority="26" operator="lessThan">
      <formula>1</formula>
    </cfRule>
  </conditionalFormatting>
  <conditionalFormatting sqref="P22">
    <cfRule type="cellIs" dxfId="141" priority="15" operator="equal">
      <formula>1</formula>
    </cfRule>
    <cfRule type="cellIs" dxfId="140" priority="16" operator="lessThan">
      <formula>1</formula>
    </cfRule>
  </conditionalFormatting>
  <conditionalFormatting sqref="P23">
    <cfRule type="cellIs" dxfId="139" priority="13" operator="equal">
      <formula>1</formula>
    </cfRule>
    <cfRule type="cellIs" dxfId="138" priority="14" operator="lessThan">
      <formula>1</formula>
    </cfRule>
  </conditionalFormatting>
  <conditionalFormatting sqref="P24">
    <cfRule type="cellIs" dxfId="137" priority="11" operator="equal">
      <formula>1</formula>
    </cfRule>
    <cfRule type="cellIs" dxfId="136" priority="12" operator="lessThan">
      <formula>1</formula>
    </cfRule>
  </conditionalFormatting>
  <conditionalFormatting sqref="P25">
    <cfRule type="cellIs" dxfId="135" priority="9" operator="equal">
      <formula>1</formula>
    </cfRule>
    <cfRule type="cellIs" dxfId="134" priority="10" operator="lessThan">
      <formula>1</formula>
    </cfRule>
  </conditionalFormatting>
  <conditionalFormatting sqref="AC172:AC176">
    <cfRule type="cellIs" dxfId="101" priority="7" operator="equal">
      <formula>"OK"</formula>
    </cfRule>
    <cfRule type="cellIs" dxfId="100" priority="8" operator="equal">
      <formula>"NG"</formula>
    </cfRule>
  </conditionalFormatting>
  <conditionalFormatting sqref="L172:M176">
    <cfRule type="cellIs" dxfId="99" priority="6" operator="equal">
      <formula>"PUT_VERSION"</formula>
    </cfRule>
  </conditionalFormatting>
  <conditionalFormatting sqref="AC44:AC171">
    <cfRule type="cellIs" dxfId="98" priority="4" operator="equal">
      <formula>"OK"</formula>
    </cfRule>
    <cfRule type="cellIs" dxfId="97" priority="5" operator="equal">
      <formula>"NG"</formula>
    </cfRule>
  </conditionalFormatting>
  <conditionalFormatting sqref="L44:M171">
    <cfRule type="cellIs" dxfId="96" priority="3" operator="equal">
      <formula>"PUT_VERSION"</formula>
    </cfRule>
  </conditionalFormatting>
  <conditionalFormatting sqref="F17">
    <cfRule type="expression" dxfId="95" priority="84">
      <formula>F17=SUM(F$13:F$16)</formula>
    </cfRule>
  </conditionalFormatting>
  <dataValidations disablePrompts="1" count="2">
    <dataValidation type="list" allowBlank="1" showInputMessage="1" showErrorMessage="1" sqref="AC44:AC212">
      <formula1>"OK,NG"</formula1>
    </dataValidation>
    <dataValidation type="list" allowBlank="1" showInputMessage="1" showErrorMessage="1" sqref="R44:R212">
      <formula1>"Yes,No"</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79" operator="greaterThanOrEqual" id="{1BB81BBE-AD47-4A89-A86F-F447FAEB83AC}">
            <xm:f>Table!$C$4</xm:f>
            <x14:dxf>
              <font>
                <color rgb="FF006100"/>
              </font>
              <fill>
                <patternFill>
                  <bgColor rgb="FFC6EFCE"/>
                </patternFill>
              </fill>
            </x14:dxf>
          </x14:cfRule>
          <x14:cfRule type="cellIs" priority="80" operator="lessThan" id="{DAEF0A6A-13B5-4AD7-B57B-990B7B7412A4}">
            <xm:f>Table!$C$4</xm:f>
            <x14:dxf>
              <font>
                <color rgb="FF9C0006"/>
              </font>
              <fill>
                <patternFill>
                  <bgColor rgb="FFFFC7CE"/>
                </patternFill>
              </fill>
            </x14:dxf>
          </x14:cfRule>
          <xm:sqref>G13:G17</xm:sqref>
        </x14:conditionalFormatting>
        <x14:conditionalFormatting xmlns:xm="http://schemas.microsoft.com/office/excel/2006/main">
          <x14:cfRule type="cellIs" priority="81" operator="greaterThanOrEqual" id="{5A921AA7-432D-4BF7-BB5C-D691D16A4C26}">
            <xm:f>Table!$D$4</xm:f>
            <x14:dxf>
              <font>
                <color rgb="FF006100"/>
              </font>
              <fill>
                <patternFill>
                  <bgColor rgb="FFC6EFCE"/>
                </patternFill>
              </fill>
            </x14:dxf>
          </x14:cfRule>
          <x14:cfRule type="cellIs" priority="82" operator="lessThan" id="{22BAC1B3-5E88-426C-B10F-EE4D9613E6FF}">
            <xm:f>Table!$D$4</xm:f>
            <x14:dxf>
              <font>
                <color rgb="FF9C0006"/>
              </font>
              <fill>
                <patternFill>
                  <bgColor rgb="FFFFC7CE"/>
                </patternFill>
              </fill>
            </x14:dxf>
          </x14:cfRule>
          <xm:sqref>G4:G7</xm:sqref>
        </x14:conditionalFormatting>
        <x14:conditionalFormatting xmlns:xm="http://schemas.microsoft.com/office/excel/2006/main">
          <x14:cfRule type="cellIs" priority="70" operator="greaterThanOrEqual" id="{8A138856-48BC-44E5-8E13-236A1FDEC410}">
            <xm:f>Table!$C$4</xm:f>
            <x14:dxf>
              <font>
                <color rgb="FF006100"/>
              </font>
              <fill>
                <patternFill>
                  <bgColor rgb="FFC6EFCE"/>
                </patternFill>
              </fill>
            </x14:dxf>
          </x14:cfRule>
          <x14:cfRule type="cellIs" priority="71" operator="lessThan" id="{4287ED7E-B389-4756-B571-2A79979EC6E1}">
            <xm:f>Table!$C$4</xm:f>
            <x14:dxf>
              <font>
                <color rgb="FF9C0006"/>
              </font>
              <fill>
                <patternFill>
                  <bgColor rgb="FFFFC7CE"/>
                </patternFill>
              </fill>
            </x14:dxf>
          </x14:cfRule>
          <xm:sqref>O13:O16</xm:sqref>
        </x14:conditionalFormatting>
        <x14:conditionalFormatting xmlns:xm="http://schemas.microsoft.com/office/excel/2006/main">
          <x14:cfRule type="cellIs" priority="72" operator="greaterThanOrEqual" id="{4BC05458-B3D1-46F7-804C-7E84EB3FA27E}">
            <xm:f>Table!$D$4</xm:f>
            <x14:dxf>
              <font>
                <color rgb="FF006100"/>
              </font>
              <fill>
                <patternFill>
                  <bgColor rgb="FFC6EFCE"/>
                </patternFill>
              </fill>
            </x14:dxf>
          </x14:cfRule>
          <x14:cfRule type="cellIs" priority="73" operator="lessThan" id="{424C2601-3C30-4463-9BFB-B65D5025F7C0}">
            <xm:f>Table!$D$4</xm:f>
            <x14:dxf>
              <font>
                <color rgb="FF9C0006"/>
              </font>
              <fill>
                <patternFill>
                  <bgColor rgb="FFFFC7CE"/>
                </patternFill>
              </fill>
            </x14:dxf>
          </x14:cfRule>
          <xm:sqref>O4:O7</xm:sqref>
        </x14:conditionalFormatting>
        <x14:conditionalFormatting xmlns:xm="http://schemas.microsoft.com/office/excel/2006/main">
          <x14:cfRule type="cellIs" priority="66" operator="greaterThanOrEqual" id="{F3308470-B387-4BE1-ADBF-F2B4948BF5D4}">
            <xm:f>Table!$C$4</xm:f>
            <x14:dxf>
              <font>
                <color rgb="FF006100"/>
              </font>
              <fill>
                <patternFill>
                  <bgColor rgb="FFC6EFCE"/>
                </patternFill>
              </fill>
            </x14:dxf>
          </x14:cfRule>
          <x14:cfRule type="cellIs" priority="67" operator="lessThan" id="{A6AF091F-2543-4397-9F58-7F04BF3DEEA0}">
            <xm:f>Table!$C$4</xm:f>
            <x14:dxf>
              <font>
                <color rgb="FF9C0006"/>
              </font>
              <fill>
                <patternFill>
                  <bgColor rgb="FFFFC7CE"/>
                </patternFill>
              </fill>
            </x14:dxf>
          </x14:cfRule>
          <xm:sqref>O17</xm:sqref>
        </x14:conditionalFormatting>
        <x14:conditionalFormatting xmlns:xm="http://schemas.microsoft.com/office/excel/2006/main">
          <x14:cfRule type="cellIs" priority="55" operator="greaterThanOrEqual" id="{12813673-7AC6-4514-A993-6854EBC98819}">
            <xm:f>Table!$D$4</xm:f>
            <x14:dxf>
              <font>
                <color rgb="FF006100"/>
              </font>
              <fill>
                <patternFill>
                  <bgColor rgb="FFC6EFCE"/>
                </patternFill>
              </fill>
            </x14:dxf>
          </x14:cfRule>
          <x14:cfRule type="cellIs" priority="56" operator="lessThan" id="{FFD1CB70-9125-4461-878F-20BC825A012B}">
            <xm:f>Table!$D$4</xm:f>
            <x14:dxf>
              <font>
                <color rgb="FF9C0006"/>
              </font>
              <fill>
                <patternFill>
                  <bgColor rgb="FFFFC7CE"/>
                </patternFill>
              </fill>
            </x14:dxf>
          </x14:cfRule>
          <xm:sqref>G8</xm:sqref>
        </x14:conditionalFormatting>
        <x14:conditionalFormatting xmlns:xm="http://schemas.microsoft.com/office/excel/2006/main">
          <x14:cfRule type="cellIs" priority="53" operator="greaterThanOrEqual" id="{22F77198-3191-4E6D-B3B8-A304844F6728}">
            <xm:f>Table!$D$4</xm:f>
            <x14:dxf>
              <font>
                <color rgb="FF006100"/>
              </font>
              <fill>
                <patternFill>
                  <bgColor rgb="FFC6EFCE"/>
                </patternFill>
              </fill>
            </x14:dxf>
          </x14:cfRule>
          <x14:cfRule type="cellIs" priority="54" operator="lessThan" id="{E80D3DD1-A054-4EAD-B284-21497AD5518B}">
            <xm:f>Table!$D$4</xm:f>
            <x14:dxf>
              <font>
                <color rgb="FF9C0006"/>
              </font>
              <fill>
                <patternFill>
                  <bgColor rgb="FFFFC7CE"/>
                </patternFill>
              </fill>
            </x14:dxf>
          </x14:cfRule>
          <xm:sqref>G26</xm:sqref>
        </x14:conditionalFormatting>
        <x14:conditionalFormatting xmlns:xm="http://schemas.microsoft.com/office/excel/2006/main">
          <x14:cfRule type="cellIs" priority="51" operator="greaterThanOrEqual" id="{AD9859FC-A279-4346-AE23-4B7075BEE5D6}">
            <xm:f>Table!$D$4</xm:f>
            <x14:dxf>
              <font>
                <color rgb="FF006100"/>
              </font>
              <fill>
                <patternFill>
                  <bgColor rgb="FFC6EFCE"/>
                </patternFill>
              </fill>
            </x14:dxf>
          </x14:cfRule>
          <x14:cfRule type="cellIs" priority="52" operator="lessThan" id="{2FA0BA96-EC36-4598-A4CF-6BB2E4867048}">
            <xm:f>Table!$D$4</xm:f>
            <x14:dxf>
              <font>
                <color rgb="FF9C0006"/>
              </font>
              <fill>
                <patternFill>
                  <bgColor rgb="FFFFC7CE"/>
                </patternFill>
              </fill>
            </x14:dxf>
          </x14:cfRule>
          <xm:sqref>G22</xm:sqref>
        </x14:conditionalFormatting>
        <x14:conditionalFormatting xmlns:xm="http://schemas.microsoft.com/office/excel/2006/main">
          <x14:cfRule type="cellIs" priority="49" operator="greaterThanOrEqual" id="{3B3C3688-BA10-4B16-8AA8-E4E39D9BB9A1}">
            <xm:f>Table!$D$4</xm:f>
            <x14:dxf>
              <font>
                <color rgb="FF006100"/>
              </font>
              <fill>
                <patternFill>
                  <bgColor rgb="FFC6EFCE"/>
                </patternFill>
              </fill>
            </x14:dxf>
          </x14:cfRule>
          <x14:cfRule type="cellIs" priority="50" operator="lessThan" id="{419BA3F6-0250-4A2E-8061-81B1FF6647F1}">
            <xm:f>Table!$D$4</xm:f>
            <x14:dxf>
              <font>
                <color rgb="FF9C0006"/>
              </font>
              <fill>
                <patternFill>
                  <bgColor rgb="FFFFC7CE"/>
                </patternFill>
              </fill>
            </x14:dxf>
          </x14:cfRule>
          <xm:sqref>G23</xm:sqref>
        </x14:conditionalFormatting>
        <x14:conditionalFormatting xmlns:xm="http://schemas.microsoft.com/office/excel/2006/main">
          <x14:cfRule type="cellIs" priority="47" operator="greaterThanOrEqual" id="{84F2B29D-9066-4F84-B5EF-4C52C7EC7834}">
            <xm:f>Table!$D$4</xm:f>
            <x14:dxf>
              <font>
                <color rgb="FF006100"/>
              </font>
              <fill>
                <patternFill>
                  <bgColor rgb="FFC6EFCE"/>
                </patternFill>
              </fill>
            </x14:dxf>
          </x14:cfRule>
          <x14:cfRule type="cellIs" priority="48" operator="lessThan" id="{6FCF4E02-B196-42D7-AFBD-0188FC660276}">
            <xm:f>Table!$D$4</xm:f>
            <x14:dxf>
              <font>
                <color rgb="FF9C0006"/>
              </font>
              <fill>
                <patternFill>
                  <bgColor rgb="FFFFC7CE"/>
                </patternFill>
              </fill>
            </x14:dxf>
          </x14:cfRule>
          <xm:sqref>G24</xm:sqref>
        </x14:conditionalFormatting>
        <x14:conditionalFormatting xmlns:xm="http://schemas.microsoft.com/office/excel/2006/main">
          <x14:cfRule type="cellIs" priority="45" operator="greaterThanOrEqual" id="{61C7D7A9-34BC-4E3A-BA91-6136C2667FE1}">
            <xm:f>Table!$D$4</xm:f>
            <x14:dxf>
              <font>
                <color rgb="FF006100"/>
              </font>
              <fill>
                <patternFill>
                  <bgColor rgb="FFC6EFCE"/>
                </patternFill>
              </fill>
            </x14:dxf>
          </x14:cfRule>
          <x14:cfRule type="cellIs" priority="46" operator="lessThan" id="{6F4C3DF9-ADAC-4398-B709-3108A2FD6E0E}">
            <xm:f>Table!$D$4</xm:f>
            <x14:dxf>
              <font>
                <color rgb="FF9C0006"/>
              </font>
              <fill>
                <patternFill>
                  <bgColor rgb="FFFFC7CE"/>
                </patternFill>
              </fill>
            </x14:dxf>
          </x14:cfRule>
          <xm:sqref>G25</xm:sqref>
        </x14:conditionalFormatting>
        <x14:conditionalFormatting xmlns:xm="http://schemas.microsoft.com/office/excel/2006/main">
          <x14:cfRule type="cellIs" priority="27" operator="greaterThanOrEqual" id="{A090FA5E-E774-4EDA-B895-98BDA3CD4891}">
            <xm:f>Table!$D$4</xm:f>
            <x14:dxf>
              <font>
                <color rgb="FF006100"/>
              </font>
              <fill>
                <patternFill>
                  <bgColor rgb="FFC6EFCE"/>
                </patternFill>
              </fill>
            </x14:dxf>
          </x14:cfRule>
          <x14:cfRule type="cellIs" priority="28" operator="lessThan" id="{0C6EB0BF-1A4F-416E-9434-7FA40AEF81CB}">
            <xm:f>Table!$D$4</xm:f>
            <x14:dxf>
              <font>
                <color rgb="FF9C0006"/>
              </font>
              <fill>
                <patternFill>
                  <bgColor rgb="FFFFC7CE"/>
                </patternFill>
              </fill>
            </x14:dxf>
          </x14:cfRule>
          <xm:sqref>O26</xm:sqref>
        </x14:conditionalFormatting>
        <x14:conditionalFormatting xmlns:xm="http://schemas.microsoft.com/office/excel/2006/main">
          <x14:cfRule type="cellIs" priority="23" operator="greaterThanOrEqual" id="{DC6E6B68-F9BB-493F-BA18-959AD256D820}">
            <xm:f>Table!$D$4</xm:f>
            <x14:dxf>
              <font>
                <color rgb="FF006100"/>
              </font>
              <fill>
                <patternFill>
                  <bgColor rgb="FFC6EFCE"/>
                </patternFill>
              </fill>
            </x14:dxf>
          </x14:cfRule>
          <x14:cfRule type="cellIs" priority="24" operator="lessThan" id="{474B7DEC-9ED1-4884-B6EF-873D5CB80697}">
            <xm:f>Table!$D$4</xm:f>
            <x14:dxf>
              <font>
                <color rgb="FF9C0006"/>
              </font>
              <fill>
                <patternFill>
                  <bgColor rgb="FFFFC7CE"/>
                </patternFill>
              </fill>
            </x14:dxf>
          </x14:cfRule>
          <xm:sqref>O22</xm:sqref>
        </x14:conditionalFormatting>
        <x14:conditionalFormatting xmlns:xm="http://schemas.microsoft.com/office/excel/2006/main">
          <x14:cfRule type="cellIs" priority="21" operator="greaterThanOrEqual" id="{4ED0E5E3-190C-42FD-96A1-16A67AFECD8A}">
            <xm:f>Table!$D$4</xm:f>
            <x14:dxf>
              <font>
                <color rgb="FF006100"/>
              </font>
              <fill>
                <patternFill>
                  <bgColor rgb="FFC6EFCE"/>
                </patternFill>
              </fill>
            </x14:dxf>
          </x14:cfRule>
          <x14:cfRule type="cellIs" priority="22" operator="lessThan" id="{1666C47D-C79C-4ADA-990E-C3FF00FD0C21}">
            <xm:f>Table!$D$4</xm:f>
            <x14:dxf>
              <font>
                <color rgb="FF9C0006"/>
              </font>
              <fill>
                <patternFill>
                  <bgColor rgb="FFFFC7CE"/>
                </patternFill>
              </fill>
            </x14:dxf>
          </x14:cfRule>
          <xm:sqref>O23</xm:sqref>
        </x14:conditionalFormatting>
        <x14:conditionalFormatting xmlns:xm="http://schemas.microsoft.com/office/excel/2006/main">
          <x14:cfRule type="cellIs" priority="19" operator="greaterThanOrEqual" id="{A14BA848-E6CB-4253-923F-C95CFE0FA872}">
            <xm:f>Table!$D$4</xm:f>
            <x14:dxf>
              <font>
                <color rgb="FF006100"/>
              </font>
              <fill>
                <patternFill>
                  <bgColor rgb="FFC6EFCE"/>
                </patternFill>
              </fill>
            </x14:dxf>
          </x14:cfRule>
          <x14:cfRule type="cellIs" priority="20" operator="lessThan" id="{20BC8C79-D847-4FE7-9205-183DC6CFC3BF}">
            <xm:f>Table!$D$4</xm:f>
            <x14:dxf>
              <font>
                <color rgb="FF9C0006"/>
              </font>
              <fill>
                <patternFill>
                  <bgColor rgb="FFFFC7CE"/>
                </patternFill>
              </fill>
            </x14:dxf>
          </x14:cfRule>
          <xm:sqref>O24</xm:sqref>
        </x14:conditionalFormatting>
        <x14:conditionalFormatting xmlns:xm="http://schemas.microsoft.com/office/excel/2006/main">
          <x14:cfRule type="cellIs" priority="17" operator="greaterThanOrEqual" id="{574FB23D-0229-41EC-A704-B32B63E28B60}">
            <xm:f>Table!$D$4</xm:f>
            <x14:dxf>
              <font>
                <color rgb="FF006100"/>
              </font>
              <fill>
                <patternFill>
                  <bgColor rgb="FFC6EFCE"/>
                </patternFill>
              </fill>
            </x14:dxf>
          </x14:cfRule>
          <x14:cfRule type="cellIs" priority="18" operator="lessThan" id="{8D7DA5C6-CDA8-4655-9075-56DB48EB77B7}">
            <xm:f>Table!$D$4</xm:f>
            <x14:dxf>
              <font>
                <color rgb="FF9C0006"/>
              </font>
              <fill>
                <patternFill>
                  <bgColor rgb="FFFFC7CE"/>
                </patternFill>
              </fill>
            </x14:dxf>
          </x14:cfRule>
          <xm:sqref>O25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Table!$C$13:$C$20</xm:f>
          </x14:formula1>
          <xm:sqref>P44:Q212</xm:sqref>
        </x14:dataValidation>
        <x14:dataValidation type="list" allowBlank="1" showInputMessage="1" showErrorMessage="1">
          <x14:formula1>
            <xm:f>Table!$C$8:$C$9</xm:f>
          </x14:formula1>
          <xm:sqref>D44:D212</xm:sqref>
        </x14:dataValidation>
        <x14:dataValidation type="list" allowBlank="1" showInputMessage="1" showErrorMessage="1">
          <x14:formula1>
            <xm:f>Table!$C$24:$C$30</xm:f>
          </x14:formula1>
          <xm:sqref>X44:X212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119"/>
  <sheetViews>
    <sheetView tabSelected="1" zoomScaleNormal="100" workbookViewId="0">
      <selection activeCell="H25" sqref="H25"/>
    </sheetView>
  </sheetViews>
  <sheetFormatPr defaultRowHeight="15" x14ac:dyDescent="0.25"/>
  <cols>
    <col min="3" max="3" width="17" customWidth="1"/>
    <col min="5" max="5" width="9.140625" customWidth="1"/>
    <col min="11" max="11" width="20.28515625" customWidth="1"/>
    <col min="12" max="14" width="9.140625" customWidth="1"/>
    <col min="25" max="25" width="12.85546875" bestFit="1" customWidth="1"/>
    <col min="26" max="26" width="12" bestFit="1" customWidth="1"/>
    <col min="27" max="28" width="11.85546875" bestFit="1" customWidth="1"/>
    <col min="30" max="30" width="10" bestFit="1" customWidth="1"/>
    <col min="31" max="31" width="6.7109375" bestFit="1" customWidth="1"/>
  </cols>
  <sheetData>
    <row r="1" spans="1:27" x14ac:dyDescent="0.25">
      <c r="A1" s="1" t="s">
        <v>887</v>
      </c>
    </row>
    <row r="2" spans="1:27" x14ac:dyDescent="0.25">
      <c r="B2" s="1" t="s">
        <v>61</v>
      </c>
      <c r="J2" s="1" t="s">
        <v>61</v>
      </c>
    </row>
    <row r="3" spans="1:27" x14ac:dyDescent="0.25">
      <c r="B3" s="2" t="s">
        <v>0</v>
      </c>
      <c r="C3" s="2" t="s">
        <v>8</v>
      </c>
      <c r="D3" s="2" t="s">
        <v>467</v>
      </c>
      <c r="E3" s="2" t="s">
        <v>62</v>
      </c>
      <c r="F3" s="2" t="s">
        <v>494</v>
      </c>
      <c r="G3" s="2" t="s">
        <v>23</v>
      </c>
      <c r="H3" s="4" t="s">
        <v>28</v>
      </c>
      <c r="J3" s="2" t="s">
        <v>0</v>
      </c>
      <c r="K3" s="2" t="s">
        <v>8</v>
      </c>
      <c r="L3" s="2" t="s">
        <v>26</v>
      </c>
      <c r="M3" s="2" t="s">
        <v>27</v>
      </c>
      <c r="N3" s="2" t="s">
        <v>24</v>
      </c>
      <c r="O3" s="2" t="s">
        <v>23</v>
      </c>
      <c r="P3" s="4" t="s">
        <v>28</v>
      </c>
    </row>
    <row r="4" spans="1:27" x14ac:dyDescent="0.25">
      <c r="B4" s="3">
        <v>1</v>
      </c>
      <c r="C4" s="36" t="s">
        <v>6</v>
      </c>
      <c r="D4" s="77">
        <f>SUMIFS($T$38:$T$118,$D$38:$D$118,Table!$D$3,$P$38:$P$118,C4)</f>
        <v>225</v>
      </c>
      <c r="E4" s="77">
        <f>SUMIFS($T$38:$T$118,$D$38:$D$118,Table!$D$3,$P$38:$P$118,C4)-SUM(SUMIFS($T$38:$T$118,$D$38:$D$118,Table!$D$3,$P$38:$P$118,C4,$X$38:$X$118,{"Ongoing","N/A",""}))</f>
        <v>225</v>
      </c>
      <c r="F4" s="77">
        <f>1/8*(SUMIFS($W$38:$W$118,$D$38:$D$118,Table!$D$3,$P$38:$P$118,C4)-SUM(SUMIFS($W$38:$W$118,$D$38:$D$118,Table!$D$3,$P$38:$P$118,C4,$X$38:$X$118,{"Ongoing","N/A",""})))</f>
        <v>0.5</v>
      </c>
      <c r="G4" s="77">
        <f>IF(ISERROR(E4/(F4)),"N/A",E4/F4)</f>
        <v>450</v>
      </c>
      <c r="H4" s="78">
        <f>IF(ISERROR(E4/D4),"N/A",E4/D4)</f>
        <v>1</v>
      </c>
      <c r="J4" s="3">
        <v>1</v>
      </c>
      <c r="K4" s="36" t="s">
        <v>6</v>
      </c>
      <c r="L4" s="77">
        <f>SUMIFS($S$38:$S$118,$D$38:$D$118,Table!$D$3,$P$38:$P$118,K4)</f>
        <v>218</v>
      </c>
      <c r="M4" s="77">
        <f>SUMIFS($T$38:$T$118,$D$38:$D$118,Table!$D$3,$P$38:$P$118,K4)-SUM(SUMIFS($T$38:$T$118,$D$38:$D$118,Table!$D$3,$P$38:$P$118,K4,$X$38:$X$118,{"Ongoing","N/A",""}))</f>
        <v>225</v>
      </c>
      <c r="N4" s="77">
        <f>1/8*(SUMIFS($W$38:$W$118,$D$38:$D$118,Table!$D$3,$P$38:$P$118,K4)-SUM(SUMIFS($W$38:$W$118,$D$38:$D$118,Table!$D$3,$P$38:$P$118,K4,$X$38:$X$118,{"Ongoing","N/A",""})))</f>
        <v>0.5</v>
      </c>
      <c r="O4" s="77">
        <f>IF(ISERROR(M4/(N4)),"N/A",M4/N4)</f>
        <v>450</v>
      </c>
      <c r="P4" s="78">
        <f>IF(ISERROR(M4/L4),"N/A",M4/L4)</f>
        <v>1.0321100917431192</v>
      </c>
    </row>
    <row r="5" spans="1:27" x14ac:dyDescent="0.25">
      <c r="B5" s="3">
        <v>2</v>
      </c>
      <c r="C5" s="36" t="s">
        <v>73</v>
      </c>
      <c r="D5" s="77">
        <f>SUMIFS($T$38:$T$118,$D$38:$D$118,Table!$D$3,$P$38:$P$118,C5)</f>
        <v>0</v>
      </c>
      <c r="E5" s="77">
        <f>SUMIFS($T$38:$T$118,$D$38:$D$118,Table!$D$3,$P$38:$P$118,C5)-SUM(SUMIFS($T$38:$T$118,$D$38:$D$118,Table!$D$3,$P$38:$P$118,C5,$X$38:$X$118,{"Ongoing","N/A",""}))</f>
        <v>0</v>
      </c>
      <c r="F5" s="77">
        <f>1/8*(SUMIFS($W$38:$W$118,$D$38:$D$118,Table!$D$3,$P$38:$P$118,C5)-SUM(SUMIFS($W$38:$W$118,$D$38:$D$118,Table!$D$3,$P$38:$P$118,C5,$X$38:$X$118,{"Ongoing","N/A",""})))</f>
        <v>0</v>
      </c>
      <c r="G5" s="77" t="str">
        <f t="shared" ref="G5:G7" si="0">IF(ISERROR(E5/(F5)),"N/A",E5/F5)</f>
        <v>N/A</v>
      </c>
      <c r="H5" s="78" t="str">
        <f t="shared" ref="H5:H8" si="1">IF(ISERROR(E5/D5),"N/A",E5/D5)</f>
        <v>N/A</v>
      </c>
      <c r="J5" s="3">
        <v>2</v>
      </c>
      <c r="K5" s="36" t="s">
        <v>73</v>
      </c>
      <c r="L5" s="77">
        <f>SUMIFS($S$38:$S$118,$D$38:$D$118,Table!$D$3,$P$38:$P$118,K5)</f>
        <v>0</v>
      </c>
      <c r="M5" s="77">
        <f>SUMIFS($T$38:$T$118,$D$38:$D$118,Table!$D$3,$P$38:$P$118,K5)-SUM(SUMIFS($T$38:$T$118,$D$38:$D$118,Table!$D$3,$P$38:$P$118,K5,$X$38:$X$118,{"Ongoing","N/A",""}))</f>
        <v>0</v>
      </c>
      <c r="N5" s="77">
        <f>1/8*(SUMIFS($W$38:$W$118,$D$38:$D$118,Table!$D$3,$P$38:$P$118,K5)-SUM(SUMIFS($W$38:$W$118,$D$38:$D$118,Table!$D$3,$P$38:$P$118,K5,$X$38:$X$118,{"Ongoing","N/A",""})))</f>
        <v>0</v>
      </c>
      <c r="O5" s="77" t="str">
        <f t="shared" ref="O5:O7" si="2">IF(ISERROR(M5/(N5)),"N/A",M5/N5)</f>
        <v>N/A</v>
      </c>
      <c r="P5" s="78" t="str">
        <f t="shared" ref="P5:P8" si="3">IF(ISERROR(M5/L5),"N/A",M5/L5)</f>
        <v>N/A</v>
      </c>
    </row>
    <row r="6" spans="1:27" x14ac:dyDescent="0.25">
      <c r="B6" s="3">
        <v>3</v>
      </c>
      <c r="C6" s="36" t="s">
        <v>74</v>
      </c>
      <c r="D6" s="77">
        <f>SUMIFS($T$38:$T$118,$D$38:$D$118,Table!$D$3,$P$38:$P$118,C6)</f>
        <v>495</v>
      </c>
      <c r="E6" s="77">
        <f>SUMIFS($T$38:$T$118,$D$38:$D$118,Table!$D$3,$P$38:$P$118,C6)-SUM(SUMIFS($T$38:$T$118,$D$38:$D$118,Table!$D$3,$P$38:$P$118,C6,$X$38:$X$118,{"Ongoing","N/A",""}))</f>
        <v>495</v>
      </c>
      <c r="F6" s="77">
        <f>1/8*(SUMIFS($W$38:$W$118,$D$38:$D$118,Table!$D$3,$P$38:$P$118,C6)-SUM(SUMIFS($W$38:$W$118,$D$38:$D$118,Table!$D$3,$P$38:$P$118,C6,$X$38:$X$118,{"Ongoing","N/A",""})))</f>
        <v>1</v>
      </c>
      <c r="G6" s="77">
        <f t="shared" si="0"/>
        <v>495</v>
      </c>
      <c r="H6" s="78">
        <f t="shared" si="1"/>
        <v>1</v>
      </c>
      <c r="J6" s="3">
        <v>3</v>
      </c>
      <c r="K6" s="36" t="s">
        <v>74</v>
      </c>
      <c r="L6" s="77">
        <f>SUMIFS($S$38:$S$118,$D$38:$D$118,Table!$D$3,$P$38:$P$118,K6)</f>
        <v>586</v>
      </c>
      <c r="M6" s="77">
        <f>SUMIFS($T$38:$T$118,$D$38:$D$118,Table!$D$3,$P$38:$P$118,K6)-SUM(SUMIFS($T$38:$T$118,$D$38:$D$118,Table!$D$3,$P$38:$P$118,K6,$X$38:$X$118,{"Ongoing","N/A",""}))</f>
        <v>495</v>
      </c>
      <c r="N6" s="77">
        <f>1/8*(SUMIFS($W$38:$W$118,$D$38:$D$118,Table!$D$3,$P$38:$P$118,K6)-SUM(SUMIFS($W$38:$W$118,$D$38:$D$118,Table!$D$3,$P$38:$P$118,K6,$X$38:$X$118,{"Ongoing","N/A",""})))</f>
        <v>1</v>
      </c>
      <c r="O6" s="77">
        <f t="shared" si="2"/>
        <v>495</v>
      </c>
      <c r="P6" s="78">
        <f t="shared" si="3"/>
        <v>0.84470989761092152</v>
      </c>
    </row>
    <row r="7" spans="1:27" x14ac:dyDescent="0.25">
      <c r="B7" s="3">
        <v>4</v>
      </c>
      <c r="C7" s="36" t="s">
        <v>75</v>
      </c>
      <c r="D7" s="77">
        <f>SUMIFS($T$38:$T$118,$D$38:$D$118,Table!$D$3,$P$38:$P$118,C7)</f>
        <v>0</v>
      </c>
      <c r="E7" s="77">
        <f>SUMIFS($T$38:$T$118,$D$38:$D$118,Table!$D$3,$P$38:$P$118,C7)-SUM(SUMIFS($T$38:$T$118,$D$38:$D$118,Table!$D$3,$P$38:$P$118,C7,$X$38:$X$118,{"Ongoing","N/A",""}))</f>
        <v>0</v>
      </c>
      <c r="F7" s="77">
        <f>1/8*(SUMIFS($W$38:$W$118,$D$38:$D$118,Table!$D$3,$P$38:$P$118,C7)-SUM(SUMIFS($W$38:$W$118,$D$38:$D$118,Table!$D$3,$P$38:$P$118,C7,$X$38:$X$118,{"Ongoing","N/A",""})))</f>
        <v>0</v>
      </c>
      <c r="G7" s="77" t="str">
        <f t="shared" si="0"/>
        <v>N/A</v>
      </c>
      <c r="H7" s="78" t="str">
        <f t="shared" si="1"/>
        <v>N/A</v>
      </c>
      <c r="J7" s="3">
        <v>4</v>
      </c>
      <c r="K7" s="36" t="s">
        <v>75</v>
      </c>
      <c r="L7" s="77">
        <f>SUMIFS($S$38:$S$118,$D$38:$D$118,Table!$D$3,$P$38:$P$118,K7)</f>
        <v>0</v>
      </c>
      <c r="M7" s="77">
        <f>SUMIFS($T$38:$T$118,$D$38:$D$118,Table!$D$3,$P$38:$P$118,K7)-SUM(SUMIFS($T$38:$T$118,$D$38:$D$118,Table!$D$3,$P$38:$P$118,K7,$X$38:$X$118,{"Ongoing","N/A",""}))</f>
        <v>0</v>
      </c>
      <c r="N7" s="77">
        <f>1/8*(SUMIFS($W$38:$W$118,$D$38:$D$118,Table!$D$3,$P$38:$P$118,K7)-SUM(SUMIFS($W$38:$W$118,$D$38:$D$118,Table!$D$3,$P$38:$P$118,K7,$X$38:$X$118,{"Ongoing","N/A",""})))</f>
        <v>0</v>
      </c>
      <c r="O7" s="77" t="str">
        <f t="shared" si="2"/>
        <v>N/A</v>
      </c>
      <c r="P7" s="78" t="str">
        <f t="shared" si="3"/>
        <v>N/A</v>
      </c>
    </row>
    <row r="8" spans="1:27" x14ac:dyDescent="0.25">
      <c r="B8" s="2" t="s">
        <v>287</v>
      </c>
      <c r="C8" s="35"/>
      <c r="D8" s="79">
        <f>SUMIFS($T$38:$T$118,$D$38:$D$118,Table!$D$3)</f>
        <v>720</v>
      </c>
      <c r="E8" s="79">
        <f>SUMIFS($T$38:$T$118,$D$38:$D$118,Table!$D$3)-SUM(SUMIFS($T$38:$T$118,$D$38:$D$118,Table!$D$3,$X$38:$X$118,{"Ongoing","N/A",""}))</f>
        <v>720</v>
      </c>
      <c r="F8" s="79">
        <f>1/8*(SUMIFS($W$38:$W$118,$D$38:$D$118,Table!$D$3)-SUM(SUMIFS($W$38:$W$118,$D$38:$D$118,Table!$D$3,$X$38:$X$118,{"Ongoing","N/A",""})))</f>
        <v>1.5</v>
      </c>
      <c r="G8" s="77">
        <f>IF(ISERROR(E8/(F8)),"N/A",E8/F8)</f>
        <v>480</v>
      </c>
      <c r="H8" s="78">
        <f t="shared" si="1"/>
        <v>1</v>
      </c>
      <c r="J8" s="2" t="s">
        <v>287</v>
      </c>
      <c r="K8" s="35"/>
      <c r="L8" s="79">
        <f>SUMIFS($S$38:$S$118,$D$38:$D$118,Table!$D$3)</f>
        <v>804</v>
      </c>
      <c r="M8" s="79">
        <f>SUMIFS($S$38:$S$118,$D$38:$D$118,Table!$D$3)-SUM(SUMIFS($S$38:$S$118,$D$38:$D$118,Table!$D$3,$X$38:$X$118,{"Ongoing","N/A",""}))</f>
        <v>804</v>
      </c>
      <c r="N8" s="79">
        <f>1/8*(SUMIFS($W$38:$W$118,$D$38:$D$118,Table!$D$3)-SUM(SUMIFS($W$38:$W$118,$D$38:$D$118,Table!$D$3,$X$38:$X$118,{"Ongoing","N/A",""})))</f>
        <v>1.5</v>
      </c>
      <c r="O8" s="77">
        <f>IF(ISERROR(M8/(N8)),"N/A",M8/N8)</f>
        <v>536</v>
      </c>
      <c r="P8" s="78">
        <f t="shared" si="3"/>
        <v>1</v>
      </c>
    </row>
    <row r="11" spans="1:27" x14ac:dyDescent="0.25">
      <c r="B11" s="1" t="s">
        <v>60</v>
      </c>
      <c r="J11" s="1" t="s">
        <v>60</v>
      </c>
    </row>
    <row r="12" spans="1:27" x14ac:dyDescent="0.25">
      <c r="B12" s="2" t="s">
        <v>0</v>
      </c>
      <c r="C12" s="2" t="s">
        <v>8</v>
      </c>
      <c r="D12" s="2" t="s">
        <v>467</v>
      </c>
      <c r="E12" s="2" t="s">
        <v>62</v>
      </c>
      <c r="F12" s="2" t="s">
        <v>494</v>
      </c>
      <c r="G12" s="2" t="s">
        <v>23</v>
      </c>
      <c r="H12" s="4" t="s">
        <v>28</v>
      </c>
      <c r="J12" s="2" t="s">
        <v>0</v>
      </c>
      <c r="K12" s="2" t="s">
        <v>8</v>
      </c>
      <c r="L12" s="2" t="s">
        <v>26</v>
      </c>
      <c r="M12" s="2" t="s">
        <v>27</v>
      </c>
      <c r="N12" s="2" t="s">
        <v>24</v>
      </c>
      <c r="O12" s="2" t="s">
        <v>23</v>
      </c>
      <c r="P12" s="4" t="s">
        <v>28</v>
      </c>
    </row>
    <row r="13" spans="1:27" x14ac:dyDescent="0.25">
      <c r="B13" s="3">
        <v>1</v>
      </c>
      <c r="C13" s="36" t="s">
        <v>6</v>
      </c>
      <c r="D13" s="77">
        <f>SUMIFS($T$38:$T$118,$D$38:$D$118,Table!$C$3,$P$38:$P$118,C13)</f>
        <v>1036.1840000000002</v>
      </c>
      <c r="E13" s="77">
        <f>SUMIFS($U$38:$U$118,$D$38:$D$118,Table!$C$3,$P$38:$P$118,C13)-SUM(SUMIFS($U$38:$U$118,$D$38:$D$118,Table!$C$3,$P$38:$P$118,C13,$X$38:$X$118,{"Ongoing","N/A",""}))</f>
        <v>1036.1840000000002</v>
      </c>
      <c r="F13" s="77">
        <f>1/8*(SUMIFS($W$38:$W$118,$D$38:$D$118,Table!$C$3,$P$38:$P$118,C13)-SUM(SUMIFS($W$38:$W$118,$D$38:$D$118,Table!$C$3,$P$38:$P$118,C13,$X$38:$X$118,{"Ongoing","N/A",""})))</f>
        <v>9.5</v>
      </c>
      <c r="G13" s="77">
        <f>IF(ISERROR(E13/(F13)),"N/A",E13/F13)</f>
        <v>109.07200000000002</v>
      </c>
      <c r="H13" s="78">
        <f>IF(ISERROR(E13/D13),"N/A",E13/D13)</f>
        <v>1</v>
      </c>
      <c r="J13" s="3">
        <v>1</v>
      </c>
      <c r="K13" s="36" t="s">
        <v>6</v>
      </c>
      <c r="L13" s="77">
        <f>SUMIFS($S$38:$S$118,$D$38:$D$118,Table!$C$3,$P$38:$P$118,K13)</f>
        <v>1146</v>
      </c>
      <c r="M13" s="77">
        <f>SUMIFS($S$38:$S$118,$D$38:$D$118,Table!$C$3,$P$38:$P$118,K13)-SUM(SUMIFS($S$38:$S$118,$D$38:$D$118,Table!$C$3,$P$38:$P$118,K13,$X$38:$X$118,{"Ongoing","N/A",""}))</f>
        <v>1146</v>
      </c>
      <c r="N13" s="77">
        <f>1/8*(SUMIFS($W$38:$W$118,$D$38:$D$118,Table!$C$3,$P$38:$P$118,K13)-SUM(SUMIFS($W$38:$W$118,$D$38:$D$118,Table!$C$3,$P$38:$P$118,K13,$X$38:$X$118,{"Ongoing","N/A",""})))</f>
        <v>9.5</v>
      </c>
      <c r="O13" s="77">
        <f>IF(ISERROR(M13/(N13)),"N/A",M13/N13)</f>
        <v>120.63157894736842</v>
      </c>
      <c r="P13" s="78">
        <f>IF(ISERROR(M13/L13),"N/A",M13/L13)</f>
        <v>1</v>
      </c>
    </row>
    <row r="14" spans="1:27" x14ac:dyDescent="0.25">
      <c r="B14" s="3">
        <v>2</v>
      </c>
      <c r="C14" s="36" t="s">
        <v>73</v>
      </c>
      <c r="D14" s="77">
        <f>SUMIFS($T$38:$T$118,$D$38:$D$118,Table!$C$3,$P$38:$P$118,C14)</f>
        <v>1085.0970000000002</v>
      </c>
      <c r="E14" s="77">
        <f>SUMIFS($U$38:$U$118,$D$38:$D$118,Table!$C$3,$P$38:$P$118,C14)-SUM(SUMIFS($U$38:$U$118,$D$38:$D$118,Table!$C$3,$P$38:$P$118,C14,$X$38:$X$118,{"Ongoing","N/A",""}))</f>
        <v>1085.0970000000002</v>
      </c>
      <c r="F14" s="77">
        <f>1/8*(SUMIFS($W$38:$W$118,$D$38:$D$118,Table!$C$3,$P$38:$P$118,C14)-SUM(SUMIFS($W$38:$W$118,$D$38:$D$118,Table!$C$3,$P$38:$P$118,C14,$X$38:$X$118,{"Ongoing","N/A",""})))</f>
        <v>9.4250000000000007</v>
      </c>
      <c r="G14" s="77">
        <f t="shared" ref="G14:G17" si="4">IF(ISERROR(E14/(F14)),"N/A",E14/F14)</f>
        <v>115.12965517241381</v>
      </c>
      <c r="H14" s="78">
        <f t="shared" ref="H14:H17" si="5">IF(ISERROR(E14/D14),"N/A",E14/D14)</f>
        <v>1</v>
      </c>
      <c r="J14" s="3">
        <v>2</v>
      </c>
      <c r="K14" s="36" t="s">
        <v>73</v>
      </c>
      <c r="L14" s="77">
        <f>SUMIFS($S$38:$S$118,$D$38:$D$118,Table!$C$3,$P$38:$P$118,K14)</f>
        <v>1449</v>
      </c>
      <c r="M14" s="77">
        <f>SUMIFS($S$38:$S$118,$D$38:$D$118,Table!$C$3,$P$38:$P$118,K14)-SUM(SUMIFS($S$38:$S$118,$D$38:$D$118,Table!$C$3,$P$38:$P$118,K14,$X$38:$X$118,{"Ongoing","N/A",""}))</f>
        <v>1449</v>
      </c>
      <c r="N14" s="77">
        <f>1/8*(SUMIFS($W$38:$W$118,$D$38:$D$118,Table!$C$3,$P$38:$P$118,K14)-SUM(SUMIFS($W$38:$W$118,$D$38:$D$118,Table!$C$3,$P$38:$P$118,K14,$X$38:$X$118,{"Ongoing","N/A",""})))</f>
        <v>9.4250000000000007</v>
      </c>
      <c r="O14" s="77">
        <f t="shared" ref="O14:O17" si="6">IF(ISERROR(M14/(N14)),"N/A",M14/N14)</f>
        <v>153.74005305039788</v>
      </c>
      <c r="P14" s="78">
        <f t="shared" ref="P14:P17" si="7">IF(ISERROR(M14/L14),"N/A",M14/L14)</f>
        <v>1</v>
      </c>
    </row>
    <row r="15" spans="1:27" x14ac:dyDescent="0.25">
      <c r="B15" s="3">
        <v>3</v>
      </c>
      <c r="C15" s="36" t="s">
        <v>74</v>
      </c>
      <c r="D15" s="77">
        <f>SUMIFS($T$38:$T$118,$D$38:$D$118,Table!$C$3,$P$38:$P$118,C15)</f>
        <v>286</v>
      </c>
      <c r="E15" s="77">
        <f>SUMIFS($U$38:$U$118,$D$38:$D$118,Table!$C$3,$P$38:$P$118,C15)-SUM(SUMIFS($U$38:$U$118,$D$38:$D$118,Table!$C$3,$P$38:$P$118,C15,$X$38:$X$118,{"Ongoing","N/A",""}))</f>
        <v>286</v>
      </c>
      <c r="F15" s="77">
        <f>1/8*(SUMIFS($W$38:$W$118,$D$38:$D$118,Table!$C$3,$P$38:$P$118,C15)-SUM(SUMIFS($W$38:$W$118,$D$38:$D$118,Table!$C$3,$P$38:$P$118,C15,$X$38:$X$118,{"Ongoing","N/A",""})))</f>
        <v>2.75</v>
      </c>
      <c r="G15" s="77">
        <f t="shared" si="4"/>
        <v>104</v>
      </c>
      <c r="H15" s="78">
        <f t="shared" si="5"/>
        <v>1</v>
      </c>
      <c r="J15" s="3">
        <v>3</v>
      </c>
      <c r="K15" s="36" t="s">
        <v>74</v>
      </c>
      <c r="L15" s="77">
        <f>SUMIFS($S$38:$S$118,$D$38:$D$118,Table!$C$3,$P$38:$P$118,K15)</f>
        <v>267</v>
      </c>
      <c r="M15" s="77">
        <f>SUMIFS($S$38:$S$118,$D$38:$D$118,Table!$C$3,$P$38:$P$118,K15)-SUM(SUMIFS($S$38:$S$118,$D$38:$D$118,Table!$C$3,$P$38:$P$118,K15,$X$38:$X$118,{"Ongoing","N/A",""}))</f>
        <v>267</v>
      </c>
      <c r="N15" s="77">
        <f>1/8*(SUMIFS($W$38:$W$118,$D$38:$D$118,Table!$C$3,$P$38:$P$118,K15)-SUM(SUMIFS($W$38:$W$118,$D$38:$D$118,Table!$C$3,$P$38:$P$118,K15,$X$38:$X$118,{"Ongoing","N/A",""})))</f>
        <v>2.75</v>
      </c>
      <c r="O15" s="77">
        <f t="shared" si="6"/>
        <v>97.090909090909093</v>
      </c>
      <c r="P15" s="78">
        <f t="shared" si="7"/>
        <v>1</v>
      </c>
      <c r="AA15" s="7"/>
    </row>
    <row r="16" spans="1:27" x14ac:dyDescent="0.25">
      <c r="B16" s="3">
        <v>4</v>
      </c>
      <c r="C16" s="36" t="s">
        <v>75</v>
      </c>
      <c r="D16" s="77">
        <f>SUMIFS($T$38:$T$118,$D$38:$D$118,Table!$C$3,$P$38:$P$118,C16)</f>
        <v>974.19099999999992</v>
      </c>
      <c r="E16" s="77">
        <f>SUMIFS($U$38:$U$118,$D$38:$D$118,Table!$C$3,$P$38:$P$118,C16)-SUM(SUMIFS($U$38:$U$118,$D$38:$D$118,Table!$C$3,$P$38:$P$118,C16,$X$38:$X$118,{"Ongoing","N/A",""}))</f>
        <v>974.19099999999992</v>
      </c>
      <c r="F16" s="77">
        <f>1/8*(SUMIFS($W$38:$W$118,$D$38:$D$118,Table!$C$3,$P$38:$P$118,C16)-SUM(SUMIFS($W$38:$W$118,$D$38:$D$118,Table!$C$3,$P$38:$P$118,C16,$X$38:$X$118,{"Ongoing","N/A",""})))</f>
        <v>10.125</v>
      </c>
      <c r="G16" s="77">
        <f t="shared" si="4"/>
        <v>96.216395061728392</v>
      </c>
      <c r="H16" s="78">
        <f t="shared" si="5"/>
        <v>1</v>
      </c>
      <c r="J16" s="3">
        <v>4</v>
      </c>
      <c r="K16" s="36" t="s">
        <v>75</v>
      </c>
      <c r="L16" s="77">
        <f>SUMIFS($S$38:$S$118,$D$38:$D$118,Table!$C$3,$P$38:$P$118,K16)</f>
        <v>1645</v>
      </c>
      <c r="M16" s="77">
        <f>SUMIFS($S$38:$S$118,$D$38:$D$118,Table!$C$3,$P$38:$P$118,K16)-SUM(SUMIFS($S$38:$S$118,$D$38:$D$118,Table!$C$3,$P$38:$P$118,K16,$X$38:$X$118,{"Ongoing","N/A",""}))</f>
        <v>1645</v>
      </c>
      <c r="N16" s="77">
        <f>1/8*(SUMIFS($W$38:$W$118,$D$38:$D$118,Table!$C$3,$P$38:$P$118,K16)-SUM(SUMIFS($W$38:$W$118,$D$38:$D$118,Table!$C$3,$P$38:$P$118,K16,$X$38:$X$118,{"Ongoing","N/A",""})))</f>
        <v>10.125</v>
      </c>
      <c r="O16" s="77">
        <f t="shared" si="6"/>
        <v>162.46913580246914</v>
      </c>
      <c r="P16" s="78">
        <f t="shared" si="7"/>
        <v>1</v>
      </c>
      <c r="AA16" s="7"/>
    </row>
    <row r="17" spans="2:27" x14ac:dyDescent="0.25">
      <c r="B17" s="2" t="s">
        <v>287</v>
      </c>
      <c r="C17" s="35"/>
      <c r="D17" s="79">
        <f>ROUND(SUMIFS($T$38:$T$118,$D$38:$D$118,Table!$C$3),3)</f>
        <v>3381.4720000000002</v>
      </c>
      <c r="E17" s="79">
        <f>ROUND(SUMIFS($T$38:$T$118,$D$38:$D$118,Table!$C$3)-SUM(SUMIFS($T$38:$T$118,$D$38:$D$118,Table!$C$3,$X$38:$X$118,{"Ongoing","N/A",""})),3)</f>
        <v>3381.4720000000002</v>
      </c>
      <c r="F17" s="79">
        <f>1/8*(SUMIFS($W$38:$W$118,$D$38:$D$118,Table!$C$3)-SUM(SUMIFS($W$38:$W$118,$D$38:$D$118,Table!$C$3,$X$38:$X$118,{"Ongoing","N/A",""})))</f>
        <v>31.799999999999997</v>
      </c>
      <c r="G17" s="77">
        <f t="shared" si="4"/>
        <v>106.33559748427675</v>
      </c>
      <c r="H17" s="78">
        <f t="shared" si="5"/>
        <v>1</v>
      </c>
      <c r="J17" s="2" t="s">
        <v>287</v>
      </c>
      <c r="K17" s="35"/>
      <c r="L17" s="79">
        <f>SUMIFS($S$38:$S$118,$D$38:$D$118,Table!$C$3)</f>
        <v>4507</v>
      </c>
      <c r="M17" s="79">
        <f>SUMIFS($S$38:$S$118,$D$38:$D$118,Table!$C$3)-SUM(SUMIFS($S$38:$S$118,$D$38:$D$118,Table!$C$3,$X$38:$X$118,{"Ongoing","N/A",""}))</f>
        <v>4507</v>
      </c>
      <c r="N17" s="79">
        <f>1/8*(SUMIFS($W$38:$W$118,$D$38:$D$118,Table!$C$3)-SUM(SUMIFS($W$38:$W$118,$D$38:$D$118,Table!$C$3,$X$38:$X$118,{"Ongoing","N/A",""})))</f>
        <v>31.799999999999997</v>
      </c>
      <c r="O17" s="77">
        <f t="shared" si="6"/>
        <v>141.72955974842768</v>
      </c>
      <c r="P17" s="78">
        <f t="shared" si="7"/>
        <v>1</v>
      </c>
      <c r="AA17" s="7"/>
    </row>
    <row r="20" spans="2:27" x14ac:dyDescent="0.25">
      <c r="B20" s="1" t="s">
        <v>288</v>
      </c>
      <c r="J20" s="1" t="s">
        <v>288</v>
      </c>
    </row>
    <row r="21" spans="2:27" x14ac:dyDescent="0.25">
      <c r="B21" s="2" t="s">
        <v>0</v>
      </c>
      <c r="C21" s="2" t="s">
        <v>8</v>
      </c>
      <c r="D21" s="2" t="s">
        <v>467</v>
      </c>
      <c r="E21" s="2" t="s">
        <v>62</v>
      </c>
      <c r="F21" s="2" t="s">
        <v>229</v>
      </c>
      <c r="G21" s="2" t="s">
        <v>23</v>
      </c>
      <c r="H21" s="4" t="s">
        <v>28</v>
      </c>
      <c r="J21" s="2" t="s">
        <v>0</v>
      </c>
      <c r="K21" s="2" t="s">
        <v>8</v>
      </c>
      <c r="L21" s="2" t="s">
        <v>26</v>
      </c>
      <c r="M21" s="2" t="s">
        <v>27</v>
      </c>
      <c r="N21" s="2" t="s">
        <v>24</v>
      </c>
      <c r="O21" s="2" t="s">
        <v>23</v>
      </c>
      <c r="P21" s="4" t="s">
        <v>28</v>
      </c>
    </row>
    <row r="22" spans="2:27" x14ac:dyDescent="0.25">
      <c r="B22" s="3">
        <v>1</v>
      </c>
      <c r="C22" s="36" t="s">
        <v>6</v>
      </c>
      <c r="D22" s="77">
        <f>SUM(D13*Table!$D$4/Table!$C$4,D4)</f>
        <v>3811.7907692307699</v>
      </c>
      <c r="E22" s="77">
        <f>SUM(E13*Table!$D$4/Table!$C$4,E4)</f>
        <v>3811.7907692307699</v>
      </c>
      <c r="F22" s="77">
        <f ca="1">IF(OR(Monthly_20200320!E34="-",Monthly_20200320!E34=""),Monthly_20200320!$B$4,Monthly_20200320!$B$4-Monthly_20200320!E34)</f>
        <v>11</v>
      </c>
      <c r="G22" s="77">
        <f t="shared" ref="G22" ca="1" si="8">IF(ISERROR(E22/(F22)),"N/A",E22/F22)</f>
        <v>346.52643356643364</v>
      </c>
      <c r="H22" s="78">
        <f t="shared" ref="H22:H26" si="9">IF(ISERROR(E22/D22),"N/A",E22/D22)</f>
        <v>1</v>
      </c>
      <c r="J22" s="3">
        <v>1</v>
      </c>
      <c r="K22" s="36" t="s">
        <v>6</v>
      </c>
      <c r="L22" s="77">
        <f>SUM(L13*Table!$D$4/Table!$C$4,L4)</f>
        <v>4184.9230769230771</v>
      </c>
      <c r="M22" s="77">
        <f>SUM(M13*Table!$D$4/Table!$C$4,M4)</f>
        <v>4191.9230769230771</v>
      </c>
      <c r="N22" s="77">
        <f ca="1">IF(OR(Template_Weekly_Report!E34="-",Template_Weekly_Report!E34=""),Template_Weekly_Report!$B$4,Template_Weekly_Report!$B$4-Template_Weekly_Report!E34)+Table!D13</f>
        <v>26</v>
      </c>
      <c r="O22" s="77">
        <f t="shared" ref="O22" ca="1" si="10">IF(ISERROR(M22/(N22)),"N/A",M22/N22)</f>
        <v>161.22781065088759</v>
      </c>
      <c r="P22" s="78">
        <f t="shared" ref="P22:P26" si="11">IF(ISERROR(M22/L22),"N/A",M22/L22)</f>
        <v>1.0016726711271231</v>
      </c>
    </row>
    <row r="23" spans="2:27" x14ac:dyDescent="0.25">
      <c r="B23" s="3">
        <v>2</v>
      </c>
      <c r="C23" s="36" t="s">
        <v>73</v>
      </c>
      <c r="D23" s="77">
        <f>SUM(D14*Table!$D$4/Table!$C$4,D5)</f>
        <v>3756.1050000000005</v>
      </c>
      <c r="E23" s="77">
        <f>SUM(E14*Table!$D$4/Table!$C$4,E5)</f>
        <v>3756.1050000000005</v>
      </c>
      <c r="F23" s="77">
        <f ca="1">IF(OR(Monthly_20200320!E35="-",Monthly_20200320!E35=""),Monthly_20200320!$B$4,Monthly_20200320!$B$4-Monthly_20200320!E35)</f>
        <v>11</v>
      </c>
      <c r="G23" s="77">
        <f ca="1">IF(ISERROR(E23/(F23)),"N/A",E23/F23)</f>
        <v>341.46409090909094</v>
      </c>
      <c r="H23" s="78">
        <f t="shared" si="9"/>
        <v>1</v>
      </c>
      <c r="J23" s="3">
        <v>2</v>
      </c>
      <c r="K23" s="36" t="s">
        <v>73</v>
      </c>
      <c r="L23" s="77">
        <f>SUM(L14*Table!$D$4/Table!$C$4,L5)</f>
        <v>5015.7692307692305</v>
      </c>
      <c r="M23" s="77">
        <f>SUM(M14*Table!$D$4/Table!$C$4,M5)</f>
        <v>5015.7692307692305</v>
      </c>
      <c r="N23" s="77">
        <f ca="1">IF(OR(Template_Weekly_Report!E35="-",Template_Weekly_Report!E35=""),Template_Weekly_Report!$B$4,Template_Weekly_Report!$B$4-Template_Weekly_Report!E35)+Table!D14</f>
        <v>26</v>
      </c>
      <c r="O23" s="77">
        <f ca="1">IF(ISERROR(M23/(N23)),"N/A",M23/N23)</f>
        <v>192.91420118343194</v>
      </c>
      <c r="P23" s="78">
        <f t="shared" si="11"/>
        <v>1</v>
      </c>
    </row>
    <row r="24" spans="2:27" x14ac:dyDescent="0.25">
      <c r="B24" s="3">
        <v>3</v>
      </c>
      <c r="C24" s="36" t="s">
        <v>74</v>
      </c>
      <c r="D24" s="77">
        <f>SUM(D15*Table!$D$4/Table!$C$4,D6)</f>
        <v>1485</v>
      </c>
      <c r="E24" s="77">
        <f>SUM(E15*Table!$D$4/Table!$C$4,E6)</f>
        <v>1485</v>
      </c>
      <c r="F24" s="77">
        <f ca="1">IF(OR(Monthly_20200320!E36="-",Monthly_20200320!E36=""),Monthly_20200320!$B$4,Monthly_20200320!$B$4-Monthly_20200320!E36)+4</f>
        <v>5</v>
      </c>
      <c r="G24" s="77">
        <f t="shared" ref="G24" ca="1" si="12">IF(ISERROR(E24/(F24)),"N/A",E24/F24)</f>
        <v>297</v>
      </c>
      <c r="H24" s="78">
        <f t="shared" si="9"/>
        <v>1</v>
      </c>
      <c r="J24" s="3">
        <v>3</v>
      </c>
      <c r="K24" s="36" t="s">
        <v>74</v>
      </c>
      <c r="L24" s="77">
        <f>SUM(L15*Table!$D$4/Table!$C$4,L6)</f>
        <v>1510.2307692307693</v>
      </c>
      <c r="M24" s="77">
        <f>SUM(M15*Table!$D$4/Table!$C$4,M6)</f>
        <v>1419.2307692307693</v>
      </c>
      <c r="N24" s="77">
        <f ca="1">IF(OR(Template_Weekly_Report!E36="-",Template_Weekly_Report!E36=""),Template_Weekly_Report!$B$4,Template_Weekly_Report!$B$4-Template_Weekly_Report!E36)+Table!D15</f>
        <v>16</v>
      </c>
      <c r="O24" s="77">
        <f t="shared" ref="O24" ca="1" si="13">IF(ISERROR(M24/(N24)),"N/A",M24/N24)</f>
        <v>88.70192307692308</v>
      </c>
      <c r="P24" s="78">
        <f t="shared" si="11"/>
        <v>0.93974430805276832</v>
      </c>
    </row>
    <row r="25" spans="2:27" x14ac:dyDescent="0.25">
      <c r="B25" s="3">
        <v>4</v>
      </c>
      <c r="C25" s="36" t="s">
        <v>75</v>
      </c>
      <c r="D25" s="77">
        <f>SUM(D16*Table!$D$4/Table!$C$4,D7)</f>
        <v>3372.1996153846148</v>
      </c>
      <c r="E25" s="77">
        <f>SUM(E16*Table!$D$4/Table!$C$4,E7)</f>
        <v>3372.1996153846148</v>
      </c>
      <c r="F25" s="77">
        <f ca="1">IF(OR(Monthly_20200320!E37="-",Monthly_20200320!E37=""),Monthly_20200320!$B$4,Monthly_20200320!$B$4-Monthly_20200320!E37)</f>
        <v>11</v>
      </c>
      <c r="G25" s="77">
        <f ca="1">IF(ISERROR(E25/(F25)),"N/A",E25/F25)</f>
        <v>306.56360139860135</v>
      </c>
      <c r="H25" s="78">
        <f t="shared" si="9"/>
        <v>1</v>
      </c>
      <c r="J25" s="3">
        <v>4</v>
      </c>
      <c r="K25" s="36" t="s">
        <v>75</v>
      </c>
      <c r="L25" s="77">
        <f>SUM(L16*Table!$D$4/Table!$C$4,L7)</f>
        <v>5694.2307692307695</v>
      </c>
      <c r="M25" s="77">
        <f>SUM(M16*Table!$D$4/Table!$C$4,M7)</f>
        <v>5694.2307692307695</v>
      </c>
      <c r="N25" s="77">
        <f ca="1">IF(OR(Template_Weekly_Report!E37="-",Template_Weekly_Report!E37=""),Template_Weekly_Report!$B$4,Template_Weekly_Report!$B$4-Template_Weekly_Report!E37)+Table!D16</f>
        <v>26</v>
      </c>
      <c r="O25" s="77">
        <f ca="1">IF(ISERROR(M25/(N25)),"N/A",M25/N25)</f>
        <v>219.00887573964499</v>
      </c>
      <c r="P25" s="78">
        <f t="shared" si="11"/>
        <v>1</v>
      </c>
    </row>
    <row r="26" spans="2:27" x14ac:dyDescent="0.25">
      <c r="B26" s="2" t="s">
        <v>287</v>
      </c>
      <c r="C26" s="35"/>
      <c r="D26" s="77">
        <f>SUM(D22:D25)</f>
        <v>12425.095384615386</v>
      </c>
      <c r="E26" s="77">
        <f>SUM(E22:E25)</f>
        <v>12425.095384615386</v>
      </c>
      <c r="F26" s="77">
        <f ca="1">Monthly_20200320!B4*COUNTA(C22:C25)</f>
        <v>44</v>
      </c>
      <c r="G26" s="77">
        <f ca="1">IF(ISERROR(E26/(F26)),"N/A",E26/F26)</f>
        <v>282.38853146853148</v>
      </c>
      <c r="H26" s="78">
        <f t="shared" si="9"/>
        <v>1</v>
      </c>
      <c r="J26" s="2" t="s">
        <v>287</v>
      </c>
      <c r="K26" s="35"/>
      <c r="L26" s="77">
        <f>SUM(L22:L25)</f>
        <v>16405.153846153848</v>
      </c>
      <c r="M26" s="77">
        <f>SUM(M22:M25)</f>
        <v>16321.153846153848</v>
      </c>
      <c r="N26" s="77">
        <f ca="1">Template_Weekly_Report!B4*COUNTA(C22:C25)</f>
        <v>104</v>
      </c>
      <c r="O26" s="77">
        <f ca="1">IF(ISERROR(M26/(N26)),"N/A",M26/N26)</f>
        <v>156.93417159763314</v>
      </c>
      <c r="P26" s="78">
        <f t="shared" si="11"/>
        <v>0.99487965789362631</v>
      </c>
    </row>
    <row r="29" spans="2:27" x14ac:dyDescent="0.25">
      <c r="B29" s="1" t="s">
        <v>48</v>
      </c>
    </row>
    <row r="30" spans="2:27" x14ac:dyDescent="0.25">
      <c r="C30" s="1" t="s">
        <v>50</v>
      </c>
    </row>
    <row r="31" spans="2:27" x14ac:dyDescent="0.25">
      <c r="D31" t="s">
        <v>49</v>
      </c>
    </row>
    <row r="32" spans="2:27" x14ac:dyDescent="0.25">
      <c r="D32" t="s">
        <v>217</v>
      </c>
    </row>
    <row r="33" spans="1:37" x14ac:dyDescent="0.25">
      <c r="C33" s="1" t="s">
        <v>51</v>
      </c>
    </row>
    <row r="34" spans="1:37" x14ac:dyDescent="0.25">
      <c r="D34" t="s">
        <v>52</v>
      </c>
    </row>
    <row r="35" spans="1:37" x14ac:dyDescent="0.25">
      <c r="D35" t="s">
        <v>53</v>
      </c>
    </row>
    <row r="37" spans="1:37" x14ac:dyDescent="0.25">
      <c r="B37" s="2" t="s">
        <v>0</v>
      </c>
      <c r="C37" s="2" t="s">
        <v>72</v>
      </c>
      <c r="D37" s="2" t="s">
        <v>1</v>
      </c>
      <c r="E37" s="2" t="s">
        <v>65</v>
      </c>
      <c r="F37" s="2" t="s">
        <v>66</v>
      </c>
      <c r="G37" s="2" t="s">
        <v>291</v>
      </c>
      <c r="H37" s="2" t="s">
        <v>67</v>
      </c>
      <c r="I37" s="2" t="s">
        <v>290</v>
      </c>
      <c r="J37" s="2" t="s">
        <v>81</v>
      </c>
      <c r="K37" s="2" t="s">
        <v>80</v>
      </c>
      <c r="L37" s="2" t="s">
        <v>71</v>
      </c>
      <c r="M37" s="2" t="s">
        <v>89</v>
      </c>
      <c r="N37" s="18" t="s">
        <v>64</v>
      </c>
      <c r="O37" s="4" t="s">
        <v>7</v>
      </c>
      <c r="P37" s="4" t="s">
        <v>8</v>
      </c>
      <c r="Q37" s="4" t="s">
        <v>87</v>
      </c>
      <c r="R37" s="4" t="s">
        <v>101</v>
      </c>
      <c r="S37" s="4" t="s">
        <v>84</v>
      </c>
      <c r="T37" s="4" t="s">
        <v>85</v>
      </c>
      <c r="U37" s="4" t="s">
        <v>62</v>
      </c>
      <c r="V37" s="4" t="s">
        <v>88</v>
      </c>
      <c r="W37" s="4" t="s">
        <v>63</v>
      </c>
      <c r="X37" s="4" t="s">
        <v>18</v>
      </c>
      <c r="Y37" s="4" t="s">
        <v>68</v>
      </c>
      <c r="Z37" s="4" t="s">
        <v>69</v>
      </c>
      <c r="AA37" s="2" t="s">
        <v>12</v>
      </c>
      <c r="AB37" s="2" t="s">
        <v>13</v>
      </c>
      <c r="AC37" s="2" t="s">
        <v>86</v>
      </c>
      <c r="AD37" s="2" t="s">
        <v>885</v>
      </c>
      <c r="AE37" s="2" t="s">
        <v>886</v>
      </c>
      <c r="AF37" s="2" t="s">
        <v>14</v>
      </c>
      <c r="AG37" s="2" t="s">
        <v>15</v>
      </c>
      <c r="AH37" s="4" t="s">
        <v>16</v>
      </c>
      <c r="AI37" s="4" t="s">
        <v>17</v>
      </c>
      <c r="AJ37" s="4" t="s">
        <v>90</v>
      </c>
    </row>
    <row r="38" spans="1:37" x14ac:dyDescent="0.25">
      <c r="B38" s="47">
        <v>1</v>
      </c>
      <c r="C38" s="25">
        <v>20200305</v>
      </c>
      <c r="D38" s="24" t="s">
        <v>2</v>
      </c>
      <c r="E38" s="24" t="s">
        <v>162</v>
      </c>
      <c r="F38" s="26" t="s">
        <v>70</v>
      </c>
      <c r="G38" s="24" t="s">
        <v>124</v>
      </c>
      <c r="H38" s="24" t="s">
        <v>164</v>
      </c>
      <c r="I38" s="24" t="s">
        <v>70</v>
      </c>
      <c r="J38" s="26" t="s">
        <v>70</v>
      </c>
      <c r="K38" s="24" t="s">
        <v>163</v>
      </c>
      <c r="L38" s="26" t="s">
        <v>103</v>
      </c>
      <c r="M38" s="26" t="s">
        <v>477</v>
      </c>
      <c r="N38" s="27" t="s">
        <v>504</v>
      </c>
      <c r="O38" s="25" t="s">
        <v>202</v>
      </c>
      <c r="P38" s="24" t="s">
        <v>6</v>
      </c>
      <c r="Q38" s="24"/>
      <c r="R38" s="24"/>
      <c r="S38" s="24">
        <v>38</v>
      </c>
      <c r="T38" s="24">
        <f>ROUND(IF(D38=Table!$C$3,V38*Table!$C$4/8,V38*Table!$D$4/8),3)</f>
        <v>37.293999999999997</v>
      </c>
      <c r="U38" s="24">
        <f>T38</f>
        <v>37.293999999999997</v>
      </c>
      <c r="V38" s="24">
        <v>2.2949999999999999</v>
      </c>
      <c r="W38" s="24">
        <v>2</v>
      </c>
      <c r="X38" s="24" t="s">
        <v>83</v>
      </c>
      <c r="Y38" s="28">
        <v>43896</v>
      </c>
      <c r="Z38" s="28">
        <v>43901</v>
      </c>
      <c r="AA38" s="28">
        <v>43896</v>
      </c>
      <c r="AB38" s="28">
        <v>43896</v>
      </c>
      <c r="AC38" s="30" t="s">
        <v>204</v>
      </c>
      <c r="AD38" s="30"/>
      <c r="AE38" s="30"/>
      <c r="AF38" s="57">
        <v>1</v>
      </c>
      <c r="AG38" s="57">
        <v>1</v>
      </c>
      <c r="AH38" s="57">
        <v>1</v>
      </c>
      <c r="AI38" s="24"/>
      <c r="AJ38" s="24"/>
      <c r="AK38" s="24"/>
    </row>
    <row r="39" spans="1:37" x14ac:dyDescent="0.25">
      <c r="A39" s="20"/>
      <c r="B39" s="47">
        <v>2</v>
      </c>
      <c r="C39" s="22">
        <v>20200305</v>
      </c>
      <c r="D39" s="30" t="s">
        <v>2</v>
      </c>
      <c r="E39" s="30" t="s">
        <v>162</v>
      </c>
      <c r="F39" s="26" t="s">
        <v>70</v>
      </c>
      <c r="G39" s="24" t="s">
        <v>125</v>
      </c>
      <c r="H39" s="24" t="s">
        <v>165</v>
      </c>
      <c r="I39" s="24" t="s">
        <v>70</v>
      </c>
      <c r="J39" s="24" t="s">
        <v>70</v>
      </c>
      <c r="K39" s="24" t="s">
        <v>163</v>
      </c>
      <c r="L39" s="26" t="s">
        <v>104</v>
      </c>
      <c r="M39" s="26" t="s">
        <v>477</v>
      </c>
      <c r="N39" s="27" t="s">
        <v>505</v>
      </c>
      <c r="O39" s="25" t="s">
        <v>202</v>
      </c>
      <c r="P39" s="30" t="s">
        <v>6</v>
      </c>
      <c r="Q39" s="30"/>
      <c r="R39" s="24"/>
      <c r="S39" s="24">
        <v>26</v>
      </c>
      <c r="T39" s="24">
        <f>ROUND(IF(D39=Table!$C$3,V39*Table!$C$4/8,V39*Table!$D$4/8),3)</f>
        <v>20.719000000000001</v>
      </c>
      <c r="U39" s="24">
        <f t="shared" ref="U39:U102" si="14">T39</f>
        <v>20.719000000000001</v>
      </c>
      <c r="V39" s="24">
        <v>1.2749999999999999</v>
      </c>
      <c r="W39" s="24">
        <v>1</v>
      </c>
      <c r="X39" s="24" t="s">
        <v>83</v>
      </c>
      <c r="Y39" s="28">
        <v>43896</v>
      </c>
      <c r="Z39" s="28">
        <v>43901</v>
      </c>
      <c r="AA39" s="28">
        <v>43896</v>
      </c>
      <c r="AB39" s="28">
        <v>43899</v>
      </c>
      <c r="AC39" s="30" t="s">
        <v>204</v>
      </c>
      <c r="AD39" s="30"/>
      <c r="AE39" s="30"/>
      <c r="AF39" s="57">
        <v>1</v>
      </c>
      <c r="AG39" s="57">
        <v>1</v>
      </c>
      <c r="AH39" s="57" t="s">
        <v>219</v>
      </c>
      <c r="AI39" s="24"/>
      <c r="AJ39" s="24"/>
      <c r="AK39" s="24"/>
    </row>
    <row r="40" spans="1:37" x14ac:dyDescent="0.25">
      <c r="B40" s="47">
        <v>3</v>
      </c>
      <c r="C40" s="25">
        <v>20200305</v>
      </c>
      <c r="D40" s="24" t="s">
        <v>2</v>
      </c>
      <c r="E40" s="24" t="s">
        <v>162</v>
      </c>
      <c r="F40" s="26" t="s">
        <v>70</v>
      </c>
      <c r="G40" s="24" t="s">
        <v>126</v>
      </c>
      <c r="H40" s="24" t="s">
        <v>166</v>
      </c>
      <c r="I40" s="24" t="s">
        <v>70</v>
      </c>
      <c r="J40" s="24" t="s">
        <v>70</v>
      </c>
      <c r="K40" s="24" t="s">
        <v>163</v>
      </c>
      <c r="L40" s="26" t="s">
        <v>105</v>
      </c>
      <c r="M40" s="26" t="s">
        <v>477</v>
      </c>
      <c r="N40" s="27" t="s">
        <v>506</v>
      </c>
      <c r="O40" s="25" t="s">
        <v>202</v>
      </c>
      <c r="P40" s="24" t="s">
        <v>6</v>
      </c>
      <c r="Q40" s="24"/>
      <c r="R40" s="24"/>
      <c r="S40" s="24">
        <v>35</v>
      </c>
      <c r="T40" s="24">
        <f>ROUND(IF(D40=Table!$C$3,V40*Table!$C$4/8,V40*Table!$D$4/8),3)</f>
        <v>26.244</v>
      </c>
      <c r="U40" s="24">
        <f t="shared" si="14"/>
        <v>26.244</v>
      </c>
      <c r="V40" s="24">
        <v>1.615</v>
      </c>
      <c r="W40" s="24">
        <v>1</v>
      </c>
      <c r="X40" s="24" t="s">
        <v>83</v>
      </c>
      <c r="Y40" s="28">
        <v>43896</v>
      </c>
      <c r="Z40" s="28">
        <v>43901</v>
      </c>
      <c r="AA40" s="28">
        <v>43896</v>
      </c>
      <c r="AB40" s="28">
        <v>43899</v>
      </c>
      <c r="AC40" s="30" t="s">
        <v>204</v>
      </c>
      <c r="AD40" s="30"/>
      <c r="AE40" s="30"/>
      <c r="AF40" s="57">
        <v>1</v>
      </c>
      <c r="AG40" s="57">
        <v>1</v>
      </c>
      <c r="AH40" s="57">
        <v>1</v>
      </c>
      <c r="AI40" s="24"/>
      <c r="AJ40" s="24"/>
      <c r="AK40" s="24"/>
    </row>
    <row r="41" spans="1:37" x14ac:dyDescent="0.25">
      <c r="B41" s="47">
        <v>4</v>
      </c>
      <c r="C41" s="25">
        <v>20200305</v>
      </c>
      <c r="D41" s="24" t="s">
        <v>2</v>
      </c>
      <c r="E41" s="24" t="s">
        <v>162</v>
      </c>
      <c r="F41" s="26" t="s">
        <v>70</v>
      </c>
      <c r="G41" s="24" t="s">
        <v>127</v>
      </c>
      <c r="H41" s="24" t="s">
        <v>167</v>
      </c>
      <c r="I41" s="24" t="s">
        <v>70</v>
      </c>
      <c r="J41" s="24" t="s">
        <v>70</v>
      </c>
      <c r="K41" s="24" t="s">
        <v>163</v>
      </c>
      <c r="L41" s="26" t="s">
        <v>106</v>
      </c>
      <c r="M41" s="26" t="s">
        <v>477</v>
      </c>
      <c r="N41" s="27" t="s">
        <v>507</v>
      </c>
      <c r="O41" s="25" t="s">
        <v>202</v>
      </c>
      <c r="P41" s="24" t="s">
        <v>6</v>
      </c>
      <c r="Q41" s="24"/>
      <c r="R41" s="24"/>
      <c r="S41" s="24">
        <v>55</v>
      </c>
      <c r="T41" s="24">
        <f>ROUND(IF(D41=Table!$C$3,V41*Table!$C$4/8,V41*Table!$D$4/8),3)</f>
        <v>37.293999999999997</v>
      </c>
      <c r="U41" s="24">
        <f t="shared" si="14"/>
        <v>37.293999999999997</v>
      </c>
      <c r="V41" s="24">
        <v>2.2949999999999999</v>
      </c>
      <c r="W41" s="24">
        <v>3</v>
      </c>
      <c r="X41" s="24" t="s">
        <v>83</v>
      </c>
      <c r="Y41" s="28">
        <v>43896</v>
      </c>
      <c r="Z41" s="28">
        <v>43901</v>
      </c>
      <c r="AA41" s="28">
        <v>43896</v>
      </c>
      <c r="AB41" s="28">
        <v>43901</v>
      </c>
      <c r="AC41" s="30" t="s">
        <v>204</v>
      </c>
      <c r="AD41" s="30"/>
      <c r="AE41" s="30"/>
      <c r="AF41" s="57">
        <v>1</v>
      </c>
      <c r="AG41" s="57">
        <v>1</v>
      </c>
      <c r="AH41" s="57">
        <v>1</v>
      </c>
      <c r="AI41" s="24"/>
      <c r="AJ41" s="24"/>
      <c r="AK41" s="32"/>
    </row>
    <row r="42" spans="1:37" x14ac:dyDescent="0.25">
      <c r="B42" s="47">
        <v>5</v>
      </c>
      <c r="C42" s="25">
        <v>20200305</v>
      </c>
      <c r="D42" s="24" t="s">
        <v>2</v>
      </c>
      <c r="E42" s="24" t="s">
        <v>162</v>
      </c>
      <c r="F42" s="26" t="s">
        <v>70</v>
      </c>
      <c r="G42" s="24" t="s">
        <v>128</v>
      </c>
      <c r="H42" s="24" t="s">
        <v>168</v>
      </c>
      <c r="I42" s="24" t="s">
        <v>70</v>
      </c>
      <c r="J42" s="24" t="s">
        <v>70</v>
      </c>
      <c r="K42" s="24" t="s">
        <v>163</v>
      </c>
      <c r="L42" s="26" t="s">
        <v>107</v>
      </c>
      <c r="M42" s="26" t="s">
        <v>477</v>
      </c>
      <c r="N42" s="27" t="s">
        <v>508</v>
      </c>
      <c r="O42" s="25" t="s">
        <v>202</v>
      </c>
      <c r="P42" s="24" t="s">
        <v>6</v>
      </c>
      <c r="Q42" s="24"/>
      <c r="R42" s="24"/>
      <c r="S42" s="24">
        <v>150</v>
      </c>
      <c r="T42" s="24">
        <f>ROUND(IF(D42=Table!$C$3,V42*Table!$C$4/8,V42*Table!$D$4/8),3)</f>
        <v>125.694</v>
      </c>
      <c r="U42" s="24">
        <f t="shared" si="14"/>
        <v>125.694</v>
      </c>
      <c r="V42" s="24">
        <v>7.7349999999999994</v>
      </c>
      <c r="W42" s="24">
        <v>8</v>
      </c>
      <c r="X42" s="24" t="s">
        <v>83</v>
      </c>
      <c r="Y42" s="28">
        <v>43896</v>
      </c>
      <c r="Z42" s="28">
        <v>43901</v>
      </c>
      <c r="AA42" s="28">
        <v>43896</v>
      </c>
      <c r="AB42" s="28">
        <v>43900</v>
      </c>
      <c r="AC42" s="30" t="s">
        <v>204</v>
      </c>
      <c r="AD42" s="30"/>
      <c r="AE42" s="30"/>
      <c r="AF42" s="57">
        <v>0.96599999999999997</v>
      </c>
      <c r="AG42" s="57">
        <v>0.96699999999999997</v>
      </c>
      <c r="AH42" s="58">
        <v>1</v>
      </c>
      <c r="AI42" s="24" t="s">
        <v>218</v>
      </c>
      <c r="AJ42" s="24"/>
      <c r="AK42" s="24"/>
    </row>
    <row r="43" spans="1:37" x14ac:dyDescent="0.25">
      <c r="B43" s="47">
        <v>6</v>
      </c>
      <c r="C43" s="25">
        <v>20200305</v>
      </c>
      <c r="D43" s="24" t="s">
        <v>2</v>
      </c>
      <c r="E43" s="24" t="s">
        <v>162</v>
      </c>
      <c r="F43" s="26" t="s">
        <v>70</v>
      </c>
      <c r="G43" s="24" t="s">
        <v>129</v>
      </c>
      <c r="H43" s="24" t="s">
        <v>169</v>
      </c>
      <c r="I43" s="24" t="s">
        <v>70</v>
      </c>
      <c r="J43" s="24" t="s">
        <v>70</v>
      </c>
      <c r="K43" s="24" t="s">
        <v>163</v>
      </c>
      <c r="L43" s="26" t="s">
        <v>108</v>
      </c>
      <c r="M43" s="26" t="s">
        <v>477</v>
      </c>
      <c r="N43" s="27" t="s">
        <v>509</v>
      </c>
      <c r="O43" s="25" t="s">
        <v>202</v>
      </c>
      <c r="P43" s="24" t="s">
        <v>6</v>
      </c>
      <c r="Q43" s="24"/>
      <c r="R43" s="24"/>
      <c r="S43" s="24">
        <v>195</v>
      </c>
      <c r="T43" s="24">
        <f>ROUND(IF(D43=Table!$C$3,V43*Table!$C$4/8,V43*Table!$D$4/8),3)</f>
        <v>169.89400000000001</v>
      </c>
      <c r="U43" s="24">
        <f t="shared" si="14"/>
        <v>169.89400000000001</v>
      </c>
      <c r="V43" s="24">
        <v>10.455</v>
      </c>
      <c r="W43" s="24">
        <v>11</v>
      </c>
      <c r="X43" s="24" t="s">
        <v>83</v>
      </c>
      <c r="Y43" s="28">
        <v>43896</v>
      </c>
      <c r="Z43" s="28">
        <v>43901</v>
      </c>
      <c r="AA43" s="28">
        <v>43902</v>
      </c>
      <c r="AB43" s="28">
        <v>43903</v>
      </c>
      <c r="AC43" s="30" t="s">
        <v>205</v>
      </c>
      <c r="AD43" s="30"/>
      <c r="AE43" s="30"/>
      <c r="AF43" s="57">
        <v>0.95099999999999996</v>
      </c>
      <c r="AG43" s="57">
        <v>0.94900000000000007</v>
      </c>
      <c r="AH43" s="57">
        <v>0.90400000000000003</v>
      </c>
      <c r="AI43" s="24" t="s">
        <v>478</v>
      </c>
      <c r="AJ43" s="24"/>
      <c r="AK43" s="24"/>
    </row>
    <row r="44" spans="1:37" x14ac:dyDescent="0.25">
      <c r="A44" s="20"/>
      <c r="B44" s="47">
        <v>7</v>
      </c>
      <c r="C44" s="25">
        <v>20200305</v>
      </c>
      <c r="D44" s="31" t="s">
        <v>2</v>
      </c>
      <c r="E44" s="31" t="s">
        <v>162</v>
      </c>
      <c r="F44" s="26" t="s">
        <v>70</v>
      </c>
      <c r="G44" s="24" t="s">
        <v>130</v>
      </c>
      <c r="H44" s="24" t="s">
        <v>170</v>
      </c>
      <c r="I44" s="24" t="s">
        <v>70</v>
      </c>
      <c r="J44" s="24" t="s">
        <v>70</v>
      </c>
      <c r="K44" s="24" t="s">
        <v>163</v>
      </c>
      <c r="L44" s="26" t="s">
        <v>109</v>
      </c>
      <c r="M44" s="26" t="s">
        <v>477</v>
      </c>
      <c r="N44" s="27" t="s">
        <v>510</v>
      </c>
      <c r="O44" s="25" t="s">
        <v>202</v>
      </c>
      <c r="P44" s="22" t="s">
        <v>6</v>
      </c>
      <c r="Q44" s="22"/>
      <c r="R44" s="24"/>
      <c r="S44" s="24">
        <v>99</v>
      </c>
      <c r="T44" s="24">
        <f>ROUND(IF(D44=Table!$C$3,V44*Table!$C$4/8,V44*Table!$D$4/8),3)</f>
        <v>59.393999999999998</v>
      </c>
      <c r="U44" s="24">
        <f t="shared" si="14"/>
        <v>59.393999999999998</v>
      </c>
      <c r="V44" s="24">
        <v>3.6549999999999998</v>
      </c>
      <c r="W44" s="24">
        <v>2</v>
      </c>
      <c r="X44" s="24" t="s">
        <v>83</v>
      </c>
      <c r="Y44" s="28">
        <v>43896</v>
      </c>
      <c r="Z44" s="28">
        <v>43901</v>
      </c>
      <c r="AA44" s="28">
        <v>43903</v>
      </c>
      <c r="AB44" s="28">
        <v>43903</v>
      </c>
      <c r="AC44" s="30" t="s">
        <v>204</v>
      </c>
      <c r="AD44" s="30"/>
      <c r="AE44" s="30"/>
      <c r="AF44" s="57">
        <v>1</v>
      </c>
      <c r="AG44" s="57">
        <v>1</v>
      </c>
      <c r="AH44" s="57">
        <v>1</v>
      </c>
      <c r="AI44" s="24"/>
      <c r="AJ44" s="24"/>
      <c r="AK44" s="24"/>
    </row>
    <row r="45" spans="1:37" x14ac:dyDescent="0.25">
      <c r="B45" s="47">
        <v>8</v>
      </c>
      <c r="C45" s="25">
        <v>20200305</v>
      </c>
      <c r="D45" s="23" t="s">
        <v>2</v>
      </c>
      <c r="E45" s="23" t="s">
        <v>162</v>
      </c>
      <c r="F45" s="26" t="s">
        <v>70</v>
      </c>
      <c r="G45" s="24" t="s">
        <v>131</v>
      </c>
      <c r="H45" s="24" t="s">
        <v>171</v>
      </c>
      <c r="I45" s="24" t="s">
        <v>70</v>
      </c>
      <c r="J45" s="24" t="s">
        <v>70</v>
      </c>
      <c r="K45" s="24" t="s">
        <v>163</v>
      </c>
      <c r="L45" s="26" t="s">
        <v>110</v>
      </c>
      <c r="M45" s="26" t="s">
        <v>477</v>
      </c>
      <c r="N45" s="27" t="s">
        <v>511</v>
      </c>
      <c r="O45" s="25" t="s">
        <v>202</v>
      </c>
      <c r="P45" s="23" t="s">
        <v>6</v>
      </c>
      <c r="Q45" s="23"/>
      <c r="R45" s="24"/>
      <c r="S45" s="24">
        <v>49</v>
      </c>
      <c r="T45" s="24">
        <f>ROUND(IF(D45=Table!$C$3,V45*Table!$C$4/8,V45*Table!$D$4/8),3)</f>
        <v>42.819000000000003</v>
      </c>
      <c r="U45" s="24">
        <f t="shared" si="14"/>
        <v>42.819000000000003</v>
      </c>
      <c r="V45" s="24">
        <v>2.6349999999999998</v>
      </c>
      <c r="W45" s="24">
        <v>3</v>
      </c>
      <c r="X45" s="24" t="s">
        <v>83</v>
      </c>
      <c r="Y45" s="28">
        <v>43896</v>
      </c>
      <c r="Z45" s="28">
        <v>43901</v>
      </c>
      <c r="AA45" s="28">
        <v>43901</v>
      </c>
      <c r="AB45" s="28">
        <v>43901</v>
      </c>
      <c r="AC45" s="30" t="s">
        <v>204</v>
      </c>
      <c r="AD45" s="30"/>
      <c r="AE45" s="30"/>
      <c r="AF45" s="57">
        <v>1</v>
      </c>
      <c r="AG45" s="57">
        <v>1</v>
      </c>
      <c r="AH45" s="57">
        <v>1</v>
      </c>
      <c r="AI45" s="24"/>
      <c r="AJ45" s="24"/>
      <c r="AK45" s="24"/>
    </row>
    <row r="46" spans="1:37" x14ac:dyDescent="0.25">
      <c r="A46" s="21"/>
      <c r="B46" s="47">
        <v>9</v>
      </c>
      <c r="C46" s="25">
        <v>20200305</v>
      </c>
      <c r="D46" s="22" t="s">
        <v>2</v>
      </c>
      <c r="E46" s="22" t="s">
        <v>162</v>
      </c>
      <c r="F46" s="26" t="s">
        <v>70</v>
      </c>
      <c r="G46" s="24" t="s">
        <v>132</v>
      </c>
      <c r="H46" s="24" t="s">
        <v>172</v>
      </c>
      <c r="I46" s="24" t="s">
        <v>70</v>
      </c>
      <c r="J46" s="24" t="s">
        <v>70</v>
      </c>
      <c r="K46" s="24" t="s">
        <v>163</v>
      </c>
      <c r="L46" s="26" t="s">
        <v>111</v>
      </c>
      <c r="M46" s="26" t="s">
        <v>477</v>
      </c>
      <c r="N46" s="27" t="s">
        <v>512</v>
      </c>
      <c r="O46" s="25" t="s">
        <v>202</v>
      </c>
      <c r="P46" s="22" t="s">
        <v>6</v>
      </c>
      <c r="Q46" s="22"/>
      <c r="R46" s="24"/>
      <c r="S46" s="24">
        <v>62</v>
      </c>
      <c r="T46" s="24">
        <f>ROUND(IF(D46=Table!$C$3,V46*Table!$C$4/8,V46*Table!$D$4/8),3)</f>
        <v>26.244</v>
      </c>
      <c r="U46" s="24">
        <f t="shared" si="14"/>
        <v>26.244</v>
      </c>
      <c r="V46" s="24">
        <v>1.615</v>
      </c>
      <c r="W46" s="24">
        <v>2</v>
      </c>
      <c r="X46" s="24" t="s">
        <v>83</v>
      </c>
      <c r="Y46" s="28">
        <v>43896</v>
      </c>
      <c r="Z46" s="28">
        <v>43901</v>
      </c>
      <c r="AA46" s="28">
        <v>43902</v>
      </c>
      <c r="AB46" s="28">
        <v>43902</v>
      </c>
      <c r="AC46" s="30" t="s">
        <v>204</v>
      </c>
      <c r="AD46" s="30"/>
      <c r="AE46" s="30"/>
      <c r="AF46" s="57">
        <v>0.70700000000000007</v>
      </c>
      <c r="AG46" s="57">
        <v>0.77800000000000002</v>
      </c>
      <c r="AH46" s="57">
        <v>1</v>
      </c>
      <c r="AI46" s="24" t="s">
        <v>479</v>
      </c>
      <c r="AJ46" s="24"/>
      <c r="AK46" s="24"/>
    </row>
    <row r="47" spans="1:37" x14ac:dyDescent="0.25">
      <c r="B47" s="47">
        <v>10</v>
      </c>
      <c r="C47" s="25">
        <v>20200305</v>
      </c>
      <c r="D47" s="24" t="s">
        <v>2</v>
      </c>
      <c r="E47" s="24" t="s">
        <v>162</v>
      </c>
      <c r="F47" s="26" t="s">
        <v>70</v>
      </c>
      <c r="G47" s="24" t="s">
        <v>133</v>
      </c>
      <c r="H47" s="24" t="s">
        <v>764</v>
      </c>
      <c r="I47" s="24" t="s">
        <v>70</v>
      </c>
      <c r="J47" s="24" t="s">
        <v>70</v>
      </c>
      <c r="K47" s="24" t="s">
        <v>163</v>
      </c>
      <c r="L47" s="26" t="s">
        <v>112</v>
      </c>
      <c r="M47" s="26" t="s">
        <v>477</v>
      </c>
      <c r="N47" s="27" t="s">
        <v>513</v>
      </c>
      <c r="O47" s="25" t="s">
        <v>202</v>
      </c>
      <c r="P47" s="23" t="s">
        <v>6</v>
      </c>
      <c r="Q47" s="23"/>
      <c r="R47" s="24"/>
      <c r="S47" s="24">
        <v>70</v>
      </c>
      <c r="T47" s="24">
        <f>ROUND(IF(D47=Table!$C$3,V47*Table!$C$4/8,V47*Table!$D$4/8),3)</f>
        <v>48.344000000000001</v>
      </c>
      <c r="U47" s="24">
        <f t="shared" si="14"/>
        <v>48.344000000000001</v>
      </c>
      <c r="V47" s="24">
        <v>2.9750000000000001</v>
      </c>
      <c r="W47" s="24">
        <v>2</v>
      </c>
      <c r="X47" s="24" t="s">
        <v>83</v>
      </c>
      <c r="Y47" s="28">
        <v>43896</v>
      </c>
      <c r="Z47" s="28">
        <v>43901</v>
      </c>
      <c r="AA47" s="28">
        <v>43902</v>
      </c>
      <c r="AB47" s="28">
        <v>43902</v>
      </c>
      <c r="AC47" s="30" t="s">
        <v>205</v>
      </c>
      <c r="AD47" s="30"/>
      <c r="AE47" s="30"/>
      <c r="AF47" s="57">
        <v>1</v>
      </c>
      <c r="AG47" s="57">
        <v>1</v>
      </c>
      <c r="AH47" s="57">
        <v>1</v>
      </c>
      <c r="AI47" s="24"/>
      <c r="AJ47" s="24"/>
      <c r="AK47" s="24"/>
    </row>
    <row r="48" spans="1:37" x14ac:dyDescent="0.25">
      <c r="B48" s="47">
        <v>11</v>
      </c>
      <c r="C48" s="25">
        <v>20200305</v>
      </c>
      <c r="D48" s="24" t="s">
        <v>2</v>
      </c>
      <c r="E48" s="24" t="s">
        <v>162</v>
      </c>
      <c r="F48" s="26" t="s">
        <v>70</v>
      </c>
      <c r="G48" s="24" t="s">
        <v>134</v>
      </c>
      <c r="H48" s="24" t="s">
        <v>173</v>
      </c>
      <c r="I48" s="24" t="s">
        <v>70</v>
      </c>
      <c r="J48" s="24" t="s">
        <v>70</v>
      </c>
      <c r="K48" s="24" t="s">
        <v>163</v>
      </c>
      <c r="L48" s="26" t="s">
        <v>113</v>
      </c>
      <c r="M48" s="26" t="s">
        <v>477</v>
      </c>
      <c r="N48" s="27" t="s">
        <v>514</v>
      </c>
      <c r="O48" s="25" t="s">
        <v>202</v>
      </c>
      <c r="P48" s="23" t="s">
        <v>6</v>
      </c>
      <c r="Q48" s="23"/>
      <c r="R48" s="24"/>
      <c r="S48" s="24">
        <v>20</v>
      </c>
      <c r="T48" s="24">
        <f>ROUND(IF(D48=Table!$C$3,V48*Table!$C$4/8,V48*Table!$D$4/8),3)</f>
        <v>26.244</v>
      </c>
      <c r="U48" s="24">
        <f t="shared" si="14"/>
        <v>26.244</v>
      </c>
      <c r="V48" s="24">
        <v>1.615</v>
      </c>
      <c r="W48" s="24">
        <v>1</v>
      </c>
      <c r="X48" s="24" t="s">
        <v>83</v>
      </c>
      <c r="Y48" s="28">
        <v>43896</v>
      </c>
      <c r="Z48" s="28">
        <v>43901</v>
      </c>
      <c r="AA48" s="28">
        <v>43902</v>
      </c>
      <c r="AB48" s="28">
        <v>43902</v>
      </c>
      <c r="AC48" s="30" t="s">
        <v>204</v>
      </c>
      <c r="AD48" s="30"/>
      <c r="AE48" s="30"/>
      <c r="AF48" s="57">
        <v>1</v>
      </c>
      <c r="AG48" s="57">
        <v>1</v>
      </c>
      <c r="AH48" s="57">
        <v>1</v>
      </c>
      <c r="AI48" s="24"/>
      <c r="AJ48" s="24"/>
      <c r="AK48" s="24"/>
    </row>
    <row r="49" spans="2:37" x14ac:dyDescent="0.25">
      <c r="B49" s="47">
        <v>12</v>
      </c>
      <c r="C49" s="25">
        <v>20200305</v>
      </c>
      <c r="D49" s="24" t="s">
        <v>2</v>
      </c>
      <c r="E49" s="24" t="s">
        <v>162</v>
      </c>
      <c r="F49" s="26" t="s">
        <v>70</v>
      </c>
      <c r="G49" s="24" t="s">
        <v>135</v>
      </c>
      <c r="H49" s="24" t="s">
        <v>174</v>
      </c>
      <c r="I49" s="24" t="s">
        <v>70</v>
      </c>
      <c r="J49" s="24" t="s">
        <v>70</v>
      </c>
      <c r="K49" s="24" t="s">
        <v>163</v>
      </c>
      <c r="L49" s="26" t="s">
        <v>114</v>
      </c>
      <c r="M49" s="26" t="s">
        <v>477</v>
      </c>
      <c r="N49" s="27" t="s">
        <v>515</v>
      </c>
      <c r="O49" s="25" t="s">
        <v>201</v>
      </c>
      <c r="P49" s="23" t="s">
        <v>73</v>
      </c>
      <c r="Q49" s="23"/>
      <c r="R49" s="24"/>
      <c r="S49" s="24">
        <v>317</v>
      </c>
      <c r="T49" s="24">
        <f>ROUND(IF(D49=Table!$C$3,V49*Table!$C$4/8,V49*Table!$D$4/8),3)</f>
        <v>147.79400000000001</v>
      </c>
      <c r="U49" s="24">
        <f t="shared" si="14"/>
        <v>147.79400000000001</v>
      </c>
      <c r="V49" s="24">
        <v>9.0949999999999989</v>
      </c>
      <c r="W49" s="24">
        <v>8</v>
      </c>
      <c r="X49" s="24" t="s">
        <v>83</v>
      </c>
      <c r="Y49" s="28">
        <v>43896</v>
      </c>
      <c r="Z49" s="28">
        <v>43901</v>
      </c>
      <c r="AA49" s="28">
        <v>43902</v>
      </c>
      <c r="AB49" s="28">
        <v>43902</v>
      </c>
      <c r="AC49" s="30" t="s">
        <v>205</v>
      </c>
      <c r="AD49" s="30"/>
      <c r="AE49" s="30"/>
      <c r="AF49" s="57">
        <v>0.93799999999999994</v>
      </c>
      <c r="AG49" s="57">
        <v>0.94</v>
      </c>
      <c r="AH49" s="57">
        <v>1</v>
      </c>
      <c r="AI49" s="24" t="s">
        <v>480</v>
      </c>
      <c r="AJ49" s="38"/>
      <c r="AK49" s="24"/>
    </row>
    <row r="50" spans="2:37" x14ac:dyDescent="0.25">
      <c r="B50" s="47">
        <v>13</v>
      </c>
      <c r="C50" s="25">
        <v>20200305</v>
      </c>
      <c r="D50" s="24" t="s">
        <v>2</v>
      </c>
      <c r="E50" s="24" t="s">
        <v>162</v>
      </c>
      <c r="F50" s="26" t="s">
        <v>70</v>
      </c>
      <c r="G50" s="24" t="s">
        <v>136</v>
      </c>
      <c r="H50" s="24" t="s">
        <v>175</v>
      </c>
      <c r="I50" s="24" t="s">
        <v>70</v>
      </c>
      <c r="J50" s="24" t="s">
        <v>70</v>
      </c>
      <c r="K50" s="24" t="s">
        <v>163</v>
      </c>
      <c r="L50" s="26" t="s">
        <v>115</v>
      </c>
      <c r="M50" s="26" t="s">
        <v>477</v>
      </c>
      <c r="N50" s="27" t="s">
        <v>516</v>
      </c>
      <c r="O50" s="25" t="s">
        <v>201</v>
      </c>
      <c r="P50" s="24" t="s">
        <v>73</v>
      </c>
      <c r="Q50" s="24"/>
      <c r="R50" s="24"/>
      <c r="S50" s="24">
        <v>93</v>
      </c>
      <c r="T50" s="24">
        <f>ROUND(IF(D50=Table!$C$3,V50*Table!$C$4/8,V50*Table!$D$4/8),3)</f>
        <v>48.344000000000001</v>
      </c>
      <c r="U50" s="24">
        <f t="shared" si="14"/>
        <v>48.344000000000001</v>
      </c>
      <c r="V50" s="24">
        <v>2.9750000000000001</v>
      </c>
      <c r="W50" s="24">
        <v>4</v>
      </c>
      <c r="X50" s="24" t="s">
        <v>83</v>
      </c>
      <c r="Y50" s="28">
        <v>43896</v>
      </c>
      <c r="Z50" s="28">
        <v>43901</v>
      </c>
      <c r="AA50" s="28">
        <v>43901</v>
      </c>
      <c r="AB50" s="28">
        <v>43901</v>
      </c>
      <c r="AC50" s="30" t="s">
        <v>205</v>
      </c>
      <c r="AD50" s="30"/>
      <c r="AE50" s="30"/>
      <c r="AF50" s="57">
        <v>0.91700000000000004</v>
      </c>
      <c r="AG50" s="57">
        <v>0.91700000000000004</v>
      </c>
      <c r="AH50" s="57" t="s">
        <v>219</v>
      </c>
      <c r="AI50" s="24" t="s">
        <v>227</v>
      </c>
      <c r="AJ50" s="24"/>
      <c r="AK50" s="24"/>
    </row>
    <row r="51" spans="2:37" x14ac:dyDescent="0.25">
      <c r="B51" s="47">
        <v>14</v>
      </c>
      <c r="C51" s="25">
        <v>20200305</v>
      </c>
      <c r="D51" s="24" t="s">
        <v>2</v>
      </c>
      <c r="E51" s="24" t="s">
        <v>162</v>
      </c>
      <c r="F51" s="26" t="s">
        <v>70</v>
      </c>
      <c r="G51" s="24" t="s">
        <v>137</v>
      </c>
      <c r="H51" s="24" t="s">
        <v>176</v>
      </c>
      <c r="I51" s="24" t="s">
        <v>70</v>
      </c>
      <c r="J51" s="24" t="s">
        <v>70</v>
      </c>
      <c r="K51" s="24" t="s">
        <v>163</v>
      </c>
      <c r="L51" s="26" t="s">
        <v>116</v>
      </c>
      <c r="M51" s="26" t="s">
        <v>477</v>
      </c>
      <c r="N51" s="27" t="s">
        <v>517</v>
      </c>
      <c r="O51" s="25" t="s">
        <v>201</v>
      </c>
      <c r="P51" s="24" t="s">
        <v>73</v>
      </c>
      <c r="Q51" s="24"/>
      <c r="R51" s="24"/>
      <c r="S51" s="24">
        <v>52</v>
      </c>
      <c r="T51" s="24">
        <f>ROUND(IF(D51=Table!$C$3,V51*Table!$C$4/8,V51*Table!$D$4/8),3)</f>
        <v>31.768999999999998</v>
      </c>
      <c r="U51" s="24">
        <f t="shared" si="14"/>
        <v>31.768999999999998</v>
      </c>
      <c r="V51" s="24">
        <v>1.9549999999999998</v>
      </c>
      <c r="W51" s="24">
        <v>4</v>
      </c>
      <c r="X51" s="24" t="s">
        <v>83</v>
      </c>
      <c r="Y51" s="28">
        <v>43896</v>
      </c>
      <c r="Z51" s="28">
        <v>43901</v>
      </c>
      <c r="AA51" s="28">
        <v>43896</v>
      </c>
      <c r="AB51" s="28">
        <v>43896</v>
      </c>
      <c r="AC51" s="30" t="s">
        <v>205</v>
      </c>
      <c r="AD51" s="30"/>
      <c r="AE51" s="30"/>
      <c r="AF51" s="57">
        <v>1</v>
      </c>
      <c r="AG51" s="57">
        <v>1</v>
      </c>
      <c r="AH51" s="57">
        <v>0.5</v>
      </c>
      <c r="AI51" s="24" t="s">
        <v>481</v>
      </c>
      <c r="AJ51" s="26"/>
      <c r="AK51" s="24" t="s">
        <v>216</v>
      </c>
    </row>
    <row r="52" spans="2:37" x14ac:dyDescent="0.25">
      <c r="B52" s="47">
        <v>15</v>
      </c>
      <c r="C52" s="25">
        <v>20200305</v>
      </c>
      <c r="D52" s="24" t="s">
        <v>2</v>
      </c>
      <c r="E52" s="24" t="s">
        <v>162</v>
      </c>
      <c r="F52" s="26" t="s">
        <v>70</v>
      </c>
      <c r="G52" s="24" t="s">
        <v>138</v>
      </c>
      <c r="H52" s="24" t="s">
        <v>177</v>
      </c>
      <c r="I52" s="24" t="s">
        <v>70</v>
      </c>
      <c r="J52" s="24" t="s">
        <v>70</v>
      </c>
      <c r="K52" s="24" t="s">
        <v>163</v>
      </c>
      <c r="L52" s="26" t="s">
        <v>117</v>
      </c>
      <c r="M52" s="26" t="s">
        <v>477</v>
      </c>
      <c r="N52" s="27" t="s">
        <v>518</v>
      </c>
      <c r="O52" s="25" t="s">
        <v>201</v>
      </c>
      <c r="P52" s="24" t="s">
        <v>73</v>
      </c>
      <c r="Q52" s="24"/>
      <c r="R52" s="24"/>
      <c r="S52" s="24">
        <v>45</v>
      </c>
      <c r="T52" s="24">
        <f>ROUND(IF(D52=Table!$C$3,V52*Table!$C$4/8,V52*Table!$D$4/8),3)</f>
        <v>26.244</v>
      </c>
      <c r="U52" s="24">
        <f t="shared" si="14"/>
        <v>26.244</v>
      </c>
      <c r="V52" s="24">
        <v>1.615</v>
      </c>
      <c r="W52" s="24">
        <v>3</v>
      </c>
      <c r="X52" s="24" t="s">
        <v>83</v>
      </c>
      <c r="Y52" s="28">
        <v>43896</v>
      </c>
      <c r="Z52" s="28">
        <v>43901</v>
      </c>
      <c r="AA52" s="28">
        <v>43899</v>
      </c>
      <c r="AB52" s="28">
        <v>43899</v>
      </c>
      <c r="AC52" s="30" t="s">
        <v>204</v>
      </c>
      <c r="AD52" s="30"/>
      <c r="AE52" s="30"/>
      <c r="AF52" s="57">
        <v>1</v>
      </c>
      <c r="AG52" s="57">
        <v>1</v>
      </c>
      <c r="AH52" s="57" t="s">
        <v>219</v>
      </c>
      <c r="AI52" s="24"/>
      <c r="AJ52" s="24"/>
      <c r="AK52" s="24" t="s">
        <v>216</v>
      </c>
    </row>
    <row r="53" spans="2:37" x14ac:dyDescent="0.25">
      <c r="B53" s="47">
        <v>16</v>
      </c>
      <c r="C53" s="25">
        <v>20200305</v>
      </c>
      <c r="D53" s="24" t="s">
        <v>2</v>
      </c>
      <c r="E53" s="24" t="s">
        <v>162</v>
      </c>
      <c r="F53" s="26" t="s">
        <v>70</v>
      </c>
      <c r="G53" s="24" t="s">
        <v>139</v>
      </c>
      <c r="H53" s="24" t="s">
        <v>178</v>
      </c>
      <c r="I53" s="24" t="s">
        <v>70</v>
      </c>
      <c r="J53" s="24" t="s">
        <v>70</v>
      </c>
      <c r="K53" s="24" t="s">
        <v>163</v>
      </c>
      <c r="L53" s="26" t="s">
        <v>118</v>
      </c>
      <c r="M53" s="26" t="s">
        <v>477</v>
      </c>
      <c r="N53" s="27" t="s">
        <v>519</v>
      </c>
      <c r="O53" s="25" t="s">
        <v>201</v>
      </c>
      <c r="P53" s="24" t="s">
        <v>73</v>
      </c>
      <c r="Q53" s="24"/>
      <c r="R53" s="24"/>
      <c r="S53" s="24">
        <v>38</v>
      </c>
      <c r="T53" s="24">
        <f>ROUND(IF(D53=Table!$C$3,V53*Table!$C$4/8,V53*Table!$D$4/8),3)</f>
        <v>26.244</v>
      </c>
      <c r="U53" s="24">
        <f t="shared" si="14"/>
        <v>26.244</v>
      </c>
      <c r="V53" s="24">
        <v>1.615</v>
      </c>
      <c r="W53" s="24">
        <v>3</v>
      </c>
      <c r="X53" s="24" t="s">
        <v>83</v>
      </c>
      <c r="Y53" s="28">
        <v>43896</v>
      </c>
      <c r="Z53" s="28">
        <v>43901</v>
      </c>
      <c r="AA53" s="28">
        <v>43896</v>
      </c>
      <c r="AB53" s="28">
        <v>43896</v>
      </c>
      <c r="AC53" s="30" t="s">
        <v>204</v>
      </c>
      <c r="AD53" s="30"/>
      <c r="AE53" s="30"/>
      <c r="AF53" s="55">
        <v>1</v>
      </c>
      <c r="AG53" s="55">
        <v>1</v>
      </c>
      <c r="AH53" s="55">
        <v>1</v>
      </c>
      <c r="AI53" s="24"/>
      <c r="AJ53" s="24"/>
      <c r="AK53" s="24"/>
    </row>
    <row r="54" spans="2:37" x14ac:dyDescent="0.25">
      <c r="B54" s="47">
        <v>17</v>
      </c>
      <c r="C54" s="25">
        <v>20200305</v>
      </c>
      <c r="D54" s="24" t="s">
        <v>2</v>
      </c>
      <c r="E54" s="24" t="s">
        <v>162</v>
      </c>
      <c r="F54" s="26" t="s">
        <v>70</v>
      </c>
      <c r="G54" s="24" t="s">
        <v>140</v>
      </c>
      <c r="H54" s="24" t="s">
        <v>179</v>
      </c>
      <c r="I54" s="24" t="s">
        <v>70</v>
      </c>
      <c r="J54" s="24" t="s">
        <v>70</v>
      </c>
      <c r="K54" s="24" t="s">
        <v>163</v>
      </c>
      <c r="L54" s="26" t="s">
        <v>119</v>
      </c>
      <c r="M54" s="26" t="s">
        <v>477</v>
      </c>
      <c r="N54" s="27" t="s">
        <v>520</v>
      </c>
      <c r="O54" s="25" t="s">
        <v>201</v>
      </c>
      <c r="P54" s="24" t="s">
        <v>73</v>
      </c>
      <c r="Q54" s="24"/>
      <c r="R54" s="24"/>
      <c r="S54" s="24">
        <v>80</v>
      </c>
      <c r="T54" s="24">
        <f>ROUND(IF(D54=Table!$C$3,V54*Table!$C$4/8,V54*Table!$D$4/8),3)</f>
        <v>125.694</v>
      </c>
      <c r="U54" s="24">
        <f t="shared" si="14"/>
        <v>125.694</v>
      </c>
      <c r="V54" s="24">
        <v>7.7349999999999994</v>
      </c>
      <c r="W54" s="24">
        <v>8</v>
      </c>
      <c r="X54" s="24" t="s">
        <v>83</v>
      </c>
      <c r="Y54" s="28">
        <v>43896</v>
      </c>
      <c r="Z54" s="28">
        <v>43901</v>
      </c>
      <c r="AA54" s="28">
        <v>43896</v>
      </c>
      <c r="AB54" s="28">
        <v>43901</v>
      </c>
      <c r="AC54" s="30" t="s">
        <v>204</v>
      </c>
      <c r="AD54" s="30"/>
      <c r="AE54" s="30"/>
      <c r="AF54" s="55">
        <v>1</v>
      </c>
      <c r="AG54" s="55">
        <v>1</v>
      </c>
      <c r="AH54" s="55">
        <v>1</v>
      </c>
      <c r="AI54" s="24"/>
      <c r="AJ54" s="24"/>
      <c r="AK54" s="24"/>
    </row>
    <row r="55" spans="2:37" x14ac:dyDescent="0.25">
      <c r="B55" s="47">
        <v>18</v>
      </c>
      <c r="C55" s="25">
        <v>20200305</v>
      </c>
      <c r="D55" s="24" t="s">
        <v>2</v>
      </c>
      <c r="E55" s="26" t="s">
        <v>162</v>
      </c>
      <c r="F55" s="26" t="s">
        <v>70</v>
      </c>
      <c r="G55" s="24" t="s">
        <v>141</v>
      </c>
      <c r="H55" s="24" t="s">
        <v>180</v>
      </c>
      <c r="I55" s="24" t="s">
        <v>70</v>
      </c>
      <c r="J55" s="24" t="s">
        <v>70</v>
      </c>
      <c r="K55" s="24" t="s">
        <v>163</v>
      </c>
      <c r="L55" s="26" t="s">
        <v>120</v>
      </c>
      <c r="M55" s="26" t="s">
        <v>477</v>
      </c>
      <c r="N55" s="27" t="s">
        <v>521</v>
      </c>
      <c r="O55" s="25" t="s">
        <v>201</v>
      </c>
      <c r="P55" s="24" t="s">
        <v>73</v>
      </c>
      <c r="Q55" s="24"/>
      <c r="R55" s="24"/>
      <c r="S55" s="24">
        <v>60</v>
      </c>
      <c r="T55" s="24">
        <f>ROUND(IF(D55=Table!$C$3,V55*Table!$C$4/8,V55*Table!$D$4/8),3)</f>
        <v>31.768999999999998</v>
      </c>
      <c r="U55" s="24">
        <f t="shared" si="14"/>
        <v>31.768999999999998</v>
      </c>
      <c r="V55" s="24">
        <v>1.9549999999999998</v>
      </c>
      <c r="W55" s="24">
        <v>2</v>
      </c>
      <c r="X55" s="24" t="s">
        <v>83</v>
      </c>
      <c r="Y55" s="28">
        <v>43896</v>
      </c>
      <c r="Z55" s="28">
        <v>43901</v>
      </c>
      <c r="AA55" s="28">
        <v>43899</v>
      </c>
      <c r="AB55" s="28">
        <v>43899</v>
      </c>
      <c r="AC55" s="30" t="s">
        <v>204</v>
      </c>
      <c r="AD55" s="30"/>
      <c r="AE55" s="30"/>
      <c r="AF55" s="55">
        <v>0.96</v>
      </c>
      <c r="AG55" s="55">
        <v>0.96</v>
      </c>
      <c r="AH55" s="55" t="s">
        <v>219</v>
      </c>
      <c r="AI55" s="24" t="s">
        <v>482</v>
      </c>
      <c r="AJ55" s="24"/>
      <c r="AK55" s="24"/>
    </row>
    <row r="56" spans="2:37" x14ac:dyDescent="0.25">
      <c r="B56" s="47">
        <v>19</v>
      </c>
      <c r="C56" s="25">
        <v>20200305</v>
      </c>
      <c r="D56" s="24" t="s">
        <v>2</v>
      </c>
      <c r="E56" s="24" t="s">
        <v>162</v>
      </c>
      <c r="F56" s="26" t="s">
        <v>70</v>
      </c>
      <c r="G56" s="24" t="s">
        <v>142</v>
      </c>
      <c r="H56" s="24" t="s">
        <v>181</v>
      </c>
      <c r="I56" s="24" t="s">
        <v>70</v>
      </c>
      <c r="J56" s="24" t="s">
        <v>70</v>
      </c>
      <c r="K56" s="24" t="s">
        <v>163</v>
      </c>
      <c r="L56" s="26" t="s">
        <v>121</v>
      </c>
      <c r="M56" s="26" t="s">
        <v>477</v>
      </c>
      <c r="N56" s="27" t="s">
        <v>522</v>
      </c>
      <c r="O56" s="25" t="s">
        <v>201</v>
      </c>
      <c r="P56" s="24" t="s">
        <v>73</v>
      </c>
      <c r="Q56" s="24"/>
      <c r="R56" s="24"/>
      <c r="S56" s="24">
        <v>103</v>
      </c>
      <c r="T56" s="24">
        <f>ROUND(IF(D56=Table!$C$3,V56*Table!$C$4/8,V56*Table!$D$4/8),3)</f>
        <v>48.344000000000001</v>
      </c>
      <c r="U56" s="24">
        <f t="shared" si="14"/>
        <v>48.344000000000001</v>
      </c>
      <c r="V56" s="24">
        <v>2.9750000000000001</v>
      </c>
      <c r="W56" s="24">
        <v>8</v>
      </c>
      <c r="X56" s="24" t="s">
        <v>83</v>
      </c>
      <c r="Y56" s="28">
        <v>43896</v>
      </c>
      <c r="Z56" s="28">
        <v>43901</v>
      </c>
      <c r="AA56" s="28">
        <v>43903</v>
      </c>
      <c r="AB56" s="28">
        <v>43903</v>
      </c>
      <c r="AC56" s="30" t="s">
        <v>205</v>
      </c>
      <c r="AD56" s="30"/>
      <c r="AE56" s="30"/>
      <c r="AF56" s="55">
        <v>0.79200000000000004</v>
      </c>
      <c r="AG56" s="55">
        <v>0.81099999999999994</v>
      </c>
      <c r="AH56" s="55">
        <v>1</v>
      </c>
      <c r="AI56" s="24" t="s">
        <v>483</v>
      </c>
      <c r="AJ56" s="38"/>
      <c r="AK56" s="24"/>
    </row>
    <row r="57" spans="2:37" x14ac:dyDescent="0.25">
      <c r="B57" s="47">
        <v>20</v>
      </c>
      <c r="C57" s="25">
        <v>20200305</v>
      </c>
      <c r="D57" s="24" t="s">
        <v>2</v>
      </c>
      <c r="E57" s="24" t="s">
        <v>162</v>
      </c>
      <c r="F57" s="26" t="s">
        <v>70</v>
      </c>
      <c r="G57" s="24" t="s">
        <v>143</v>
      </c>
      <c r="H57" s="24" t="s">
        <v>182</v>
      </c>
      <c r="I57" s="24" t="s">
        <v>70</v>
      </c>
      <c r="J57" s="24" t="s">
        <v>70</v>
      </c>
      <c r="K57" s="24" t="s">
        <v>163</v>
      </c>
      <c r="L57" s="26">
        <v>1</v>
      </c>
      <c r="M57" s="26" t="s">
        <v>477</v>
      </c>
      <c r="N57" s="27" t="s">
        <v>523</v>
      </c>
      <c r="O57" s="25" t="s">
        <v>201</v>
      </c>
      <c r="P57" s="24" t="s">
        <v>73</v>
      </c>
      <c r="Q57" s="24"/>
      <c r="R57" s="24"/>
      <c r="S57" s="24">
        <v>45</v>
      </c>
      <c r="T57" s="24">
        <f>ROUND(IF(D57=Table!$C$3,V57*Table!$C$4/8,V57*Table!$D$4/8),3)</f>
        <v>26.244</v>
      </c>
      <c r="U57" s="24">
        <f t="shared" si="14"/>
        <v>26.244</v>
      </c>
      <c r="V57" s="24">
        <v>1.615</v>
      </c>
      <c r="W57" s="24">
        <v>2</v>
      </c>
      <c r="X57" s="24" t="s">
        <v>83</v>
      </c>
      <c r="Y57" s="28">
        <v>43896</v>
      </c>
      <c r="Z57" s="28">
        <v>43901</v>
      </c>
      <c r="AA57" s="28">
        <v>43899</v>
      </c>
      <c r="AB57" s="28">
        <v>43899</v>
      </c>
      <c r="AC57" s="30" t="s">
        <v>205</v>
      </c>
      <c r="AD57" s="30"/>
      <c r="AE57" s="30"/>
      <c r="AF57" s="55">
        <v>1</v>
      </c>
      <c r="AG57" s="55">
        <v>1</v>
      </c>
      <c r="AH57" s="55">
        <v>1</v>
      </c>
      <c r="AI57" s="24"/>
      <c r="AJ57" s="24"/>
      <c r="AK57" s="24" t="s">
        <v>221</v>
      </c>
    </row>
    <row r="58" spans="2:37" x14ac:dyDescent="0.25">
      <c r="B58" s="47">
        <v>21</v>
      </c>
      <c r="C58" s="25">
        <v>20200305</v>
      </c>
      <c r="D58" s="24" t="s">
        <v>2</v>
      </c>
      <c r="E58" s="24" t="s">
        <v>162</v>
      </c>
      <c r="F58" s="26" t="s">
        <v>70</v>
      </c>
      <c r="G58" s="24" t="s">
        <v>144</v>
      </c>
      <c r="H58" s="24" t="s">
        <v>183</v>
      </c>
      <c r="I58" s="24" t="s">
        <v>70</v>
      </c>
      <c r="J58" s="24" t="s">
        <v>70</v>
      </c>
      <c r="K58" s="24" t="s">
        <v>163</v>
      </c>
      <c r="L58" s="26">
        <v>1.2</v>
      </c>
      <c r="M58" s="26" t="s">
        <v>477</v>
      </c>
      <c r="N58" s="27" t="s">
        <v>524</v>
      </c>
      <c r="O58" s="25" t="s">
        <v>201</v>
      </c>
      <c r="P58" s="24" t="s">
        <v>73</v>
      </c>
      <c r="Q58" s="24"/>
      <c r="R58" s="24"/>
      <c r="S58" s="24">
        <v>54</v>
      </c>
      <c r="T58" s="24">
        <f>ROUND(IF(D58=Table!$C$3,V58*Table!$C$4/8,V58*Table!$D$4/8),3)</f>
        <v>59.393999999999998</v>
      </c>
      <c r="U58" s="24">
        <f t="shared" si="14"/>
        <v>59.393999999999998</v>
      </c>
      <c r="V58" s="24">
        <v>3.6549999999999998</v>
      </c>
      <c r="W58" s="24">
        <v>2</v>
      </c>
      <c r="X58" s="24" t="s">
        <v>83</v>
      </c>
      <c r="Y58" s="28">
        <v>43896</v>
      </c>
      <c r="Z58" s="28">
        <v>43901</v>
      </c>
      <c r="AA58" s="28">
        <v>43901</v>
      </c>
      <c r="AB58" s="28">
        <v>43901</v>
      </c>
      <c r="AC58" s="30" t="s">
        <v>205</v>
      </c>
      <c r="AD58" s="30"/>
      <c r="AE58" s="30"/>
      <c r="AF58" s="55">
        <v>1</v>
      </c>
      <c r="AG58" s="55">
        <v>1</v>
      </c>
      <c r="AH58" s="55">
        <v>0.92299999999999993</v>
      </c>
      <c r="AI58" s="24" t="s">
        <v>222</v>
      </c>
      <c r="AJ58" s="24"/>
      <c r="AK58" s="24"/>
    </row>
    <row r="59" spans="2:37" x14ac:dyDescent="0.25">
      <c r="B59" s="47">
        <v>22</v>
      </c>
      <c r="C59" s="25">
        <v>20200305</v>
      </c>
      <c r="D59" s="24" t="s">
        <v>2</v>
      </c>
      <c r="E59" s="24" t="s">
        <v>162</v>
      </c>
      <c r="F59" s="26" t="s">
        <v>70</v>
      </c>
      <c r="G59" s="24" t="s">
        <v>145</v>
      </c>
      <c r="H59" s="24" t="s">
        <v>184</v>
      </c>
      <c r="I59" s="24" t="s">
        <v>70</v>
      </c>
      <c r="J59" s="24" t="s">
        <v>70</v>
      </c>
      <c r="K59" s="24" t="s">
        <v>163</v>
      </c>
      <c r="L59" s="26">
        <v>1.3</v>
      </c>
      <c r="M59" s="26" t="s">
        <v>477</v>
      </c>
      <c r="N59" s="27" t="s">
        <v>525</v>
      </c>
      <c r="O59" s="25" t="s">
        <v>201</v>
      </c>
      <c r="P59" s="24" t="s">
        <v>73</v>
      </c>
      <c r="Q59" s="24"/>
      <c r="R59" s="24"/>
      <c r="S59" s="24">
        <v>50</v>
      </c>
      <c r="T59" s="24">
        <f>ROUND(IF(D59=Table!$C$3,V59*Table!$C$4/8,V59*Table!$D$4/8),3)</f>
        <v>37.293999999999997</v>
      </c>
      <c r="U59" s="24">
        <f t="shared" si="14"/>
        <v>37.293999999999997</v>
      </c>
      <c r="V59" s="24">
        <v>2.2949999999999999</v>
      </c>
      <c r="W59" s="24">
        <v>2</v>
      </c>
      <c r="X59" s="24" t="s">
        <v>83</v>
      </c>
      <c r="Y59" s="28">
        <v>43896</v>
      </c>
      <c r="Z59" s="28">
        <v>43901</v>
      </c>
      <c r="AA59" s="28">
        <v>43900</v>
      </c>
      <c r="AB59" s="28">
        <v>43900</v>
      </c>
      <c r="AC59" s="30" t="s">
        <v>204</v>
      </c>
      <c r="AD59" s="30"/>
      <c r="AE59" s="30"/>
      <c r="AF59" s="55">
        <v>1</v>
      </c>
      <c r="AG59" s="55">
        <v>1</v>
      </c>
      <c r="AH59" s="55">
        <v>1</v>
      </c>
      <c r="AI59" s="24"/>
      <c r="AJ59" s="24"/>
      <c r="AK59" s="24"/>
    </row>
    <row r="60" spans="2:37" x14ac:dyDescent="0.25">
      <c r="B60" s="47">
        <v>23</v>
      </c>
      <c r="C60" s="25">
        <v>20200305</v>
      </c>
      <c r="D60" s="24" t="s">
        <v>2</v>
      </c>
      <c r="E60" s="24" t="s">
        <v>162</v>
      </c>
      <c r="F60" s="26" t="s">
        <v>70</v>
      </c>
      <c r="G60" s="24" t="s">
        <v>146</v>
      </c>
      <c r="H60" s="24" t="s">
        <v>185</v>
      </c>
      <c r="I60" s="24" t="s">
        <v>70</v>
      </c>
      <c r="J60" s="24" t="s">
        <v>70</v>
      </c>
      <c r="K60" s="24" t="s">
        <v>163</v>
      </c>
      <c r="L60" s="26">
        <v>5.1100000000000003</v>
      </c>
      <c r="M60" s="26" t="s">
        <v>477</v>
      </c>
      <c r="N60" s="27" t="s">
        <v>526</v>
      </c>
      <c r="O60" s="25" t="s">
        <v>201</v>
      </c>
      <c r="P60" s="24" t="s">
        <v>73</v>
      </c>
      <c r="Q60" s="24"/>
      <c r="R60" s="24"/>
      <c r="S60" s="24">
        <v>39</v>
      </c>
      <c r="T60" s="24">
        <f>ROUND(IF(D60=Table!$C$3,V60*Table!$C$4/8,V60*Table!$D$4/8),3)</f>
        <v>26.244</v>
      </c>
      <c r="U60" s="24">
        <f t="shared" si="14"/>
        <v>26.244</v>
      </c>
      <c r="V60" s="24">
        <v>1.615</v>
      </c>
      <c r="W60" s="24">
        <v>2</v>
      </c>
      <c r="X60" s="24" t="s">
        <v>83</v>
      </c>
      <c r="Y60" s="28">
        <v>43896</v>
      </c>
      <c r="Z60" s="28">
        <v>43901</v>
      </c>
      <c r="AA60" s="28">
        <v>43900</v>
      </c>
      <c r="AB60" s="28">
        <v>43900</v>
      </c>
      <c r="AC60" s="30" t="s">
        <v>204</v>
      </c>
      <c r="AD60" s="30"/>
      <c r="AE60" s="30"/>
      <c r="AF60" s="55">
        <v>1</v>
      </c>
      <c r="AG60" s="55">
        <v>1</v>
      </c>
      <c r="AH60" s="55" t="s">
        <v>219</v>
      </c>
      <c r="AI60" s="24" t="s">
        <v>220</v>
      </c>
      <c r="AJ60" s="24"/>
      <c r="AK60" s="24"/>
    </row>
    <row r="61" spans="2:37" x14ac:dyDescent="0.25">
      <c r="B61" s="47">
        <v>24</v>
      </c>
      <c r="C61" s="25">
        <v>20200305</v>
      </c>
      <c r="D61" s="24" t="s">
        <v>2</v>
      </c>
      <c r="E61" s="24" t="s">
        <v>162</v>
      </c>
      <c r="F61" s="26" t="s">
        <v>70</v>
      </c>
      <c r="G61" s="24" t="s">
        <v>147</v>
      </c>
      <c r="H61" s="24" t="s">
        <v>186</v>
      </c>
      <c r="I61" s="24" t="s">
        <v>70</v>
      </c>
      <c r="J61" s="24" t="s">
        <v>70</v>
      </c>
      <c r="K61" s="24" t="s">
        <v>163</v>
      </c>
      <c r="L61" s="26">
        <v>5.9</v>
      </c>
      <c r="M61" s="26" t="s">
        <v>477</v>
      </c>
      <c r="N61" s="27" t="s">
        <v>527</v>
      </c>
      <c r="O61" s="25" t="s">
        <v>203</v>
      </c>
      <c r="P61" s="24" t="s">
        <v>75</v>
      </c>
      <c r="Q61" s="24"/>
      <c r="R61" s="24"/>
      <c r="S61" s="24">
        <v>531</v>
      </c>
      <c r="T61" s="24">
        <f>ROUND(IF(D61=Table!$C$3,V61*Table!$C$4/8,V61*Table!$D$4/8),3)</f>
        <v>42.819000000000003</v>
      </c>
      <c r="U61" s="24">
        <f t="shared" si="14"/>
        <v>42.819000000000003</v>
      </c>
      <c r="V61" s="24">
        <v>2.6349999999999998</v>
      </c>
      <c r="W61" s="24">
        <v>3</v>
      </c>
      <c r="X61" s="24" t="s">
        <v>83</v>
      </c>
      <c r="Y61" s="28">
        <v>43896</v>
      </c>
      <c r="Z61" s="28">
        <v>43901</v>
      </c>
      <c r="AA61" s="28">
        <v>43896</v>
      </c>
      <c r="AB61" s="28">
        <v>43901</v>
      </c>
      <c r="AC61" s="30" t="s">
        <v>204</v>
      </c>
      <c r="AD61" s="30"/>
      <c r="AE61" s="30"/>
      <c r="AF61" s="55">
        <v>1</v>
      </c>
      <c r="AG61" s="55">
        <v>1</v>
      </c>
      <c r="AH61" s="55" t="s">
        <v>219</v>
      </c>
      <c r="AI61" s="24"/>
      <c r="AJ61" s="24"/>
      <c r="AK61" s="24" t="s">
        <v>223</v>
      </c>
    </row>
    <row r="62" spans="2:37" x14ac:dyDescent="0.25">
      <c r="B62" s="47">
        <v>25</v>
      </c>
      <c r="C62" s="25">
        <v>20200305</v>
      </c>
      <c r="D62" s="24" t="s">
        <v>2</v>
      </c>
      <c r="E62" s="24" t="s">
        <v>162</v>
      </c>
      <c r="F62" s="26" t="s">
        <v>70</v>
      </c>
      <c r="G62" s="24" t="s">
        <v>148</v>
      </c>
      <c r="H62" s="24" t="s">
        <v>187</v>
      </c>
      <c r="I62" s="24" t="s">
        <v>70</v>
      </c>
      <c r="J62" s="24" t="s">
        <v>70</v>
      </c>
      <c r="K62" s="24" t="s">
        <v>163</v>
      </c>
      <c r="L62" s="26">
        <v>1</v>
      </c>
      <c r="M62" s="26" t="s">
        <v>477</v>
      </c>
      <c r="N62" s="27" t="s">
        <v>528</v>
      </c>
      <c r="O62" s="25" t="s">
        <v>203</v>
      </c>
      <c r="P62" s="24" t="s">
        <v>75</v>
      </c>
      <c r="Q62" s="24"/>
      <c r="R62" s="24"/>
      <c r="S62" s="24">
        <v>36</v>
      </c>
      <c r="T62" s="24">
        <f>ROUND(IF(D62=Table!$C$3,V62*Table!$C$4/8,V62*Table!$D$4/8),3)</f>
        <v>20.719000000000001</v>
      </c>
      <c r="U62" s="24">
        <f t="shared" si="14"/>
        <v>20.719000000000001</v>
      </c>
      <c r="V62" s="24">
        <v>1.2749999999999999</v>
      </c>
      <c r="W62" s="24">
        <v>2</v>
      </c>
      <c r="X62" s="24" t="s">
        <v>83</v>
      </c>
      <c r="Y62" s="28">
        <v>43896</v>
      </c>
      <c r="Z62" s="28">
        <v>43901</v>
      </c>
      <c r="AA62" s="28">
        <v>43896</v>
      </c>
      <c r="AB62" s="28">
        <v>43896</v>
      </c>
      <c r="AC62" s="30" t="s">
        <v>204</v>
      </c>
      <c r="AD62" s="30"/>
      <c r="AE62" s="30"/>
      <c r="AF62" s="55">
        <v>1</v>
      </c>
      <c r="AG62" s="55">
        <v>1</v>
      </c>
      <c r="AH62" s="55">
        <v>1</v>
      </c>
      <c r="AI62" s="24"/>
      <c r="AJ62" s="24"/>
      <c r="AK62" s="24"/>
    </row>
    <row r="63" spans="2:37" x14ac:dyDescent="0.25">
      <c r="B63" s="47">
        <v>26</v>
      </c>
      <c r="C63" s="25">
        <v>20200305</v>
      </c>
      <c r="D63" s="24" t="s">
        <v>2</v>
      </c>
      <c r="E63" s="24" t="s">
        <v>162</v>
      </c>
      <c r="F63" s="26" t="s">
        <v>70</v>
      </c>
      <c r="G63" s="24" t="s">
        <v>149</v>
      </c>
      <c r="H63" s="24" t="s">
        <v>188</v>
      </c>
      <c r="I63" s="24" t="s">
        <v>70</v>
      </c>
      <c r="J63" s="24" t="s">
        <v>70</v>
      </c>
      <c r="K63" s="24" t="s">
        <v>163</v>
      </c>
      <c r="L63" s="26">
        <v>1</v>
      </c>
      <c r="M63" s="26" t="s">
        <v>477</v>
      </c>
      <c r="N63" s="27" t="s">
        <v>529</v>
      </c>
      <c r="O63" s="25" t="s">
        <v>203</v>
      </c>
      <c r="P63" s="24" t="s">
        <v>75</v>
      </c>
      <c r="Q63" s="24"/>
      <c r="R63" s="24"/>
      <c r="S63" s="24">
        <v>10</v>
      </c>
      <c r="T63" s="24">
        <f>ROUND(IF(D63=Table!$C$3,V63*Table!$C$4/8,V63*Table!$D$4/8),3)</f>
        <v>20.719000000000001</v>
      </c>
      <c r="U63" s="24">
        <f t="shared" si="14"/>
        <v>20.719000000000001</v>
      </c>
      <c r="V63" s="24">
        <v>1.2749999999999999</v>
      </c>
      <c r="W63" s="24">
        <v>2</v>
      </c>
      <c r="X63" s="24" t="s">
        <v>83</v>
      </c>
      <c r="Y63" s="28">
        <v>43896</v>
      </c>
      <c r="Z63" s="28">
        <v>43901</v>
      </c>
      <c r="AA63" s="28">
        <v>43896</v>
      </c>
      <c r="AB63" s="28">
        <v>43901</v>
      </c>
      <c r="AC63" s="30" t="s">
        <v>204</v>
      </c>
      <c r="AD63" s="30"/>
      <c r="AE63" s="30"/>
      <c r="AF63" s="55">
        <v>1</v>
      </c>
      <c r="AG63" s="55">
        <v>1</v>
      </c>
      <c r="AH63" s="55" t="s">
        <v>219</v>
      </c>
      <c r="AI63" s="24"/>
      <c r="AJ63" s="24"/>
      <c r="AK63" s="24" t="s">
        <v>223</v>
      </c>
    </row>
    <row r="64" spans="2:37" x14ac:dyDescent="0.25">
      <c r="B64" s="47">
        <v>27</v>
      </c>
      <c r="C64" s="25">
        <v>20200305</v>
      </c>
      <c r="D64" s="24" t="s">
        <v>2</v>
      </c>
      <c r="E64" s="24" t="s">
        <v>162</v>
      </c>
      <c r="F64" s="26" t="s">
        <v>70</v>
      </c>
      <c r="G64" s="24" t="s">
        <v>150</v>
      </c>
      <c r="H64" s="24" t="s">
        <v>189</v>
      </c>
      <c r="I64" s="24" t="s">
        <v>70</v>
      </c>
      <c r="J64" s="24" t="s">
        <v>70</v>
      </c>
      <c r="K64" s="24" t="s">
        <v>163</v>
      </c>
      <c r="L64" s="26">
        <v>4.12</v>
      </c>
      <c r="M64" s="26" t="s">
        <v>477</v>
      </c>
      <c r="N64" s="27" t="s">
        <v>530</v>
      </c>
      <c r="O64" s="25" t="s">
        <v>203</v>
      </c>
      <c r="P64" s="24" t="s">
        <v>75</v>
      </c>
      <c r="Q64" s="24"/>
      <c r="R64" s="24"/>
      <c r="S64" s="24">
        <v>36</v>
      </c>
      <c r="T64" s="24">
        <f>ROUND(IF(D64=Table!$C$3,V64*Table!$C$4/8,V64*Table!$D$4/8),3)</f>
        <v>20.719000000000001</v>
      </c>
      <c r="U64" s="24">
        <f t="shared" si="14"/>
        <v>20.719000000000001</v>
      </c>
      <c r="V64" s="24">
        <v>1.2749999999999999</v>
      </c>
      <c r="W64" s="24">
        <v>2</v>
      </c>
      <c r="X64" s="24" t="s">
        <v>83</v>
      </c>
      <c r="Y64" s="28">
        <v>43896</v>
      </c>
      <c r="Z64" s="28">
        <v>43901</v>
      </c>
      <c r="AA64" s="28">
        <v>43896</v>
      </c>
      <c r="AB64" s="28">
        <v>43901</v>
      </c>
      <c r="AC64" s="30" t="s">
        <v>204</v>
      </c>
      <c r="AD64" s="30"/>
      <c r="AE64" s="30"/>
      <c r="AF64" s="55">
        <v>1</v>
      </c>
      <c r="AG64" s="55">
        <v>1</v>
      </c>
      <c r="AH64" s="55" t="s">
        <v>219</v>
      </c>
      <c r="AI64" s="24"/>
      <c r="AJ64" s="24"/>
      <c r="AK64" s="24" t="s">
        <v>223</v>
      </c>
    </row>
    <row r="65" spans="2:37" x14ac:dyDescent="0.25">
      <c r="B65" s="47">
        <v>28</v>
      </c>
      <c r="C65" s="25">
        <v>20200305</v>
      </c>
      <c r="D65" s="24" t="s">
        <v>2</v>
      </c>
      <c r="E65" s="24" t="s">
        <v>162</v>
      </c>
      <c r="F65" s="26" t="s">
        <v>70</v>
      </c>
      <c r="G65" s="24" t="s">
        <v>151</v>
      </c>
      <c r="H65" s="24" t="s">
        <v>190</v>
      </c>
      <c r="I65" s="24" t="s">
        <v>70</v>
      </c>
      <c r="J65" s="24" t="s">
        <v>70</v>
      </c>
      <c r="K65" s="24" t="s">
        <v>163</v>
      </c>
      <c r="L65" s="26">
        <v>1.4</v>
      </c>
      <c r="M65" s="26" t="s">
        <v>477</v>
      </c>
      <c r="N65" s="27" t="s">
        <v>531</v>
      </c>
      <c r="O65" s="25" t="s">
        <v>203</v>
      </c>
      <c r="P65" s="24" t="s">
        <v>75</v>
      </c>
      <c r="Q65" s="24"/>
      <c r="R65" s="24"/>
      <c r="S65" s="24">
        <v>36</v>
      </c>
      <c r="T65" s="24">
        <f>ROUND(IF(D65=Table!$C$3,V65*Table!$C$4/8,V65*Table!$D$4/8),3)</f>
        <v>20.719000000000001</v>
      </c>
      <c r="U65" s="24">
        <f t="shared" si="14"/>
        <v>20.719000000000001</v>
      </c>
      <c r="V65" s="24">
        <v>1.2749999999999999</v>
      </c>
      <c r="W65" s="24">
        <v>2</v>
      </c>
      <c r="X65" s="24" t="s">
        <v>83</v>
      </c>
      <c r="Y65" s="28">
        <v>43896</v>
      </c>
      <c r="Z65" s="28">
        <v>43901</v>
      </c>
      <c r="AA65" s="28">
        <v>43896</v>
      </c>
      <c r="AB65" s="28">
        <v>43901</v>
      </c>
      <c r="AC65" s="30" t="s">
        <v>204</v>
      </c>
      <c r="AD65" s="30"/>
      <c r="AE65" s="30"/>
      <c r="AF65" s="55">
        <v>1</v>
      </c>
      <c r="AG65" s="55">
        <v>1</v>
      </c>
      <c r="AH65" s="55" t="s">
        <v>219</v>
      </c>
      <c r="AI65" s="24"/>
      <c r="AJ65" s="24"/>
      <c r="AK65" s="24" t="s">
        <v>223</v>
      </c>
    </row>
    <row r="66" spans="2:37" x14ac:dyDescent="0.25">
      <c r="B66" s="47">
        <v>29</v>
      </c>
      <c r="C66" s="25">
        <v>20200305</v>
      </c>
      <c r="D66" s="24" t="s">
        <v>2</v>
      </c>
      <c r="E66" s="24" t="s">
        <v>162</v>
      </c>
      <c r="F66" s="26" t="s">
        <v>70</v>
      </c>
      <c r="G66" s="24" t="s">
        <v>152</v>
      </c>
      <c r="H66" s="24" t="s">
        <v>191</v>
      </c>
      <c r="I66" s="24" t="s">
        <v>70</v>
      </c>
      <c r="J66" s="24" t="s">
        <v>70</v>
      </c>
      <c r="K66" s="24" t="s">
        <v>163</v>
      </c>
      <c r="L66" s="26">
        <v>1.1200000000000001</v>
      </c>
      <c r="M66" s="26" t="s">
        <v>477</v>
      </c>
      <c r="N66" s="27" t="s">
        <v>532</v>
      </c>
      <c r="O66" s="25" t="s">
        <v>203</v>
      </c>
      <c r="P66" s="24" t="s">
        <v>73</v>
      </c>
      <c r="Q66" s="24"/>
      <c r="R66" s="24"/>
      <c r="S66" s="24">
        <v>10</v>
      </c>
      <c r="T66" s="24">
        <f>ROUND(IF(D66=Table!$C$3,V66*Table!$C$4/8,V66*Table!$D$4/8),3)</f>
        <v>20.719000000000001</v>
      </c>
      <c r="U66" s="24">
        <f t="shared" si="14"/>
        <v>20.719000000000001</v>
      </c>
      <c r="V66" s="24">
        <v>1.2749999999999999</v>
      </c>
      <c r="W66" s="24">
        <v>1</v>
      </c>
      <c r="X66" s="24" t="s">
        <v>83</v>
      </c>
      <c r="Y66" s="28">
        <v>43896</v>
      </c>
      <c r="Z66" s="28">
        <v>43901</v>
      </c>
      <c r="AA66" s="28">
        <v>43896</v>
      </c>
      <c r="AB66" s="28">
        <v>43901</v>
      </c>
      <c r="AC66" s="30" t="s">
        <v>204</v>
      </c>
      <c r="AD66" s="30"/>
      <c r="AE66" s="30"/>
      <c r="AF66" s="59">
        <v>1</v>
      </c>
      <c r="AG66" s="59">
        <v>1</v>
      </c>
      <c r="AH66" s="60" t="s">
        <v>219</v>
      </c>
      <c r="AI66" s="24"/>
      <c r="AJ66" s="24"/>
      <c r="AK66" s="24" t="s">
        <v>223</v>
      </c>
    </row>
    <row r="67" spans="2:37" x14ac:dyDescent="0.25">
      <c r="B67" s="47">
        <v>30</v>
      </c>
      <c r="C67" s="25">
        <v>20200305</v>
      </c>
      <c r="D67" s="24" t="s">
        <v>2</v>
      </c>
      <c r="E67" s="24" t="s">
        <v>162</v>
      </c>
      <c r="F67" s="26" t="s">
        <v>70</v>
      </c>
      <c r="G67" s="24" t="s">
        <v>153</v>
      </c>
      <c r="H67" s="24" t="s">
        <v>192</v>
      </c>
      <c r="I67" s="24" t="s">
        <v>70</v>
      </c>
      <c r="J67" s="24" t="s">
        <v>70</v>
      </c>
      <c r="K67" s="24" t="s">
        <v>163</v>
      </c>
      <c r="L67" s="26">
        <v>8.5</v>
      </c>
      <c r="M67" s="26" t="s">
        <v>477</v>
      </c>
      <c r="N67" s="27" t="s">
        <v>533</v>
      </c>
      <c r="O67" s="25" t="s">
        <v>203</v>
      </c>
      <c r="P67" s="24" t="s">
        <v>75</v>
      </c>
      <c r="Q67" s="24"/>
      <c r="R67" s="24"/>
      <c r="S67" s="24">
        <v>61</v>
      </c>
      <c r="T67" s="24">
        <f>ROUND(IF(D67=Table!$C$3,V67*Table!$C$4/8,V67*Table!$D$4/8),3)</f>
        <v>26.244</v>
      </c>
      <c r="U67" s="24">
        <f t="shared" si="14"/>
        <v>26.244</v>
      </c>
      <c r="V67" s="24">
        <v>1.615</v>
      </c>
      <c r="W67" s="24">
        <v>2</v>
      </c>
      <c r="X67" s="24" t="s">
        <v>83</v>
      </c>
      <c r="Y67" s="28">
        <v>43896</v>
      </c>
      <c r="Z67" s="28">
        <v>43901</v>
      </c>
      <c r="AA67" s="28">
        <v>43896</v>
      </c>
      <c r="AB67" s="28">
        <v>43901</v>
      </c>
      <c r="AC67" s="30" t="s">
        <v>204</v>
      </c>
      <c r="AD67" s="30"/>
      <c r="AE67" s="30"/>
      <c r="AF67" s="55">
        <v>1</v>
      </c>
      <c r="AG67" s="55">
        <v>1</v>
      </c>
      <c r="AH67" s="55" t="s">
        <v>219</v>
      </c>
      <c r="AI67" s="24"/>
      <c r="AJ67" s="24"/>
      <c r="AK67" s="24" t="s">
        <v>223</v>
      </c>
    </row>
    <row r="68" spans="2:37" x14ac:dyDescent="0.25">
      <c r="B68" s="47">
        <v>31</v>
      </c>
      <c r="C68" s="25">
        <v>20200305</v>
      </c>
      <c r="D68" s="24" t="s">
        <v>2</v>
      </c>
      <c r="E68" s="24" t="s">
        <v>162</v>
      </c>
      <c r="F68" s="26" t="s">
        <v>70</v>
      </c>
      <c r="G68" s="24" t="s">
        <v>154</v>
      </c>
      <c r="H68" s="24" t="s">
        <v>193</v>
      </c>
      <c r="I68" s="24" t="s">
        <v>70</v>
      </c>
      <c r="J68" s="24" t="s">
        <v>70</v>
      </c>
      <c r="K68" s="24" t="s">
        <v>163</v>
      </c>
      <c r="L68" s="26">
        <v>6.13</v>
      </c>
      <c r="M68" s="26" t="s">
        <v>477</v>
      </c>
      <c r="N68" s="27" t="s">
        <v>534</v>
      </c>
      <c r="O68" s="25" t="s">
        <v>203</v>
      </c>
      <c r="P68" s="24" t="s">
        <v>75</v>
      </c>
      <c r="Q68" s="24"/>
      <c r="R68" s="24"/>
      <c r="S68" s="24">
        <v>89</v>
      </c>
      <c r="T68" s="24">
        <f>ROUND(IF(D68=Table!$C$3,V68*Table!$C$4/8,V68*Table!$D$4/8),3)</f>
        <v>125.694</v>
      </c>
      <c r="U68" s="24">
        <f t="shared" si="14"/>
        <v>125.694</v>
      </c>
      <c r="V68" s="24">
        <v>7.7349999999999994</v>
      </c>
      <c r="W68" s="24">
        <v>8</v>
      </c>
      <c r="X68" s="24" t="s">
        <v>83</v>
      </c>
      <c r="Y68" s="28">
        <v>43896</v>
      </c>
      <c r="Z68" s="28">
        <v>43901</v>
      </c>
      <c r="AA68" s="28">
        <v>43896</v>
      </c>
      <c r="AB68" s="28">
        <v>43901</v>
      </c>
      <c r="AC68" s="30" t="s">
        <v>205</v>
      </c>
      <c r="AD68" s="30"/>
      <c r="AE68" s="30"/>
      <c r="AF68" s="55">
        <v>1</v>
      </c>
      <c r="AG68" s="55">
        <v>1</v>
      </c>
      <c r="AH68" s="55">
        <v>0.94099999999999995</v>
      </c>
      <c r="AI68" s="24" t="s">
        <v>484</v>
      </c>
      <c r="AJ68" s="24"/>
      <c r="AK68" s="24"/>
    </row>
    <row r="69" spans="2:37" x14ac:dyDescent="0.25">
      <c r="B69" s="47">
        <v>32</v>
      </c>
      <c r="C69" s="25">
        <v>20200305</v>
      </c>
      <c r="D69" s="24" t="s">
        <v>2</v>
      </c>
      <c r="E69" s="24" t="s">
        <v>162</v>
      </c>
      <c r="F69" s="26" t="s">
        <v>70</v>
      </c>
      <c r="G69" s="24" t="s">
        <v>155</v>
      </c>
      <c r="H69" s="24" t="s">
        <v>194</v>
      </c>
      <c r="I69" s="24" t="s">
        <v>70</v>
      </c>
      <c r="J69" s="24" t="s">
        <v>70</v>
      </c>
      <c r="K69" s="24" t="s">
        <v>163</v>
      </c>
      <c r="L69" s="26">
        <v>1.1000000000000001</v>
      </c>
      <c r="M69" s="26" t="s">
        <v>477</v>
      </c>
      <c r="N69" s="27" t="s">
        <v>535</v>
      </c>
      <c r="O69" s="25" t="s">
        <v>203</v>
      </c>
      <c r="P69" s="24" t="s">
        <v>75</v>
      </c>
      <c r="Q69" s="24"/>
      <c r="R69" s="24"/>
      <c r="S69" s="24">
        <v>67</v>
      </c>
      <c r="T69" s="24">
        <f>ROUND(IF(D69=Table!$C$3,V69*Table!$C$4/8,V69*Table!$D$4/8),3)</f>
        <v>26.244</v>
      </c>
      <c r="U69" s="24">
        <f t="shared" si="14"/>
        <v>26.244</v>
      </c>
      <c r="V69" s="24">
        <v>1.615</v>
      </c>
      <c r="W69" s="24">
        <v>4</v>
      </c>
      <c r="X69" s="24" t="s">
        <v>83</v>
      </c>
      <c r="Y69" s="28">
        <v>43896</v>
      </c>
      <c r="Z69" s="28">
        <v>43901</v>
      </c>
      <c r="AA69" s="28">
        <v>43896</v>
      </c>
      <c r="AB69" s="28">
        <v>43901</v>
      </c>
      <c r="AC69" s="30" t="s">
        <v>205</v>
      </c>
      <c r="AD69" s="30"/>
      <c r="AE69" s="30"/>
      <c r="AF69" s="55">
        <v>0.95799999999999996</v>
      </c>
      <c r="AG69" s="55">
        <v>0.96400000000000008</v>
      </c>
      <c r="AH69" s="55">
        <v>1</v>
      </c>
      <c r="AI69" s="24" t="s">
        <v>225</v>
      </c>
      <c r="AJ69" s="24"/>
      <c r="AK69" s="24" t="s">
        <v>224</v>
      </c>
    </row>
    <row r="70" spans="2:37" x14ac:dyDescent="0.25">
      <c r="B70" s="47">
        <v>33</v>
      </c>
      <c r="C70" s="25">
        <v>20200305</v>
      </c>
      <c r="D70" s="24" t="s">
        <v>2</v>
      </c>
      <c r="E70" s="24" t="s">
        <v>162</v>
      </c>
      <c r="F70" s="26" t="s">
        <v>70</v>
      </c>
      <c r="G70" s="24" t="s">
        <v>156</v>
      </c>
      <c r="H70" s="24" t="s">
        <v>195</v>
      </c>
      <c r="I70" s="24" t="s">
        <v>70</v>
      </c>
      <c r="J70" s="24" t="s">
        <v>70</v>
      </c>
      <c r="K70" s="24" t="s">
        <v>163</v>
      </c>
      <c r="L70" s="26">
        <v>1.5</v>
      </c>
      <c r="M70" s="26" t="s">
        <v>477</v>
      </c>
      <c r="N70" s="27" t="s">
        <v>536</v>
      </c>
      <c r="O70" s="25" t="s">
        <v>203</v>
      </c>
      <c r="P70" s="24" t="s">
        <v>75</v>
      </c>
      <c r="Q70" s="24"/>
      <c r="R70" s="24"/>
      <c r="S70" s="24">
        <v>51</v>
      </c>
      <c r="T70" s="24">
        <f>ROUND(IF(D70=Table!$C$3,V70*Table!$C$4/8,V70*Table!$D$4/8),3)</f>
        <v>42.819000000000003</v>
      </c>
      <c r="U70" s="24">
        <f t="shared" si="14"/>
        <v>42.819000000000003</v>
      </c>
      <c r="V70" s="24">
        <v>2.6349999999999998</v>
      </c>
      <c r="W70" s="24">
        <v>3</v>
      </c>
      <c r="X70" s="24" t="s">
        <v>83</v>
      </c>
      <c r="Y70" s="28">
        <v>43896</v>
      </c>
      <c r="Z70" s="28">
        <v>43901</v>
      </c>
      <c r="AA70" s="28">
        <v>43896</v>
      </c>
      <c r="AB70" s="28">
        <v>43899</v>
      </c>
      <c r="AC70" s="30" t="s">
        <v>204</v>
      </c>
      <c r="AD70" s="30"/>
      <c r="AE70" s="30"/>
      <c r="AF70" s="55">
        <v>1</v>
      </c>
      <c r="AG70" s="55">
        <v>1</v>
      </c>
      <c r="AH70" s="55">
        <v>1</v>
      </c>
      <c r="AI70" s="24"/>
      <c r="AJ70" s="24"/>
      <c r="AK70" s="24"/>
    </row>
    <row r="71" spans="2:37" x14ac:dyDescent="0.25">
      <c r="B71" s="47">
        <v>34</v>
      </c>
      <c r="C71" s="25">
        <v>20200305</v>
      </c>
      <c r="D71" s="24" t="s">
        <v>2</v>
      </c>
      <c r="E71" s="24" t="s">
        <v>162</v>
      </c>
      <c r="F71" s="26" t="s">
        <v>70</v>
      </c>
      <c r="G71" s="24" t="s">
        <v>157</v>
      </c>
      <c r="H71" s="24" t="s">
        <v>196</v>
      </c>
      <c r="I71" s="24" t="s">
        <v>70</v>
      </c>
      <c r="J71" s="24" t="s">
        <v>70</v>
      </c>
      <c r="K71" s="24" t="s">
        <v>163</v>
      </c>
      <c r="L71" s="26">
        <v>2.2000000000000002</v>
      </c>
      <c r="M71" s="26" t="s">
        <v>477</v>
      </c>
      <c r="N71" s="27" t="s">
        <v>537</v>
      </c>
      <c r="O71" s="25" t="s">
        <v>203</v>
      </c>
      <c r="P71" s="24" t="s">
        <v>75</v>
      </c>
      <c r="Q71" s="24"/>
      <c r="R71" s="24"/>
      <c r="S71" s="24">
        <v>71</v>
      </c>
      <c r="T71" s="24">
        <f>ROUND(IF(D71=Table!$C$3,V71*Table!$C$4/8,V71*Table!$D$4/8),3)</f>
        <v>53.869</v>
      </c>
      <c r="U71" s="24">
        <f t="shared" si="14"/>
        <v>53.869</v>
      </c>
      <c r="V71" s="24">
        <v>3.3150000000000004</v>
      </c>
      <c r="W71" s="24">
        <v>4</v>
      </c>
      <c r="X71" s="24" t="s">
        <v>83</v>
      </c>
      <c r="Y71" s="28">
        <v>43896</v>
      </c>
      <c r="Z71" s="28">
        <v>43901</v>
      </c>
      <c r="AA71" s="28">
        <v>43896</v>
      </c>
      <c r="AB71" s="28">
        <v>43899</v>
      </c>
      <c r="AC71" s="30" t="s">
        <v>205</v>
      </c>
      <c r="AD71" s="30"/>
      <c r="AE71" s="30"/>
      <c r="AF71" s="55">
        <v>1</v>
      </c>
      <c r="AG71" s="55">
        <v>1</v>
      </c>
      <c r="AH71" s="55">
        <v>1</v>
      </c>
      <c r="AI71" s="24"/>
      <c r="AJ71" s="24"/>
      <c r="AK71" s="24"/>
    </row>
    <row r="72" spans="2:37" x14ac:dyDescent="0.25">
      <c r="B72" s="47">
        <v>35</v>
      </c>
      <c r="C72" s="25">
        <v>20200305</v>
      </c>
      <c r="D72" s="24" t="s">
        <v>2</v>
      </c>
      <c r="E72" s="24" t="s">
        <v>162</v>
      </c>
      <c r="F72" s="26" t="s">
        <v>70</v>
      </c>
      <c r="G72" s="24" t="s">
        <v>158</v>
      </c>
      <c r="H72" s="24" t="s">
        <v>197</v>
      </c>
      <c r="I72" s="24" t="s">
        <v>70</v>
      </c>
      <c r="J72" s="24" t="s">
        <v>70</v>
      </c>
      <c r="K72" s="24" t="s">
        <v>163</v>
      </c>
      <c r="L72" s="26">
        <v>1.1000000000000001</v>
      </c>
      <c r="M72" s="26" t="s">
        <v>477</v>
      </c>
      <c r="N72" s="27" t="s">
        <v>538</v>
      </c>
      <c r="O72" s="25" t="s">
        <v>203</v>
      </c>
      <c r="P72" s="24" t="s">
        <v>75</v>
      </c>
      <c r="Q72" s="24"/>
      <c r="R72" s="24"/>
      <c r="S72" s="24">
        <v>58</v>
      </c>
      <c r="T72" s="24">
        <f>ROUND(IF(D72=Table!$C$3,V72*Table!$C$4/8,V72*Table!$D$4/8),3)</f>
        <v>37.293999999999997</v>
      </c>
      <c r="U72" s="24">
        <f t="shared" si="14"/>
        <v>37.293999999999997</v>
      </c>
      <c r="V72" s="24">
        <v>2.2949999999999999</v>
      </c>
      <c r="W72" s="24">
        <v>4</v>
      </c>
      <c r="X72" s="24" t="s">
        <v>83</v>
      </c>
      <c r="Y72" s="28">
        <v>43896</v>
      </c>
      <c r="Z72" s="28">
        <v>43901</v>
      </c>
      <c r="AA72" s="28">
        <v>43896</v>
      </c>
      <c r="AB72" s="28">
        <v>43908</v>
      </c>
      <c r="AC72" s="30" t="s">
        <v>205</v>
      </c>
      <c r="AD72" s="30"/>
      <c r="AE72" s="30"/>
      <c r="AF72" s="55">
        <v>0.83900000000000008</v>
      </c>
      <c r="AG72" s="55">
        <v>0.84400000000000008</v>
      </c>
      <c r="AH72" s="55">
        <v>1</v>
      </c>
      <c r="AI72" s="24" t="s">
        <v>485</v>
      </c>
      <c r="AJ72" s="24"/>
      <c r="AK72" s="24"/>
    </row>
    <row r="73" spans="2:37" x14ac:dyDescent="0.25">
      <c r="B73" s="47">
        <v>36</v>
      </c>
      <c r="C73" s="25">
        <v>20200305</v>
      </c>
      <c r="D73" s="24" t="s">
        <v>2</v>
      </c>
      <c r="E73" s="24" t="s">
        <v>162</v>
      </c>
      <c r="F73" s="26" t="s">
        <v>70</v>
      </c>
      <c r="G73" s="24" t="s">
        <v>159</v>
      </c>
      <c r="H73" s="24" t="s">
        <v>198</v>
      </c>
      <c r="I73" s="24" t="s">
        <v>70</v>
      </c>
      <c r="J73" s="24" t="s">
        <v>70</v>
      </c>
      <c r="K73" s="24" t="s">
        <v>163</v>
      </c>
      <c r="L73" s="26" t="s">
        <v>122</v>
      </c>
      <c r="M73" s="26" t="s">
        <v>477</v>
      </c>
      <c r="N73" s="27" t="s">
        <v>539</v>
      </c>
      <c r="O73" s="25" t="s">
        <v>203</v>
      </c>
      <c r="P73" s="24" t="s">
        <v>75</v>
      </c>
      <c r="Q73" s="24"/>
      <c r="R73" s="24"/>
      <c r="S73" s="24">
        <v>47</v>
      </c>
      <c r="T73" s="24">
        <f>ROUND(IF(D73=Table!$C$3,V73*Table!$C$4/8,V73*Table!$D$4/8),3)</f>
        <v>26.244</v>
      </c>
      <c r="U73" s="24">
        <f t="shared" si="14"/>
        <v>26.244</v>
      </c>
      <c r="V73" s="24">
        <v>1.615</v>
      </c>
      <c r="W73" s="24">
        <v>4</v>
      </c>
      <c r="X73" s="24" t="s">
        <v>83</v>
      </c>
      <c r="Y73" s="28">
        <v>43896</v>
      </c>
      <c r="Z73" s="28">
        <v>43901</v>
      </c>
      <c r="AA73" s="28">
        <v>43896</v>
      </c>
      <c r="AB73" s="28">
        <v>43908</v>
      </c>
      <c r="AC73" s="30" t="s">
        <v>205</v>
      </c>
      <c r="AD73" s="30"/>
      <c r="AE73" s="30"/>
      <c r="AF73" s="55">
        <v>0.88500000000000001</v>
      </c>
      <c r="AG73" s="55">
        <v>0.88900000000000001</v>
      </c>
      <c r="AH73" s="55">
        <v>1</v>
      </c>
      <c r="AI73" s="24" t="s">
        <v>486</v>
      </c>
      <c r="AJ73" s="24"/>
      <c r="AK73" s="24" t="s">
        <v>226</v>
      </c>
    </row>
    <row r="74" spans="2:37" x14ac:dyDescent="0.25">
      <c r="B74" s="47">
        <v>37</v>
      </c>
      <c r="C74" s="25">
        <v>20200305</v>
      </c>
      <c r="D74" s="24" t="s">
        <v>2</v>
      </c>
      <c r="E74" s="24" t="s">
        <v>162</v>
      </c>
      <c r="F74" s="26" t="s">
        <v>70</v>
      </c>
      <c r="G74" s="24" t="s">
        <v>160</v>
      </c>
      <c r="H74" s="24" t="s">
        <v>199</v>
      </c>
      <c r="I74" s="24" t="s">
        <v>70</v>
      </c>
      <c r="J74" s="24" t="s">
        <v>70</v>
      </c>
      <c r="K74" s="24" t="s">
        <v>163</v>
      </c>
      <c r="L74" s="26" t="s">
        <v>123</v>
      </c>
      <c r="M74" s="26" t="s">
        <v>477</v>
      </c>
      <c r="N74" s="27" t="s">
        <v>540</v>
      </c>
      <c r="O74" s="25" t="s">
        <v>203</v>
      </c>
      <c r="P74" s="24" t="s">
        <v>75</v>
      </c>
      <c r="Q74" s="24"/>
      <c r="R74" s="24"/>
      <c r="S74" s="24">
        <v>32</v>
      </c>
      <c r="T74" s="24">
        <f>ROUND(IF(D74=Table!$C$3,V74*Table!$C$4/8,V74*Table!$D$4/8),3)</f>
        <v>31.768999999999998</v>
      </c>
      <c r="U74" s="24">
        <f t="shared" si="14"/>
        <v>31.768999999999998</v>
      </c>
      <c r="V74" s="24">
        <v>1.9549999999999998</v>
      </c>
      <c r="W74" s="24">
        <v>4</v>
      </c>
      <c r="X74" s="24" t="s">
        <v>83</v>
      </c>
      <c r="Y74" s="28">
        <v>43896</v>
      </c>
      <c r="Z74" s="28">
        <v>43901</v>
      </c>
      <c r="AA74" s="28">
        <v>43896</v>
      </c>
      <c r="AB74" s="28">
        <v>43908</v>
      </c>
      <c r="AC74" s="30" t="s">
        <v>205</v>
      </c>
      <c r="AD74" s="30"/>
      <c r="AE74" s="30"/>
      <c r="AF74" s="55">
        <v>0.75</v>
      </c>
      <c r="AG74" s="55">
        <v>0.75</v>
      </c>
      <c r="AH74" s="55">
        <v>0.90900000000000003</v>
      </c>
      <c r="AI74" s="24" t="s">
        <v>487</v>
      </c>
      <c r="AJ74" s="24"/>
      <c r="AK74" s="24"/>
    </row>
    <row r="75" spans="2:37" x14ac:dyDescent="0.25">
      <c r="B75" s="47">
        <v>38</v>
      </c>
      <c r="C75" s="25">
        <v>20200305</v>
      </c>
      <c r="D75" s="24" t="s">
        <v>2</v>
      </c>
      <c r="E75" s="24" t="s">
        <v>162</v>
      </c>
      <c r="F75" s="26" t="s">
        <v>70</v>
      </c>
      <c r="G75" s="24" t="s">
        <v>161</v>
      </c>
      <c r="H75" s="24" t="s">
        <v>200</v>
      </c>
      <c r="I75" s="24" t="s">
        <v>70</v>
      </c>
      <c r="J75" s="24" t="s">
        <v>70</v>
      </c>
      <c r="K75" s="24" t="s">
        <v>163</v>
      </c>
      <c r="L75" s="26">
        <v>1.2</v>
      </c>
      <c r="M75" s="26" t="s">
        <v>477</v>
      </c>
      <c r="N75" s="27" t="s">
        <v>541</v>
      </c>
      <c r="O75" s="25" t="s">
        <v>203</v>
      </c>
      <c r="P75" s="24" t="s">
        <v>75</v>
      </c>
      <c r="Q75" s="24"/>
      <c r="R75" s="24"/>
      <c r="S75" s="24">
        <v>73</v>
      </c>
      <c r="T75" s="24">
        <f>ROUND(IF(D75=Table!$C$3,V75*Table!$C$4/8,V75*Table!$D$4/8),3)</f>
        <v>42.819000000000003</v>
      </c>
      <c r="U75" s="24">
        <f t="shared" si="14"/>
        <v>42.819000000000003</v>
      </c>
      <c r="V75" s="24">
        <v>2.6349999999999998</v>
      </c>
      <c r="W75" s="24">
        <v>3</v>
      </c>
      <c r="X75" s="24" t="s">
        <v>83</v>
      </c>
      <c r="Y75" s="28">
        <v>43896</v>
      </c>
      <c r="Z75" s="28">
        <v>43901</v>
      </c>
      <c r="AA75" s="28">
        <v>43896</v>
      </c>
      <c r="AB75" s="28">
        <v>43896</v>
      </c>
      <c r="AC75" s="30" t="s">
        <v>204</v>
      </c>
      <c r="AD75" s="30"/>
      <c r="AE75" s="30"/>
      <c r="AF75" s="55">
        <v>1</v>
      </c>
      <c r="AG75" s="55">
        <v>1</v>
      </c>
      <c r="AH75" s="55">
        <v>1</v>
      </c>
      <c r="AI75" s="24"/>
      <c r="AJ75" s="24"/>
      <c r="AK75" s="24"/>
    </row>
    <row r="76" spans="2:37" x14ac:dyDescent="0.25">
      <c r="B76" s="48">
        <v>39</v>
      </c>
      <c r="C76" s="25">
        <v>20200306</v>
      </c>
      <c r="D76" s="24" t="s">
        <v>2</v>
      </c>
      <c r="E76" s="24" t="s">
        <v>209</v>
      </c>
      <c r="F76" s="26" t="s">
        <v>70</v>
      </c>
      <c r="G76" s="24" t="s">
        <v>210</v>
      </c>
      <c r="H76" s="24" t="s">
        <v>206</v>
      </c>
      <c r="I76" s="24" t="s">
        <v>70</v>
      </c>
      <c r="J76" s="24" t="s">
        <v>70</v>
      </c>
      <c r="K76" s="24" t="s">
        <v>215</v>
      </c>
      <c r="L76" s="26">
        <v>1</v>
      </c>
      <c r="M76" s="26" t="s">
        <v>214</v>
      </c>
      <c r="N76" s="27" t="s">
        <v>542</v>
      </c>
      <c r="O76" s="25" t="s">
        <v>213</v>
      </c>
      <c r="P76" s="24" t="s">
        <v>6</v>
      </c>
      <c r="Q76" s="24"/>
      <c r="R76" s="24"/>
      <c r="S76" s="24">
        <v>13</v>
      </c>
      <c r="T76" s="24">
        <f>ROUND(IF(D76=Table!$C$3,V76*Table!$C$4/8,V76*Table!$D$4/8),3)</f>
        <v>26</v>
      </c>
      <c r="U76" s="24">
        <f t="shared" si="14"/>
        <v>26</v>
      </c>
      <c r="V76" s="24">
        <v>1.6</v>
      </c>
      <c r="W76" s="24">
        <v>3</v>
      </c>
      <c r="X76" s="24" t="s">
        <v>83</v>
      </c>
      <c r="Y76" s="28">
        <v>43896</v>
      </c>
      <c r="Z76" s="28">
        <v>43899</v>
      </c>
      <c r="AA76" s="28">
        <v>43896</v>
      </c>
      <c r="AB76" s="28">
        <v>43896</v>
      </c>
      <c r="AC76" s="30" t="s">
        <v>205</v>
      </c>
      <c r="AD76" s="30"/>
      <c r="AE76" s="30"/>
      <c r="AF76" s="55">
        <v>0.84599999999999997</v>
      </c>
      <c r="AG76" s="55">
        <v>0.84599999999999997</v>
      </c>
      <c r="AH76" s="61" t="s">
        <v>70</v>
      </c>
      <c r="AI76" s="24"/>
      <c r="AJ76" s="24"/>
      <c r="AK76" s="24"/>
    </row>
    <row r="77" spans="2:37" x14ac:dyDescent="0.25">
      <c r="B77" s="48">
        <v>40</v>
      </c>
      <c r="C77" s="25">
        <v>20200306</v>
      </c>
      <c r="D77" s="24" t="s">
        <v>2</v>
      </c>
      <c r="E77" s="24" t="s">
        <v>209</v>
      </c>
      <c r="F77" s="26" t="s">
        <v>70</v>
      </c>
      <c r="G77" s="24" t="s">
        <v>211</v>
      </c>
      <c r="H77" s="24" t="s">
        <v>207</v>
      </c>
      <c r="I77" s="24" t="s">
        <v>70</v>
      </c>
      <c r="J77" s="24" t="s">
        <v>70</v>
      </c>
      <c r="K77" s="24" t="s">
        <v>215</v>
      </c>
      <c r="L77" s="26">
        <v>1</v>
      </c>
      <c r="M77" s="26" t="s">
        <v>214</v>
      </c>
      <c r="N77" s="27" t="s">
        <v>543</v>
      </c>
      <c r="O77" s="25" t="s">
        <v>213</v>
      </c>
      <c r="P77" s="24" t="s">
        <v>6</v>
      </c>
      <c r="Q77" s="24"/>
      <c r="R77" s="24"/>
      <c r="S77" s="24">
        <v>52</v>
      </c>
      <c r="T77" s="24">
        <f>ROUND(IF(D77=Table!$C$3,V77*Table!$C$4/8,V77*Table!$D$4/8),3)</f>
        <v>78</v>
      </c>
      <c r="U77" s="24">
        <f t="shared" si="14"/>
        <v>78</v>
      </c>
      <c r="V77" s="24">
        <v>4.8</v>
      </c>
      <c r="W77" s="24">
        <v>5</v>
      </c>
      <c r="X77" s="24" t="s">
        <v>83</v>
      </c>
      <c r="Y77" s="28">
        <v>43896</v>
      </c>
      <c r="Z77" s="28">
        <v>43899</v>
      </c>
      <c r="AA77" s="28">
        <v>43896</v>
      </c>
      <c r="AB77" s="28">
        <v>43896</v>
      </c>
      <c r="AC77" s="30" t="s">
        <v>205</v>
      </c>
      <c r="AD77" s="30"/>
      <c r="AE77" s="30"/>
      <c r="AF77" s="55">
        <v>0.88900000000000001</v>
      </c>
      <c r="AG77" s="55">
        <v>0.89400000000000002</v>
      </c>
      <c r="AH77" s="55">
        <v>0.88900000000000001</v>
      </c>
      <c r="AI77" s="24"/>
      <c r="AJ77" s="24"/>
      <c r="AK77" s="24"/>
    </row>
    <row r="78" spans="2:37" x14ac:dyDescent="0.25">
      <c r="B78" s="48">
        <v>41</v>
      </c>
      <c r="C78" s="25">
        <v>20200306</v>
      </c>
      <c r="D78" s="24" t="s">
        <v>2</v>
      </c>
      <c r="E78" s="24" t="s">
        <v>209</v>
      </c>
      <c r="F78" s="26" t="s">
        <v>70</v>
      </c>
      <c r="G78" s="24" t="s">
        <v>212</v>
      </c>
      <c r="H78" s="24" t="s">
        <v>208</v>
      </c>
      <c r="I78" s="24" t="s">
        <v>70</v>
      </c>
      <c r="J78" s="24" t="s">
        <v>70</v>
      </c>
      <c r="K78" s="24" t="s">
        <v>215</v>
      </c>
      <c r="L78" s="26">
        <v>1</v>
      </c>
      <c r="M78" s="26" t="s">
        <v>214</v>
      </c>
      <c r="N78" s="27" t="s">
        <v>544</v>
      </c>
      <c r="O78" s="25" t="s">
        <v>213</v>
      </c>
      <c r="P78" s="24" t="s">
        <v>6</v>
      </c>
      <c r="Q78" s="24"/>
      <c r="R78" s="24"/>
      <c r="S78" s="24">
        <v>28</v>
      </c>
      <c r="T78" s="24">
        <f>ROUND(IF(D78=Table!$C$3,V78*Table!$C$4/8,V78*Table!$D$4/8),3)</f>
        <v>39</v>
      </c>
      <c r="U78" s="24">
        <f t="shared" si="14"/>
        <v>39</v>
      </c>
      <c r="V78" s="24">
        <v>2.4</v>
      </c>
      <c r="W78" s="24">
        <v>4</v>
      </c>
      <c r="X78" s="24" t="s">
        <v>83</v>
      </c>
      <c r="Y78" s="28">
        <v>43896</v>
      </c>
      <c r="Z78" s="28">
        <v>43899</v>
      </c>
      <c r="AA78" s="28">
        <v>43899</v>
      </c>
      <c r="AB78" s="28">
        <v>43899</v>
      </c>
      <c r="AC78" s="28" t="s">
        <v>204</v>
      </c>
      <c r="AD78" s="121"/>
      <c r="AE78" s="121"/>
      <c r="AF78" s="55">
        <v>1</v>
      </c>
      <c r="AG78" s="55">
        <v>1</v>
      </c>
      <c r="AH78" s="55">
        <v>1</v>
      </c>
      <c r="AI78" s="24"/>
      <c r="AJ78" s="24"/>
      <c r="AK78" s="24"/>
    </row>
    <row r="79" spans="2:37" x14ac:dyDescent="0.25">
      <c r="B79" s="27">
        <v>42</v>
      </c>
      <c r="C79" s="25">
        <v>20200316</v>
      </c>
      <c r="D79" s="24" t="s">
        <v>2</v>
      </c>
      <c r="E79" s="24" t="s">
        <v>286</v>
      </c>
      <c r="F79" s="26" t="s">
        <v>311</v>
      </c>
      <c r="G79" s="24" t="s">
        <v>140</v>
      </c>
      <c r="H79" s="24" t="s">
        <v>238</v>
      </c>
      <c r="I79" s="24" t="s">
        <v>333</v>
      </c>
      <c r="J79" s="24" t="s">
        <v>70</v>
      </c>
      <c r="K79" s="24" t="s">
        <v>328</v>
      </c>
      <c r="L79" s="26" t="s">
        <v>266</v>
      </c>
      <c r="M79" s="26" t="s">
        <v>236</v>
      </c>
      <c r="N79" s="27" t="s">
        <v>545</v>
      </c>
      <c r="O79" s="25" t="s">
        <v>323</v>
      </c>
      <c r="P79" s="24" t="s">
        <v>6</v>
      </c>
      <c r="Q79" s="24"/>
      <c r="R79" s="24"/>
      <c r="S79" s="24">
        <v>59</v>
      </c>
      <c r="T79" s="24">
        <f>ROUND(IF(D79=Table!$C$3,V79*Table!$C$4/8,V79*Table!$D$4/8),3)</f>
        <v>65</v>
      </c>
      <c r="U79" s="24">
        <f t="shared" si="14"/>
        <v>65</v>
      </c>
      <c r="V79" s="24">
        <v>4</v>
      </c>
      <c r="W79" s="24">
        <v>10</v>
      </c>
      <c r="X79" s="24" t="s">
        <v>83</v>
      </c>
      <c r="Y79" s="28">
        <v>43906</v>
      </c>
      <c r="Z79" s="28">
        <v>43909</v>
      </c>
      <c r="AA79" s="28">
        <v>43907</v>
      </c>
      <c r="AB79" s="28">
        <v>43907</v>
      </c>
      <c r="AC79" s="28" t="s">
        <v>204</v>
      </c>
      <c r="AD79" s="121"/>
      <c r="AE79" s="121"/>
      <c r="AF79" s="55">
        <v>0.81299999999999994</v>
      </c>
      <c r="AG79" s="55">
        <v>0.81299999999999994</v>
      </c>
      <c r="AH79" s="55" t="s">
        <v>219</v>
      </c>
      <c r="AI79" s="24" t="s">
        <v>330</v>
      </c>
      <c r="AJ79" s="24"/>
      <c r="AK79" s="24"/>
    </row>
    <row r="80" spans="2:37" x14ac:dyDescent="0.25">
      <c r="B80" s="27">
        <v>43</v>
      </c>
      <c r="C80" s="25">
        <v>20200316</v>
      </c>
      <c r="D80" s="24" t="s">
        <v>2</v>
      </c>
      <c r="E80" s="24" t="s">
        <v>286</v>
      </c>
      <c r="F80" s="26" t="s">
        <v>311</v>
      </c>
      <c r="G80" s="24" t="s">
        <v>158</v>
      </c>
      <c r="H80" s="24" t="s">
        <v>250</v>
      </c>
      <c r="I80" s="24" t="s">
        <v>333</v>
      </c>
      <c r="J80" s="24" t="s">
        <v>70</v>
      </c>
      <c r="K80" s="24" t="s">
        <v>328</v>
      </c>
      <c r="L80" s="26" t="s">
        <v>269</v>
      </c>
      <c r="M80" s="26" t="s">
        <v>236</v>
      </c>
      <c r="N80" s="27" t="s">
        <v>546</v>
      </c>
      <c r="O80" s="25" t="s">
        <v>323</v>
      </c>
      <c r="P80" s="24" t="s">
        <v>6</v>
      </c>
      <c r="Q80" s="24"/>
      <c r="R80" s="24"/>
      <c r="S80" s="24">
        <v>55</v>
      </c>
      <c r="T80" s="24">
        <f>ROUND(IF(D80=Table!$C$3,V80*Table!$C$4/8,V80*Table!$D$4/8),3)</f>
        <v>65</v>
      </c>
      <c r="U80" s="24">
        <f t="shared" si="14"/>
        <v>65</v>
      </c>
      <c r="V80" s="24">
        <v>4</v>
      </c>
      <c r="W80" s="24">
        <v>3</v>
      </c>
      <c r="X80" s="24" t="s">
        <v>83</v>
      </c>
      <c r="Y80" s="28">
        <v>43906</v>
      </c>
      <c r="Z80" s="28">
        <v>43909</v>
      </c>
      <c r="AA80" s="28">
        <v>43907</v>
      </c>
      <c r="AB80" s="28">
        <v>43907</v>
      </c>
      <c r="AC80" s="28" t="s">
        <v>204</v>
      </c>
      <c r="AD80" s="121"/>
      <c r="AE80" s="121"/>
      <c r="AF80" s="55">
        <v>0.72699999999999998</v>
      </c>
      <c r="AG80" s="55">
        <v>0.75</v>
      </c>
      <c r="AH80" s="55" t="s">
        <v>219</v>
      </c>
      <c r="AI80" s="24" t="s">
        <v>331</v>
      </c>
      <c r="AJ80" s="24"/>
      <c r="AK80" s="24"/>
    </row>
    <row r="81" spans="1:37" x14ac:dyDescent="0.25">
      <c r="B81" s="27">
        <v>44</v>
      </c>
      <c r="C81" s="25">
        <v>20200316</v>
      </c>
      <c r="D81" s="24" t="s">
        <v>3</v>
      </c>
      <c r="E81" s="24" t="s">
        <v>286</v>
      </c>
      <c r="F81" s="26" t="s">
        <v>285</v>
      </c>
      <c r="G81" s="24" t="s">
        <v>293</v>
      </c>
      <c r="H81" s="24" t="s">
        <v>263</v>
      </c>
      <c r="I81" s="24" t="s">
        <v>334</v>
      </c>
      <c r="J81" s="24" t="s">
        <v>70</v>
      </c>
      <c r="K81" s="24" t="s">
        <v>336</v>
      </c>
      <c r="L81" s="26" t="s">
        <v>283</v>
      </c>
      <c r="M81" s="26" t="s">
        <v>236</v>
      </c>
      <c r="N81" s="27" t="s">
        <v>547</v>
      </c>
      <c r="O81" s="25" t="s">
        <v>323</v>
      </c>
      <c r="P81" s="24" t="s">
        <v>6</v>
      </c>
      <c r="Q81" s="24"/>
      <c r="R81" s="24"/>
      <c r="S81" s="24">
        <v>218</v>
      </c>
      <c r="T81" s="24">
        <f>ROUND(IF(D81=Table!$C$3,V81*Table!$C$4/8,V81*Table!$D$4/8),3)</f>
        <v>225</v>
      </c>
      <c r="U81" s="24">
        <f t="shared" si="14"/>
        <v>225</v>
      </c>
      <c r="V81" s="24">
        <v>4</v>
      </c>
      <c r="W81" s="24">
        <v>4</v>
      </c>
      <c r="X81" s="24" t="s">
        <v>83</v>
      </c>
      <c r="Y81" s="28">
        <v>43906</v>
      </c>
      <c r="Z81" s="28">
        <v>43909</v>
      </c>
      <c r="AA81" s="28">
        <v>43908</v>
      </c>
      <c r="AB81" s="28">
        <v>43908</v>
      </c>
      <c r="AC81" s="28" t="s">
        <v>204</v>
      </c>
      <c r="AD81" s="121"/>
      <c r="AE81" s="121"/>
      <c r="AF81" s="55">
        <v>0.97</v>
      </c>
      <c r="AG81" s="55">
        <v>0.89</v>
      </c>
      <c r="AH81" s="55">
        <v>0</v>
      </c>
      <c r="AI81" s="24" t="s">
        <v>332</v>
      </c>
      <c r="AJ81" s="26"/>
      <c r="AK81" s="24" t="s">
        <v>309</v>
      </c>
    </row>
    <row r="82" spans="1:37" x14ac:dyDescent="0.25">
      <c r="B82" s="27">
        <v>45</v>
      </c>
      <c r="C82" s="25">
        <v>20200316</v>
      </c>
      <c r="D82" s="24" t="s">
        <v>2</v>
      </c>
      <c r="E82" s="24" t="s">
        <v>286</v>
      </c>
      <c r="F82" s="26" t="s">
        <v>310</v>
      </c>
      <c r="G82" s="24" t="s">
        <v>294</v>
      </c>
      <c r="H82" s="24" t="s">
        <v>237</v>
      </c>
      <c r="I82" s="24" t="s">
        <v>334</v>
      </c>
      <c r="J82" s="24" t="s">
        <v>70</v>
      </c>
      <c r="K82" s="24" t="s">
        <v>328</v>
      </c>
      <c r="L82" s="26" t="s">
        <v>264</v>
      </c>
      <c r="M82" s="26" t="s">
        <v>236</v>
      </c>
      <c r="N82" s="27" t="s">
        <v>548</v>
      </c>
      <c r="O82" s="25" t="s">
        <v>323</v>
      </c>
      <c r="P82" s="24" t="s">
        <v>6</v>
      </c>
      <c r="Q82" s="24"/>
      <c r="R82" s="24"/>
      <c r="S82" s="24">
        <v>69</v>
      </c>
      <c r="T82" s="24">
        <f>ROUND(IF(D82=Table!$C$3,V82*Table!$C$4/8,V82*Table!$D$4/8),3)</f>
        <v>65</v>
      </c>
      <c r="U82" s="24">
        <f t="shared" si="14"/>
        <v>65</v>
      </c>
      <c r="V82" s="24">
        <v>4</v>
      </c>
      <c r="W82" s="24">
        <v>3</v>
      </c>
      <c r="X82" s="24" t="s">
        <v>83</v>
      </c>
      <c r="Y82" s="28">
        <v>43906</v>
      </c>
      <c r="Z82" s="28">
        <v>43909</v>
      </c>
      <c r="AA82" s="28">
        <v>43907</v>
      </c>
      <c r="AB82" s="28">
        <v>43907</v>
      </c>
      <c r="AC82" s="28" t="s">
        <v>204</v>
      </c>
      <c r="AD82" s="121"/>
      <c r="AE82" s="121"/>
      <c r="AF82" s="55">
        <v>1</v>
      </c>
      <c r="AG82" s="55">
        <v>1</v>
      </c>
      <c r="AH82" s="55">
        <v>0.13600000000000001</v>
      </c>
      <c r="AI82" s="24"/>
      <c r="AJ82" s="24"/>
      <c r="AK82" s="24"/>
    </row>
    <row r="83" spans="1:37" x14ac:dyDescent="0.25">
      <c r="B83" s="27">
        <v>46</v>
      </c>
      <c r="C83" s="25">
        <v>20200316</v>
      </c>
      <c r="D83" s="24" t="s">
        <v>2</v>
      </c>
      <c r="E83" s="24" t="s">
        <v>286</v>
      </c>
      <c r="F83" s="26" t="s">
        <v>311</v>
      </c>
      <c r="G83" s="24" t="s">
        <v>295</v>
      </c>
      <c r="H83" s="24" t="s">
        <v>239</v>
      </c>
      <c r="I83" s="24" t="s">
        <v>333</v>
      </c>
      <c r="J83" s="24" t="s">
        <v>70</v>
      </c>
      <c r="K83" s="24" t="s">
        <v>328</v>
      </c>
      <c r="L83" s="26" t="s">
        <v>267</v>
      </c>
      <c r="M83" s="26" t="s">
        <v>236</v>
      </c>
      <c r="N83" s="27" t="s">
        <v>549</v>
      </c>
      <c r="O83" s="25" t="s">
        <v>324</v>
      </c>
      <c r="P83" s="24" t="s">
        <v>73</v>
      </c>
      <c r="Q83" s="24"/>
      <c r="R83" s="24"/>
      <c r="S83" s="24">
        <v>76</v>
      </c>
      <c r="T83" s="24">
        <f>ROUND(IF(D83=Table!$C$3,V83*Table!$C$4/8,V83*Table!$D$4/8),3)</f>
        <v>65</v>
      </c>
      <c r="U83" s="24">
        <f t="shared" si="14"/>
        <v>65</v>
      </c>
      <c r="V83" s="24">
        <v>4</v>
      </c>
      <c r="W83" s="24">
        <v>4</v>
      </c>
      <c r="X83" s="24" t="s">
        <v>83</v>
      </c>
      <c r="Y83" s="28">
        <v>43906</v>
      </c>
      <c r="Z83" s="28">
        <v>43909</v>
      </c>
      <c r="AA83" s="28">
        <v>43907</v>
      </c>
      <c r="AB83" s="28">
        <v>43907</v>
      </c>
      <c r="AC83" s="28" t="s">
        <v>204</v>
      </c>
      <c r="AD83" s="121"/>
      <c r="AE83" s="121"/>
      <c r="AF83" s="55">
        <v>0.879</v>
      </c>
      <c r="AG83" s="55">
        <v>0.879</v>
      </c>
      <c r="AH83" s="55" t="s">
        <v>219</v>
      </c>
      <c r="AI83" s="24" t="s">
        <v>329</v>
      </c>
      <c r="AJ83" s="49"/>
      <c r="AK83" s="24"/>
    </row>
    <row r="84" spans="1:37" x14ac:dyDescent="0.25">
      <c r="B84" s="27">
        <v>47</v>
      </c>
      <c r="C84" s="25">
        <v>20200316</v>
      </c>
      <c r="D84" s="24" t="s">
        <v>2</v>
      </c>
      <c r="E84" s="24" t="s">
        <v>286</v>
      </c>
      <c r="F84" s="26" t="s">
        <v>311</v>
      </c>
      <c r="G84" s="24" t="s">
        <v>298</v>
      </c>
      <c r="H84" s="24" t="s">
        <v>242</v>
      </c>
      <c r="I84" s="24" t="s">
        <v>333</v>
      </c>
      <c r="J84" s="24" t="s">
        <v>70</v>
      </c>
      <c r="K84" s="24" t="s">
        <v>328</v>
      </c>
      <c r="L84" s="26" t="s">
        <v>270</v>
      </c>
      <c r="M84" s="26" t="s">
        <v>236</v>
      </c>
      <c r="N84" s="27" t="s">
        <v>550</v>
      </c>
      <c r="O84" s="25" t="s">
        <v>324</v>
      </c>
      <c r="P84" s="24" t="s">
        <v>73</v>
      </c>
      <c r="Q84" s="24"/>
      <c r="R84" s="24"/>
      <c r="S84" s="24">
        <v>68</v>
      </c>
      <c r="T84" s="24">
        <f>ROUND(IF(D84=Table!$C$3,V84*Table!$C$4/8,V84*Table!$D$4/8),3)</f>
        <v>65</v>
      </c>
      <c r="U84" s="24">
        <f t="shared" si="14"/>
        <v>65</v>
      </c>
      <c r="V84" s="24">
        <v>4</v>
      </c>
      <c r="W84" s="24">
        <v>4</v>
      </c>
      <c r="X84" s="24" t="s">
        <v>83</v>
      </c>
      <c r="Y84" s="28">
        <v>43906</v>
      </c>
      <c r="Z84" s="28">
        <v>43909</v>
      </c>
      <c r="AA84" s="28">
        <v>43908</v>
      </c>
      <c r="AB84" s="28">
        <v>43908</v>
      </c>
      <c r="AC84" s="28" t="s">
        <v>205</v>
      </c>
      <c r="AD84" s="121"/>
      <c r="AE84" s="121"/>
      <c r="AF84" s="55">
        <v>0.95</v>
      </c>
      <c r="AG84" s="55">
        <v>0.95</v>
      </c>
      <c r="AH84" s="55">
        <v>0.01</v>
      </c>
      <c r="AI84" s="24" t="s">
        <v>456</v>
      </c>
      <c r="AJ84" s="38"/>
      <c r="AK84" s="24"/>
    </row>
    <row r="85" spans="1:37" x14ac:dyDescent="0.25">
      <c r="B85" s="27">
        <v>48</v>
      </c>
      <c r="C85" s="25">
        <v>20200316</v>
      </c>
      <c r="D85" s="24" t="s">
        <v>2</v>
      </c>
      <c r="E85" s="24" t="s">
        <v>286</v>
      </c>
      <c r="F85" s="26" t="s">
        <v>311</v>
      </c>
      <c r="G85" s="24" t="s">
        <v>157</v>
      </c>
      <c r="H85" s="24" t="s">
        <v>248</v>
      </c>
      <c r="I85" s="24" t="s">
        <v>333</v>
      </c>
      <c r="J85" s="24" t="s">
        <v>70</v>
      </c>
      <c r="K85" s="24" t="s">
        <v>328</v>
      </c>
      <c r="L85" s="26" t="s">
        <v>268</v>
      </c>
      <c r="M85" s="26" t="s">
        <v>236</v>
      </c>
      <c r="N85" s="27" t="s">
        <v>551</v>
      </c>
      <c r="O85" s="25" t="s">
        <v>324</v>
      </c>
      <c r="P85" s="24" t="s">
        <v>73</v>
      </c>
      <c r="Q85" s="24"/>
      <c r="R85" s="24"/>
      <c r="S85" s="24">
        <v>76</v>
      </c>
      <c r="T85" s="24">
        <f>ROUND(IF(D85=Table!$C$3,V85*Table!$C$4/8,V85*Table!$D$4/8),3)</f>
        <v>65</v>
      </c>
      <c r="U85" s="24">
        <f t="shared" si="14"/>
        <v>65</v>
      </c>
      <c r="V85" s="24">
        <v>4</v>
      </c>
      <c r="W85" s="24">
        <v>4</v>
      </c>
      <c r="X85" s="24" t="s">
        <v>83</v>
      </c>
      <c r="Y85" s="28">
        <v>43906</v>
      </c>
      <c r="Z85" s="28">
        <v>43909</v>
      </c>
      <c r="AA85" s="28">
        <v>43908</v>
      </c>
      <c r="AB85" s="28">
        <v>43908</v>
      </c>
      <c r="AC85" s="28" t="s">
        <v>205</v>
      </c>
      <c r="AD85" s="121"/>
      <c r="AE85" s="121"/>
      <c r="AF85" s="55">
        <v>0.85699999999999998</v>
      </c>
      <c r="AG85" s="55">
        <v>0.86199999999999999</v>
      </c>
      <c r="AH85" s="55">
        <v>0.5</v>
      </c>
      <c r="AI85" s="24" t="s">
        <v>457</v>
      </c>
      <c r="AJ85" s="38"/>
      <c r="AK85" s="24"/>
    </row>
    <row r="86" spans="1:37" x14ac:dyDescent="0.25">
      <c r="B86" s="27">
        <v>49</v>
      </c>
      <c r="C86" s="25">
        <v>20200316</v>
      </c>
      <c r="D86" s="24" t="s">
        <v>2</v>
      </c>
      <c r="E86" s="24" t="s">
        <v>286</v>
      </c>
      <c r="F86" s="26" t="s">
        <v>284</v>
      </c>
      <c r="G86" s="24" t="s">
        <v>303</v>
      </c>
      <c r="H86" s="24" t="s">
        <v>257</v>
      </c>
      <c r="I86" s="24" t="s">
        <v>333</v>
      </c>
      <c r="J86" s="24" t="s">
        <v>70</v>
      </c>
      <c r="K86" s="24" t="s">
        <v>328</v>
      </c>
      <c r="L86" s="26" t="s">
        <v>279</v>
      </c>
      <c r="M86" s="26" t="s">
        <v>236</v>
      </c>
      <c r="N86" s="27" t="s">
        <v>552</v>
      </c>
      <c r="O86" s="25" t="s">
        <v>324</v>
      </c>
      <c r="P86" s="24" t="s">
        <v>73</v>
      </c>
      <c r="Q86" s="24"/>
      <c r="R86" s="24"/>
      <c r="S86" s="24">
        <v>68</v>
      </c>
      <c r="T86" s="24">
        <f>ROUND(IF(D86=Table!$C$3,V86*Table!$C$4/8,V86*Table!$D$4/8),3)</f>
        <v>65</v>
      </c>
      <c r="U86" s="24">
        <f t="shared" si="14"/>
        <v>65</v>
      </c>
      <c r="V86" s="24">
        <v>4</v>
      </c>
      <c r="W86" s="24">
        <v>4</v>
      </c>
      <c r="X86" s="24" t="s">
        <v>83</v>
      </c>
      <c r="Y86" s="28">
        <v>43906</v>
      </c>
      <c r="Z86" s="28">
        <v>43909</v>
      </c>
      <c r="AA86" s="28">
        <v>43909</v>
      </c>
      <c r="AB86" s="28">
        <v>43909</v>
      </c>
      <c r="AC86" s="28" t="s">
        <v>204</v>
      </c>
      <c r="AD86" s="121"/>
      <c r="AE86" s="121"/>
      <c r="AF86" s="55">
        <v>0.01</v>
      </c>
      <c r="AG86" s="55">
        <v>0.01</v>
      </c>
      <c r="AH86" s="55">
        <v>0.51700000000000002</v>
      </c>
      <c r="AI86" s="24"/>
      <c r="AJ86" s="24"/>
      <c r="AK86" s="24"/>
    </row>
    <row r="87" spans="1:37" x14ac:dyDescent="0.25">
      <c r="B87" s="27">
        <v>50</v>
      </c>
      <c r="C87" s="25">
        <v>20200316</v>
      </c>
      <c r="D87" s="24" t="s">
        <v>2</v>
      </c>
      <c r="E87" s="24" t="s">
        <v>286</v>
      </c>
      <c r="F87" s="26" t="s">
        <v>311</v>
      </c>
      <c r="G87" s="24" t="s">
        <v>297</v>
      </c>
      <c r="H87" s="24" t="s">
        <v>241</v>
      </c>
      <c r="I87" s="24" t="s">
        <v>334</v>
      </c>
      <c r="J87" s="24" t="s">
        <v>70</v>
      </c>
      <c r="K87" s="24" t="s">
        <v>328</v>
      </c>
      <c r="L87" s="26" t="s">
        <v>265</v>
      </c>
      <c r="M87" s="26" t="s">
        <v>236</v>
      </c>
      <c r="N87" s="27" t="s">
        <v>553</v>
      </c>
      <c r="O87" s="25" t="s">
        <v>324</v>
      </c>
      <c r="P87" s="24" t="s">
        <v>6</v>
      </c>
      <c r="Q87" s="24"/>
      <c r="R87" s="24"/>
      <c r="S87" s="24">
        <v>50</v>
      </c>
      <c r="T87" s="24">
        <f>ROUND(IF(D87=Table!$C$3,V87*Table!$C$4/8,V87*Table!$D$4/8),3)</f>
        <v>52</v>
      </c>
      <c r="U87" s="24">
        <f t="shared" si="14"/>
        <v>52</v>
      </c>
      <c r="V87" s="24">
        <v>3.2</v>
      </c>
      <c r="W87" s="24">
        <v>4</v>
      </c>
      <c r="X87" s="24" t="s">
        <v>83</v>
      </c>
      <c r="Y87" s="28">
        <v>43906</v>
      </c>
      <c r="Z87" s="28">
        <v>43909</v>
      </c>
      <c r="AA87" s="28">
        <v>43908</v>
      </c>
      <c r="AB87" s="28">
        <v>43908</v>
      </c>
      <c r="AC87" s="28" t="s">
        <v>204</v>
      </c>
      <c r="AD87" s="121"/>
      <c r="AE87" s="121"/>
      <c r="AF87" s="55">
        <v>0.88900000000000001</v>
      </c>
      <c r="AG87" s="55">
        <v>0.89300000000000002</v>
      </c>
      <c r="AH87" s="55" t="s">
        <v>219</v>
      </c>
      <c r="AI87" s="24" t="s">
        <v>340</v>
      </c>
      <c r="AJ87" s="24"/>
      <c r="AK87" s="24"/>
    </row>
    <row r="88" spans="1:37" x14ac:dyDescent="0.25">
      <c r="B88" s="27">
        <v>51</v>
      </c>
      <c r="C88" s="25">
        <v>20200316</v>
      </c>
      <c r="D88" s="24" t="s">
        <v>2</v>
      </c>
      <c r="E88" s="24" t="s">
        <v>286</v>
      </c>
      <c r="F88" s="26" t="s">
        <v>311</v>
      </c>
      <c r="G88" s="24" t="s">
        <v>296</v>
      </c>
      <c r="H88" s="24" t="s">
        <v>240</v>
      </c>
      <c r="I88" s="24" t="s">
        <v>333</v>
      </c>
      <c r="J88" s="24" t="s">
        <v>70</v>
      </c>
      <c r="K88" s="24" t="s">
        <v>328</v>
      </c>
      <c r="L88" s="26" t="s">
        <v>269</v>
      </c>
      <c r="M88" s="26" t="s">
        <v>236</v>
      </c>
      <c r="N88" s="27" t="s">
        <v>554</v>
      </c>
      <c r="O88" s="25" t="s">
        <v>324</v>
      </c>
      <c r="P88" s="24" t="s">
        <v>73</v>
      </c>
      <c r="Q88" s="24"/>
      <c r="R88" s="24"/>
      <c r="S88" s="24">
        <v>94</v>
      </c>
      <c r="T88" s="24">
        <f>ROUND(IF(D88=Table!$C$3,V88*Table!$C$4/8,V88*Table!$D$4/8),3)</f>
        <v>84.5</v>
      </c>
      <c r="U88" s="24">
        <f t="shared" si="14"/>
        <v>84.5</v>
      </c>
      <c r="V88" s="24">
        <v>5.2</v>
      </c>
      <c r="W88" s="24">
        <v>5.2</v>
      </c>
      <c r="X88" s="24" t="s">
        <v>83</v>
      </c>
      <c r="Y88" s="28">
        <v>43906</v>
      </c>
      <c r="Z88" s="28">
        <v>43909</v>
      </c>
      <c r="AA88" s="28">
        <v>43909</v>
      </c>
      <c r="AB88" s="28">
        <v>43909</v>
      </c>
      <c r="AC88" s="28" t="s">
        <v>205</v>
      </c>
      <c r="AD88" s="121"/>
      <c r="AE88" s="121"/>
      <c r="AF88" s="55">
        <v>0.90400000000000003</v>
      </c>
      <c r="AG88" s="55">
        <v>0.90500000000000003</v>
      </c>
      <c r="AH88" s="55">
        <v>0.7</v>
      </c>
      <c r="AI88" s="24" t="s">
        <v>458</v>
      </c>
      <c r="AJ88" s="38"/>
      <c r="AK88" s="24"/>
    </row>
    <row r="89" spans="1:37" x14ac:dyDescent="0.25">
      <c r="B89" s="27">
        <v>52</v>
      </c>
      <c r="C89" s="25">
        <v>20200316</v>
      </c>
      <c r="D89" s="24" t="s">
        <v>2</v>
      </c>
      <c r="E89" s="24" t="s">
        <v>286</v>
      </c>
      <c r="F89" s="26" t="s">
        <v>311</v>
      </c>
      <c r="G89" s="24" t="s">
        <v>147</v>
      </c>
      <c r="H89" s="24" t="s">
        <v>243</v>
      </c>
      <c r="I89" s="24" t="s">
        <v>333</v>
      </c>
      <c r="J89" s="24" t="s">
        <v>70</v>
      </c>
      <c r="K89" s="24" t="s">
        <v>328</v>
      </c>
      <c r="L89" s="26" t="s">
        <v>271</v>
      </c>
      <c r="M89" s="26" t="s">
        <v>236</v>
      </c>
      <c r="N89" s="27" t="s">
        <v>555</v>
      </c>
      <c r="O89" s="25" t="s">
        <v>324</v>
      </c>
      <c r="P89" s="24" t="s">
        <v>73</v>
      </c>
      <c r="Q89" s="24"/>
      <c r="R89" s="24"/>
      <c r="S89" s="24">
        <v>81</v>
      </c>
      <c r="T89" s="24">
        <f>ROUND(IF(D89=Table!$C$3,V89*Table!$C$4/8,V89*Table!$D$4/8),3)</f>
        <v>84.5</v>
      </c>
      <c r="U89" s="24">
        <f t="shared" si="14"/>
        <v>84.5</v>
      </c>
      <c r="V89" s="24">
        <v>5.2</v>
      </c>
      <c r="W89" s="24">
        <v>5.2</v>
      </c>
      <c r="X89" s="24" t="s">
        <v>83</v>
      </c>
      <c r="Y89" s="28">
        <v>43906</v>
      </c>
      <c r="Z89" s="28">
        <v>43909</v>
      </c>
      <c r="AA89" s="28">
        <v>43909</v>
      </c>
      <c r="AB89" s="28">
        <v>43909</v>
      </c>
      <c r="AC89" s="28" t="s">
        <v>205</v>
      </c>
      <c r="AD89" s="121"/>
      <c r="AE89" s="121"/>
      <c r="AF89" s="55">
        <v>0.878</v>
      </c>
      <c r="AG89" s="55">
        <v>0.88500000000000001</v>
      </c>
      <c r="AH89" s="55">
        <v>0.5</v>
      </c>
      <c r="AI89" s="24" t="s">
        <v>459</v>
      </c>
      <c r="AJ89" s="38"/>
      <c r="AK89" s="24"/>
    </row>
    <row r="90" spans="1:37" x14ac:dyDescent="0.25">
      <c r="B90" s="27">
        <v>53</v>
      </c>
      <c r="C90" s="25">
        <v>20200316</v>
      </c>
      <c r="D90" s="24" t="s">
        <v>2</v>
      </c>
      <c r="E90" s="24" t="s">
        <v>286</v>
      </c>
      <c r="F90" s="26" t="s">
        <v>311</v>
      </c>
      <c r="G90" s="24" t="s">
        <v>148</v>
      </c>
      <c r="H90" s="24" t="s">
        <v>244</v>
      </c>
      <c r="I90" s="24" t="s">
        <v>333</v>
      </c>
      <c r="J90" s="24" t="s">
        <v>70</v>
      </c>
      <c r="K90" s="24" t="s">
        <v>328</v>
      </c>
      <c r="L90" s="26" t="s">
        <v>272</v>
      </c>
      <c r="M90" s="26" t="s">
        <v>236</v>
      </c>
      <c r="N90" s="27" t="s">
        <v>556</v>
      </c>
      <c r="O90" s="25" t="s">
        <v>324</v>
      </c>
      <c r="P90" s="24" t="s">
        <v>75</v>
      </c>
      <c r="Q90" s="24"/>
      <c r="R90" s="24"/>
      <c r="S90" s="24">
        <v>100</v>
      </c>
      <c r="T90" s="24">
        <f>ROUND(IF(D90=Table!$C$3,V90*Table!$C$4/8,V90*Table!$D$4/8),3)</f>
        <v>84.5</v>
      </c>
      <c r="U90" s="24">
        <f t="shared" si="14"/>
        <v>84.5</v>
      </c>
      <c r="V90" s="24">
        <v>5.2</v>
      </c>
      <c r="W90" s="24">
        <v>6</v>
      </c>
      <c r="X90" s="24" t="s">
        <v>83</v>
      </c>
      <c r="Y90" s="28">
        <v>43906</v>
      </c>
      <c r="Z90" s="28">
        <v>43909</v>
      </c>
      <c r="AA90" s="28">
        <v>43908</v>
      </c>
      <c r="AB90" s="28">
        <v>43908</v>
      </c>
      <c r="AC90" s="28" t="s">
        <v>205</v>
      </c>
      <c r="AD90" s="121"/>
      <c r="AE90" s="121"/>
      <c r="AF90" s="55">
        <v>0.85699999999999998</v>
      </c>
      <c r="AG90" s="55">
        <v>0.85699999999999998</v>
      </c>
      <c r="AH90" s="55">
        <v>0.53300000000000003</v>
      </c>
      <c r="AI90" s="24" t="s">
        <v>471</v>
      </c>
      <c r="AJ90" s="24"/>
      <c r="AK90" s="24"/>
    </row>
    <row r="91" spans="1:37" x14ac:dyDescent="0.25">
      <c r="A91" s="50"/>
      <c r="B91" s="27">
        <v>54</v>
      </c>
      <c r="C91" s="51">
        <v>20200316</v>
      </c>
      <c r="D91" s="51" t="s">
        <v>2</v>
      </c>
      <c r="E91" s="51" t="s">
        <v>286</v>
      </c>
      <c r="F91" s="52" t="s">
        <v>311</v>
      </c>
      <c r="G91" s="51" t="s">
        <v>155</v>
      </c>
      <c r="H91" s="51" t="s">
        <v>246</v>
      </c>
      <c r="I91" s="51" t="s">
        <v>333</v>
      </c>
      <c r="J91" s="51" t="s">
        <v>70</v>
      </c>
      <c r="K91" s="51" t="s">
        <v>328</v>
      </c>
      <c r="L91" s="52" t="s">
        <v>273</v>
      </c>
      <c r="M91" s="26" t="s">
        <v>236</v>
      </c>
      <c r="N91" s="27" t="s">
        <v>557</v>
      </c>
      <c r="O91" s="51" t="s">
        <v>325</v>
      </c>
      <c r="P91" s="51" t="s">
        <v>75</v>
      </c>
      <c r="Q91" s="51"/>
      <c r="R91" s="51"/>
      <c r="S91" s="51">
        <v>48</v>
      </c>
      <c r="T91" s="24">
        <f>ROUND(IF(D91=Table!$C$3,V91*Table!$C$4/8,V91*Table!$D$4/8),3)</f>
        <v>52</v>
      </c>
      <c r="U91" s="24">
        <f t="shared" si="14"/>
        <v>52</v>
      </c>
      <c r="V91" s="51">
        <v>3.2</v>
      </c>
      <c r="W91" s="51">
        <v>6</v>
      </c>
      <c r="X91" s="24" t="s">
        <v>83</v>
      </c>
      <c r="Y91" s="28">
        <v>43906</v>
      </c>
      <c r="Z91" s="53">
        <v>43909</v>
      </c>
      <c r="AA91" s="53">
        <v>43908</v>
      </c>
      <c r="AB91" s="53">
        <v>43908</v>
      </c>
      <c r="AC91" s="53" t="s">
        <v>204</v>
      </c>
      <c r="AD91" s="121"/>
      <c r="AE91" s="121"/>
      <c r="AF91" s="56">
        <v>0.96400000000000008</v>
      </c>
      <c r="AG91" s="56">
        <v>0.96400000000000008</v>
      </c>
      <c r="AH91" s="56" t="s">
        <v>219</v>
      </c>
      <c r="AI91" s="24" t="s">
        <v>339</v>
      </c>
      <c r="AJ91" s="51"/>
      <c r="AK91" s="51"/>
    </row>
    <row r="92" spans="1:37" x14ac:dyDescent="0.25">
      <c r="B92" s="27">
        <v>55</v>
      </c>
      <c r="C92" s="25">
        <v>20200316</v>
      </c>
      <c r="D92" s="24" t="s">
        <v>2</v>
      </c>
      <c r="E92" s="24" t="s">
        <v>286</v>
      </c>
      <c r="F92" s="26" t="s">
        <v>311</v>
      </c>
      <c r="G92" s="24" t="s">
        <v>156</v>
      </c>
      <c r="H92" s="24" t="s">
        <v>247</v>
      </c>
      <c r="I92" s="24" t="s">
        <v>334</v>
      </c>
      <c r="J92" s="24" t="s">
        <v>70</v>
      </c>
      <c r="K92" s="24" t="s">
        <v>328</v>
      </c>
      <c r="L92" s="26" t="s">
        <v>274</v>
      </c>
      <c r="M92" s="26" t="s">
        <v>236</v>
      </c>
      <c r="N92" s="27" t="s">
        <v>558</v>
      </c>
      <c r="O92" s="25" t="s">
        <v>325</v>
      </c>
      <c r="P92" s="24" t="s">
        <v>6</v>
      </c>
      <c r="Q92" s="24"/>
      <c r="R92" s="24"/>
      <c r="S92" s="24">
        <v>21</v>
      </c>
      <c r="T92" s="24">
        <f>ROUND(IF(D92=Table!$C$3,V92*Table!$C$4/8,V92*Table!$D$4/8),3)</f>
        <v>26</v>
      </c>
      <c r="U92" s="24">
        <f t="shared" si="14"/>
        <v>26</v>
      </c>
      <c r="V92" s="24">
        <v>1.6</v>
      </c>
      <c r="W92" s="24">
        <v>8</v>
      </c>
      <c r="X92" s="24" t="s">
        <v>83</v>
      </c>
      <c r="Y92" s="28">
        <v>43906</v>
      </c>
      <c r="Z92" s="28">
        <v>43909</v>
      </c>
      <c r="AA92" s="28">
        <v>43909</v>
      </c>
      <c r="AB92" s="28">
        <v>43909</v>
      </c>
      <c r="AC92" s="53" t="s">
        <v>204</v>
      </c>
      <c r="AD92" s="121"/>
      <c r="AE92" s="121"/>
      <c r="AF92" s="55">
        <v>0.75</v>
      </c>
      <c r="AG92" s="55">
        <v>0.75</v>
      </c>
      <c r="AH92" s="55" t="s">
        <v>219</v>
      </c>
      <c r="AI92" s="24" t="s">
        <v>460</v>
      </c>
      <c r="AJ92" s="24"/>
      <c r="AK92" s="24"/>
    </row>
    <row r="93" spans="1:37" x14ac:dyDescent="0.25">
      <c r="A93" s="50"/>
      <c r="B93" s="27">
        <v>56</v>
      </c>
      <c r="C93" s="51">
        <v>20200316</v>
      </c>
      <c r="D93" s="51" t="s">
        <v>2</v>
      </c>
      <c r="E93" s="51" t="s">
        <v>286</v>
      </c>
      <c r="F93" s="52" t="s">
        <v>311</v>
      </c>
      <c r="G93" s="51" t="s">
        <v>152</v>
      </c>
      <c r="H93" s="51" t="s">
        <v>245</v>
      </c>
      <c r="I93" s="51" t="s">
        <v>333</v>
      </c>
      <c r="J93" s="51" t="s">
        <v>70</v>
      </c>
      <c r="K93" s="51" t="s">
        <v>328</v>
      </c>
      <c r="L93" s="52" t="s">
        <v>273</v>
      </c>
      <c r="M93" s="26" t="s">
        <v>236</v>
      </c>
      <c r="N93" s="27" t="s">
        <v>559</v>
      </c>
      <c r="O93" s="51" t="s">
        <v>325</v>
      </c>
      <c r="P93" s="51" t="s">
        <v>75</v>
      </c>
      <c r="Q93" s="51"/>
      <c r="R93" s="51"/>
      <c r="S93" s="51">
        <v>84</v>
      </c>
      <c r="T93" s="24">
        <f>ROUND(IF(D93=Table!$C$3,V93*Table!$C$4/8,V93*Table!$D$4/8),3)</f>
        <v>84.5</v>
      </c>
      <c r="U93" s="24">
        <f t="shared" si="14"/>
        <v>84.5</v>
      </c>
      <c r="V93" s="51">
        <v>5.2</v>
      </c>
      <c r="W93" s="51">
        <v>6</v>
      </c>
      <c r="X93" s="24" t="s">
        <v>83</v>
      </c>
      <c r="Y93" s="28">
        <v>43906</v>
      </c>
      <c r="Z93" s="53">
        <v>43909</v>
      </c>
      <c r="AA93" s="53">
        <v>43908</v>
      </c>
      <c r="AB93" s="53">
        <v>43908</v>
      </c>
      <c r="AC93" s="53" t="s">
        <v>204</v>
      </c>
      <c r="AD93" s="121"/>
      <c r="AE93" s="121"/>
      <c r="AF93" s="56">
        <v>0.92200000000000004</v>
      </c>
      <c r="AG93" s="56">
        <v>0.92299999999999993</v>
      </c>
      <c r="AH93" s="56" t="s">
        <v>219</v>
      </c>
      <c r="AI93" s="24" t="s">
        <v>338</v>
      </c>
      <c r="AJ93" s="51"/>
      <c r="AK93" s="51"/>
    </row>
    <row r="94" spans="1:37" x14ac:dyDescent="0.25">
      <c r="B94" s="27">
        <v>57</v>
      </c>
      <c r="C94" s="25">
        <v>20200316</v>
      </c>
      <c r="D94" s="24" t="s">
        <v>2</v>
      </c>
      <c r="E94" s="24" t="s">
        <v>286</v>
      </c>
      <c r="F94" s="26" t="s">
        <v>311</v>
      </c>
      <c r="G94" s="24" t="s">
        <v>299</v>
      </c>
      <c r="H94" s="24" t="s">
        <v>249</v>
      </c>
      <c r="I94" s="24" t="s">
        <v>334</v>
      </c>
      <c r="J94" s="24" t="s">
        <v>70</v>
      </c>
      <c r="K94" s="24" t="s">
        <v>328</v>
      </c>
      <c r="L94" s="26" t="s">
        <v>273</v>
      </c>
      <c r="M94" s="26" t="s">
        <v>236</v>
      </c>
      <c r="N94" s="27" t="s">
        <v>560</v>
      </c>
      <c r="O94" s="25" t="s">
        <v>325</v>
      </c>
      <c r="P94" s="24" t="s">
        <v>75</v>
      </c>
      <c r="Q94" s="24"/>
      <c r="R94" s="24"/>
      <c r="S94" s="24">
        <v>30</v>
      </c>
      <c r="T94" s="24">
        <f>ROUND(IF(D94=Table!$C$3,V94*Table!$C$4/8,V94*Table!$D$4/8),3)</f>
        <v>39</v>
      </c>
      <c r="U94" s="24">
        <f t="shared" si="14"/>
        <v>39</v>
      </c>
      <c r="V94" s="24">
        <v>2.4</v>
      </c>
      <c r="W94" s="24">
        <v>4</v>
      </c>
      <c r="X94" s="24" t="s">
        <v>83</v>
      </c>
      <c r="Y94" s="28">
        <v>43906</v>
      </c>
      <c r="Z94" s="28">
        <v>43909</v>
      </c>
      <c r="AA94" s="28">
        <v>43909</v>
      </c>
      <c r="AB94" s="28">
        <v>43909</v>
      </c>
      <c r="AC94" s="28" t="s">
        <v>204</v>
      </c>
      <c r="AD94" s="121"/>
      <c r="AE94" s="121"/>
      <c r="AF94" s="55">
        <v>1</v>
      </c>
      <c r="AG94" s="55">
        <v>1</v>
      </c>
      <c r="AH94" s="55">
        <v>1</v>
      </c>
      <c r="AI94" s="24"/>
      <c r="AJ94" s="24"/>
      <c r="AK94" s="24"/>
    </row>
    <row r="95" spans="1:37" x14ac:dyDescent="0.25">
      <c r="A95" s="50"/>
      <c r="B95" s="27">
        <v>58</v>
      </c>
      <c r="C95" s="51">
        <v>20200316</v>
      </c>
      <c r="D95" s="51" t="s">
        <v>2</v>
      </c>
      <c r="E95" s="51" t="s">
        <v>286</v>
      </c>
      <c r="F95" s="52" t="s">
        <v>284</v>
      </c>
      <c r="G95" s="51" t="s">
        <v>307</v>
      </c>
      <c r="H95" s="51" t="s">
        <v>261</v>
      </c>
      <c r="I95" s="51" t="s">
        <v>334</v>
      </c>
      <c r="J95" s="51" t="s">
        <v>70</v>
      </c>
      <c r="K95" s="51" t="s">
        <v>328</v>
      </c>
      <c r="L95" s="52" t="s">
        <v>281</v>
      </c>
      <c r="M95" s="26" t="s">
        <v>236</v>
      </c>
      <c r="N95" s="27" t="s">
        <v>561</v>
      </c>
      <c r="O95" s="51" t="s">
        <v>325</v>
      </c>
      <c r="P95" s="51" t="s">
        <v>75</v>
      </c>
      <c r="Q95" s="51"/>
      <c r="R95" s="51"/>
      <c r="S95" s="51">
        <v>101</v>
      </c>
      <c r="T95" s="24">
        <f>ROUND(IF(D95=Table!$C$3,V95*Table!$C$4/8,V95*Table!$D$4/8),3)</f>
        <v>84.5</v>
      </c>
      <c r="U95" s="24">
        <f t="shared" si="14"/>
        <v>84.5</v>
      </c>
      <c r="V95" s="51">
        <v>5.2</v>
      </c>
      <c r="W95" s="51">
        <v>6</v>
      </c>
      <c r="X95" s="24" t="s">
        <v>83</v>
      </c>
      <c r="Y95" s="28">
        <v>43906</v>
      </c>
      <c r="Z95" s="53">
        <v>43909</v>
      </c>
      <c r="AA95" s="53">
        <v>43908</v>
      </c>
      <c r="AB95" s="53">
        <v>43908</v>
      </c>
      <c r="AC95" s="53" t="s">
        <v>204</v>
      </c>
      <c r="AD95" s="121"/>
      <c r="AE95" s="121"/>
      <c r="AF95" s="56">
        <v>0.98099999999999998</v>
      </c>
      <c r="AG95" s="56">
        <v>0.98199999999999998</v>
      </c>
      <c r="AH95" s="56" t="s">
        <v>219</v>
      </c>
      <c r="AI95" s="24" t="s">
        <v>337</v>
      </c>
      <c r="AJ95" s="54"/>
      <c r="AK95" s="51"/>
    </row>
    <row r="96" spans="1:37" x14ac:dyDescent="0.25">
      <c r="B96" s="27">
        <v>59</v>
      </c>
      <c r="C96" s="25">
        <v>20200316</v>
      </c>
      <c r="D96" s="24" t="s">
        <v>2</v>
      </c>
      <c r="E96" s="24" t="s">
        <v>286</v>
      </c>
      <c r="F96" s="26" t="s">
        <v>311</v>
      </c>
      <c r="G96" s="24" t="s">
        <v>159</v>
      </c>
      <c r="H96" s="24" t="s">
        <v>251</v>
      </c>
      <c r="I96" s="24" t="s">
        <v>334</v>
      </c>
      <c r="J96" s="24" t="s">
        <v>70</v>
      </c>
      <c r="K96" s="24" t="s">
        <v>328</v>
      </c>
      <c r="L96" s="26" t="s">
        <v>275</v>
      </c>
      <c r="M96" s="26" t="s">
        <v>236</v>
      </c>
      <c r="N96" s="27" t="s">
        <v>562</v>
      </c>
      <c r="O96" s="25" t="s">
        <v>325</v>
      </c>
      <c r="P96" s="24" t="s">
        <v>75</v>
      </c>
      <c r="Q96" s="24"/>
      <c r="R96" s="24"/>
      <c r="S96" s="24">
        <v>36</v>
      </c>
      <c r="T96" s="24">
        <f>ROUND(IF(D96=Table!$C$3,V96*Table!$C$4/8,V96*Table!$D$4/8),3)</f>
        <v>39</v>
      </c>
      <c r="U96" s="24">
        <f t="shared" si="14"/>
        <v>39</v>
      </c>
      <c r="V96" s="24">
        <v>2.4</v>
      </c>
      <c r="W96" s="24">
        <v>3</v>
      </c>
      <c r="X96" s="24" t="s">
        <v>83</v>
      </c>
      <c r="Y96" s="28">
        <v>43906</v>
      </c>
      <c r="Z96" s="28">
        <v>43909</v>
      </c>
      <c r="AA96" s="28">
        <v>43909</v>
      </c>
      <c r="AB96" s="28">
        <v>43909</v>
      </c>
      <c r="AC96" s="28" t="s">
        <v>204</v>
      </c>
      <c r="AD96" s="121"/>
      <c r="AE96" s="121"/>
      <c r="AF96" s="55">
        <v>1</v>
      </c>
      <c r="AG96" s="55">
        <v>1</v>
      </c>
      <c r="AH96" s="55">
        <v>0.5</v>
      </c>
      <c r="AI96" s="24"/>
      <c r="AJ96" s="24"/>
      <c r="AK96" s="24"/>
    </row>
    <row r="97" spans="2:37" x14ac:dyDescent="0.25">
      <c r="B97" s="27">
        <v>60</v>
      </c>
      <c r="C97" s="25">
        <v>20200316</v>
      </c>
      <c r="D97" s="24" t="s">
        <v>2</v>
      </c>
      <c r="E97" s="24" t="s">
        <v>286</v>
      </c>
      <c r="F97" s="26" t="s">
        <v>311</v>
      </c>
      <c r="G97" s="24" t="s">
        <v>160</v>
      </c>
      <c r="H97" s="24" t="s">
        <v>252</v>
      </c>
      <c r="I97" s="24" t="s">
        <v>334</v>
      </c>
      <c r="J97" s="24" t="s">
        <v>70</v>
      </c>
      <c r="K97" s="24" t="s">
        <v>328</v>
      </c>
      <c r="L97" s="26" t="s">
        <v>276</v>
      </c>
      <c r="M97" s="26" t="s">
        <v>236</v>
      </c>
      <c r="N97" s="27" t="s">
        <v>563</v>
      </c>
      <c r="O97" s="25" t="s">
        <v>325</v>
      </c>
      <c r="P97" s="24" t="s">
        <v>75</v>
      </c>
      <c r="Q97" s="24"/>
      <c r="R97" s="24"/>
      <c r="S97" s="24">
        <v>48</v>
      </c>
      <c r="T97" s="24">
        <f>ROUND(IF(D97=Table!$C$3,V97*Table!$C$4/8,V97*Table!$D$4/8),3)</f>
        <v>52</v>
      </c>
      <c r="U97" s="24">
        <f t="shared" si="14"/>
        <v>52</v>
      </c>
      <c r="V97" s="24">
        <v>3.2</v>
      </c>
      <c r="W97" s="24">
        <v>3</v>
      </c>
      <c r="X97" s="24" t="s">
        <v>83</v>
      </c>
      <c r="Y97" s="28">
        <v>43906</v>
      </c>
      <c r="Z97" s="28">
        <v>43909</v>
      </c>
      <c r="AA97" s="28">
        <v>43909</v>
      </c>
      <c r="AB97" s="28">
        <v>43910</v>
      </c>
      <c r="AC97" s="28" t="s">
        <v>204</v>
      </c>
      <c r="AD97" s="121"/>
      <c r="AE97" s="121"/>
      <c r="AF97" s="55">
        <v>0.91200000000000003</v>
      </c>
      <c r="AG97" s="55">
        <v>0.91200000000000003</v>
      </c>
      <c r="AH97" s="55" t="s">
        <v>219</v>
      </c>
      <c r="AI97" s="24" t="s">
        <v>472</v>
      </c>
      <c r="AJ97" s="24"/>
      <c r="AK97" s="24"/>
    </row>
    <row r="98" spans="2:37" x14ac:dyDescent="0.25">
      <c r="B98" s="27">
        <v>61</v>
      </c>
      <c r="C98" s="25">
        <v>20200316</v>
      </c>
      <c r="D98" s="24" t="s">
        <v>2</v>
      </c>
      <c r="E98" s="24" t="s">
        <v>286</v>
      </c>
      <c r="F98" s="26" t="s">
        <v>311</v>
      </c>
      <c r="G98" s="24" t="s">
        <v>300</v>
      </c>
      <c r="H98" s="24" t="s">
        <v>253</v>
      </c>
      <c r="I98" s="24" t="s">
        <v>334</v>
      </c>
      <c r="J98" s="24" t="s">
        <v>70</v>
      </c>
      <c r="K98" s="24" t="s">
        <v>328</v>
      </c>
      <c r="L98" s="26" t="s">
        <v>271</v>
      </c>
      <c r="M98" s="26" t="s">
        <v>236</v>
      </c>
      <c r="N98" s="27" t="s">
        <v>564</v>
      </c>
      <c r="O98" s="25" t="s">
        <v>326</v>
      </c>
      <c r="P98" s="24" t="s">
        <v>74</v>
      </c>
      <c r="Q98" s="24"/>
      <c r="R98" s="24"/>
      <c r="S98" s="24">
        <v>31</v>
      </c>
      <c r="T98" s="24">
        <f>ROUND(IF(D98=Table!$C$3,V98*Table!$C$4/8,V98*Table!$D$4/8),3)</f>
        <v>39</v>
      </c>
      <c r="U98" s="24">
        <f t="shared" si="14"/>
        <v>39</v>
      </c>
      <c r="V98" s="24">
        <v>2.4</v>
      </c>
      <c r="W98" s="24">
        <v>3</v>
      </c>
      <c r="X98" s="24" t="s">
        <v>83</v>
      </c>
      <c r="Y98" s="28">
        <v>43906</v>
      </c>
      <c r="Z98" s="28">
        <v>43909</v>
      </c>
      <c r="AA98" s="28">
        <v>43907</v>
      </c>
      <c r="AB98" s="28">
        <v>43907</v>
      </c>
      <c r="AC98" s="28" t="s">
        <v>204</v>
      </c>
      <c r="AD98" s="121"/>
      <c r="AE98" s="121"/>
      <c r="AF98" s="55">
        <v>1</v>
      </c>
      <c r="AG98" s="55">
        <v>1</v>
      </c>
      <c r="AH98" s="55" t="s">
        <v>219</v>
      </c>
      <c r="AI98" s="24"/>
      <c r="AJ98" s="24"/>
      <c r="AK98" s="24"/>
    </row>
    <row r="99" spans="2:37" x14ac:dyDescent="0.25">
      <c r="B99" s="27">
        <v>62</v>
      </c>
      <c r="C99" s="25">
        <v>20200316</v>
      </c>
      <c r="D99" s="24" t="s">
        <v>2</v>
      </c>
      <c r="E99" s="24" t="s">
        <v>286</v>
      </c>
      <c r="F99" s="26" t="s">
        <v>311</v>
      </c>
      <c r="G99" s="24" t="s">
        <v>161</v>
      </c>
      <c r="H99" s="24" t="s">
        <v>254</v>
      </c>
      <c r="I99" s="24" t="s">
        <v>334</v>
      </c>
      <c r="J99" s="24" t="s">
        <v>70</v>
      </c>
      <c r="K99" s="24" t="s">
        <v>328</v>
      </c>
      <c r="L99" s="26" t="s">
        <v>274</v>
      </c>
      <c r="M99" s="26" t="s">
        <v>236</v>
      </c>
      <c r="N99" s="27" t="s">
        <v>565</v>
      </c>
      <c r="O99" s="25" t="s">
        <v>326</v>
      </c>
      <c r="P99" s="24" t="s">
        <v>74</v>
      </c>
      <c r="Q99" s="24"/>
      <c r="R99" s="24"/>
      <c r="S99" s="24">
        <v>27</v>
      </c>
      <c r="T99" s="24">
        <f>ROUND(IF(D99=Table!$C$3,V99*Table!$C$4/8,V99*Table!$D$4/8),3)</f>
        <v>39</v>
      </c>
      <c r="U99" s="24">
        <f t="shared" si="14"/>
        <v>39</v>
      </c>
      <c r="V99" s="24">
        <v>2.4</v>
      </c>
      <c r="W99" s="24">
        <v>3</v>
      </c>
      <c r="X99" s="24" t="s">
        <v>83</v>
      </c>
      <c r="Y99" s="28">
        <v>43906</v>
      </c>
      <c r="Z99" s="28">
        <v>43909</v>
      </c>
      <c r="AA99" s="28">
        <v>43908</v>
      </c>
      <c r="AB99" s="28">
        <v>43908</v>
      </c>
      <c r="AC99" s="28" t="s">
        <v>204</v>
      </c>
      <c r="AD99" s="121"/>
      <c r="AE99" s="121"/>
      <c r="AF99" s="55">
        <v>1</v>
      </c>
      <c r="AG99" s="55">
        <v>1</v>
      </c>
      <c r="AH99" s="55" t="s">
        <v>219</v>
      </c>
      <c r="AI99" s="24"/>
      <c r="AJ99" s="24"/>
      <c r="AK99" s="24"/>
    </row>
    <row r="100" spans="2:37" x14ac:dyDescent="0.25">
      <c r="B100" s="27">
        <v>63</v>
      </c>
      <c r="C100" s="25">
        <v>20200316</v>
      </c>
      <c r="D100" s="24" t="s">
        <v>2</v>
      </c>
      <c r="E100" s="24" t="s">
        <v>286</v>
      </c>
      <c r="F100" s="26" t="s">
        <v>284</v>
      </c>
      <c r="G100" s="24" t="s">
        <v>301</v>
      </c>
      <c r="H100" s="24" t="s">
        <v>255</v>
      </c>
      <c r="I100" s="24" t="s">
        <v>334</v>
      </c>
      <c r="J100" s="24" t="s">
        <v>70</v>
      </c>
      <c r="K100" s="24" t="s">
        <v>328</v>
      </c>
      <c r="L100" s="26" t="s">
        <v>277</v>
      </c>
      <c r="M100" s="26" t="s">
        <v>236</v>
      </c>
      <c r="N100" s="27" t="s">
        <v>566</v>
      </c>
      <c r="O100" s="25" t="s">
        <v>326</v>
      </c>
      <c r="P100" s="24" t="s">
        <v>74</v>
      </c>
      <c r="Q100" s="24"/>
      <c r="R100" s="24"/>
      <c r="S100" s="24">
        <v>23</v>
      </c>
      <c r="T100" s="24">
        <f>ROUND(IF(D100=Table!$C$3,V100*Table!$C$4/8,V100*Table!$D$4/8),3)</f>
        <v>26</v>
      </c>
      <c r="U100" s="24">
        <f t="shared" si="14"/>
        <v>26</v>
      </c>
      <c r="V100" s="24">
        <v>1.6</v>
      </c>
      <c r="W100" s="24">
        <v>2</v>
      </c>
      <c r="X100" s="24" t="s">
        <v>83</v>
      </c>
      <c r="Y100" s="28">
        <v>43906</v>
      </c>
      <c r="Z100" s="28">
        <v>43909</v>
      </c>
      <c r="AA100" s="28">
        <v>43907</v>
      </c>
      <c r="AB100" s="28">
        <v>43907</v>
      </c>
      <c r="AC100" s="28" t="s">
        <v>204</v>
      </c>
      <c r="AD100" s="121"/>
      <c r="AE100" s="121"/>
      <c r="AF100" s="55">
        <v>1</v>
      </c>
      <c r="AG100" s="55">
        <v>1</v>
      </c>
      <c r="AH100" s="55" t="s">
        <v>219</v>
      </c>
      <c r="AI100" s="24"/>
      <c r="AJ100" s="24"/>
      <c r="AK100" s="24"/>
    </row>
    <row r="101" spans="2:37" x14ac:dyDescent="0.25">
      <c r="B101" s="27">
        <v>64</v>
      </c>
      <c r="C101" s="25">
        <v>20200316</v>
      </c>
      <c r="D101" s="24" t="s">
        <v>2</v>
      </c>
      <c r="E101" s="24" t="s">
        <v>286</v>
      </c>
      <c r="F101" s="26" t="s">
        <v>284</v>
      </c>
      <c r="G101" s="24" t="s">
        <v>302</v>
      </c>
      <c r="H101" s="24" t="s">
        <v>256</v>
      </c>
      <c r="I101" s="24" t="s">
        <v>333</v>
      </c>
      <c r="J101" s="24" t="s">
        <v>70</v>
      </c>
      <c r="K101" s="24" t="s">
        <v>328</v>
      </c>
      <c r="L101" s="26" t="s">
        <v>277</v>
      </c>
      <c r="M101" s="26" t="s">
        <v>236</v>
      </c>
      <c r="N101" s="27" t="s">
        <v>567</v>
      </c>
      <c r="O101" s="25" t="s">
        <v>326</v>
      </c>
      <c r="P101" s="24" t="s">
        <v>74</v>
      </c>
      <c r="Q101" s="24"/>
      <c r="R101" s="24"/>
      <c r="S101" s="24">
        <v>121</v>
      </c>
      <c r="T101" s="24">
        <f>ROUND(IF(D101=Table!$C$3,V101*Table!$C$4/8,V101*Table!$D$4/8),3)</f>
        <v>104</v>
      </c>
      <c r="U101" s="24">
        <f t="shared" si="14"/>
        <v>104</v>
      </c>
      <c r="V101" s="24">
        <v>6.4</v>
      </c>
      <c r="W101" s="24">
        <v>8</v>
      </c>
      <c r="X101" s="24" t="s">
        <v>83</v>
      </c>
      <c r="Y101" s="28">
        <v>43906</v>
      </c>
      <c r="Z101" s="28">
        <v>43909</v>
      </c>
      <c r="AA101" s="28">
        <v>43907</v>
      </c>
      <c r="AB101" s="28">
        <v>43907</v>
      </c>
      <c r="AC101" s="28" t="s">
        <v>204</v>
      </c>
      <c r="AD101" s="121"/>
      <c r="AE101" s="121"/>
      <c r="AF101" s="55">
        <v>1</v>
      </c>
      <c r="AG101" s="55">
        <v>1</v>
      </c>
      <c r="AH101" s="55" t="s">
        <v>219</v>
      </c>
      <c r="AI101" s="24"/>
      <c r="AJ101" s="24"/>
      <c r="AK101" s="24"/>
    </row>
    <row r="102" spans="2:37" x14ac:dyDescent="0.25">
      <c r="B102" s="27">
        <v>65</v>
      </c>
      <c r="C102" s="25">
        <v>20200316</v>
      </c>
      <c r="D102" s="24" t="s">
        <v>2</v>
      </c>
      <c r="E102" s="24" t="s">
        <v>286</v>
      </c>
      <c r="F102" s="26" t="s">
        <v>284</v>
      </c>
      <c r="G102" s="24" t="s">
        <v>304</v>
      </c>
      <c r="H102" s="24" t="s">
        <v>258</v>
      </c>
      <c r="I102" s="24" t="s">
        <v>334</v>
      </c>
      <c r="J102" s="24" t="s">
        <v>70</v>
      </c>
      <c r="K102" s="24" t="s">
        <v>328</v>
      </c>
      <c r="L102" s="26" t="s">
        <v>278</v>
      </c>
      <c r="M102" s="26" t="s">
        <v>236</v>
      </c>
      <c r="N102" s="27" t="s">
        <v>568</v>
      </c>
      <c r="O102" s="25" t="s">
        <v>326</v>
      </c>
      <c r="P102" s="24" t="s">
        <v>74</v>
      </c>
      <c r="Q102" s="24"/>
      <c r="R102" s="24"/>
      <c r="S102" s="24">
        <v>24</v>
      </c>
      <c r="T102" s="24">
        <f>ROUND(IF(D102=Table!$C$3,V102*Table!$C$4/8,V102*Table!$D$4/8),3)</f>
        <v>26</v>
      </c>
      <c r="U102" s="24">
        <f t="shared" si="14"/>
        <v>26</v>
      </c>
      <c r="V102" s="24">
        <v>1.6</v>
      </c>
      <c r="W102" s="24">
        <v>2</v>
      </c>
      <c r="X102" s="24" t="s">
        <v>83</v>
      </c>
      <c r="Y102" s="28">
        <v>43906</v>
      </c>
      <c r="Z102" s="28">
        <v>43909</v>
      </c>
      <c r="AA102" s="28">
        <v>43908</v>
      </c>
      <c r="AB102" s="28">
        <v>43908</v>
      </c>
      <c r="AC102" s="28" t="s">
        <v>204</v>
      </c>
      <c r="AD102" s="121"/>
      <c r="AE102" s="121"/>
      <c r="AF102" s="55">
        <v>1</v>
      </c>
      <c r="AG102" s="55">
        <v>1</v>
      </c>
      <c r="AH102" s="55" t="s">
        <v>219</v>
      </c>
      <c r="AI102" s="24"/>
      <c r="AJ102" s="24"/>
      <c r="AK102" s="24"/>
    </row>
    <row r="103" spans="2:37" x14ac:dyDescent="0.25">
      <c r="B103" s="27">
        <v>66</v>
      </c>
      <c r="C103" s="25">
        <v>20200316</v>
      </c>
      <c r="D103" s="24" t="s">
        <v>2</v>
      </c>
      <c r="E103" s="24" t="s">
        <v>286</v>
      </c>
      <c r="F103" s="26" t="s">
        <v>284</v>
      </c>
      <c r="G103" s="24" t="s">
        <v>305</v>
      </c>
      <c r="H103" s="24" t="s">
        <v>259</v>
      </c>
      <c r="I103" s="24" t="s">
        <v>334</v>
      </c>
      <c r="J103" s="24" t="s">
        <v>70</v>
      </c>
      <c r="K103" s="24" t="s">
        <v>328</v>
      </c>
      <c r="L103" s="26" t="s">
        <v>278</v>
      </c>
      <c r="M103" s="26" t="s">
        <v>236</v>
      </c>
      <c r="N103" s="27" t="s">
        <v>569</v>
      </c>
      <c r="O103" s="25" t="s">
        <v>326</v>
      </c>
      <c r="P103" s="24" t="s">
        <v>74</v>
      </c>
      <c r="Q103" s="24"/>
      <c r="R103" s="24"/>
      <c r="S103" s="24">
        <v>24</v>
      </c>
      <c r="T103" s="24">
        <f>ROUND(IF(D103=Table!$C$3,V103*Table!$C$4/8,V103*Table!$D$4/8),3)</f>
        <v>26</v>
      </c>
      <c r="U103" s="24">
        <f t="shared" ref="U103:U106" si="15">T103</f>
        <v>26</v>
      </c>
      <c r="V103" s="24">
        <v>1.6</v>
      </c>
      <c r="W103" s="24">
        <v>2</v>
      </c>
      <c r="X103" s="24" t="s">
        <v>83</v>
      </c>
      <c r="Y103" s="28">
        <v>43906</v>
      </c>
      <c r="Z103" s="28">
        <v>43909</v>
      </c>
      <c r="AA103" s="28">
        <v>43908</v>
      </c>
      <c r="AB103" s="28">
        <v>43908</v>
      </c>
      <c r="AC103" s="28" t="s">
        <v>204</v>
      </c>
      <c r="AD103" s="121"/>
      <c r="AE103" s="121"/>
      <c r="AF103" s="55">
        <v>1</v>
      </c>
      <c r="AG103" s="55">
        <v>1</v>
      </c>
      <c r="AH103" s="55" t="s">
        <v>219</v>
      </c>
      <c r="AI103" s="24"/>
      <c r="AJ103" s="24"/>
      <c r="AK103" s="24"/>
    </row>
    <row r="104" spans="2:37" x14ac:dyDescent="0.25">
      <c r="B104" s="27">
        <v>67</v>
      </c>
      <c r="C104" s="25">
        <v>20200316</v>
      </c>
      <c r="D104" s="24" t="s">
        <v>2</v>
      </c>
      <c r="E104" s="24" t="s">
        <v>286</v>
      </c>
      <c r="F104" s="26" t="s">
        <v>284</v>
      </c>
      <c r="G104" s="24" t="s">
        <v>306</v>
      </c>
      <c r="H104" s="24" t="s">
        <v>260</v>
      </c>
      <c r="I104" s="24" t="s">
        <v>334</v>
      </c>
      <c r="J104" s="24" t="s">
        <v>70</v>
      </c>
      <c r="K104" s="24" t="s">
        <v>328</v>
      </c>
      <c r="L104" s="26" t="s">
        <v>280</v>
      </c>
      <c r="M104" s="26" t="s">
        <v>236</v>
      </c>
      <c r="N104" s="27" t="s">
        <v>570</v>
      </c>
      <c r="O104" s="25" t="s">
        <v>326</v>
      </c>
      <c r="P104" s="24" t="s">
        <v>74</v>
      </c>
      <c r="Q104" s="24"/>
      <c r="R104" s="24"/>
      <c r="S104" s="24">
        <v>17</v>
      </c>
      <c r="T104" s="24">
        <f>ROUND(IF(D104=Table!$C$3,V104*Table!$C$4/8,V104*Table!$D$4/8),3)</f>
        <v>26</v>
      </c>
      <c r="U104" s="24">
        <f t="shared" si="15"/>
        <v>26</v>
      </c>
      <c r="V104" s="24">
        <v>1.6</v>
      </c>
      <c r="W104" s="24">
        <v>2</v>
      </c>
      <c r="X104" s="24" t="s">
        <v>83</v>
      </c>
      <c r="Y104" s="28">
        <v>43906</v>
      </c>
      <c r="Z104" s="28">
        <v>43909</v>
      </c>
      <c r="AA104" s="28">
        <v>43908</v>
      </c>
      <c r="AB104" s="28">
        <v>43908</v>
      </c>
      <c r="AC104" s="28" t="s">
        <v>204</v>
      </c>
      <c r="AD104" s="121"/>
      <c r="AE104" s="121"/>
      <c r="AF104" s="55">
        <v>1</v>
      </c>
      <c r="AG104" s="55">
        <v>1</v>
      </c>
      <c r="AH104" s="55" t="s">
        <v>219</v>
      </c>
      <c r="AI104" s="24"/>
      <c r="AJ104" s="24"/>
      <c r="AK104" s="24"/>
    </row>
    <row r="105" spans="2:37" x14ac:dyDescent="0.25">
      <c r="B105" s="27">
        <v>68</v>
      </c>
      <c r="C105" s="25">
        <v>20200316</v>
      </c>
      <c r="D105" s="24" t="s">
        <v>3</v>
      </c>
      <c r="E105" s="24" t="s">
        <v>286</v>
      </c>
      <c r="F105" s="26" t="s">
        <v>327</v>
      </c>
      <c r="G105" s="24" t="s">
        <v>321</v>
      </c>
      <c r="H105" s="24" t="s">
        <v>319</v>
      </c>
      <c r="I105" s="24" t="s">
        <v>335</v>
      </c>
      <c r="J105" s="24" t="s">
        <v>70</v>
      </c>
      <c r="K105" s="24" t="s">
        <v>336</v>
      </c>
      <c r="L105" s="26" t="s">
        <v>320</v>
      </c>
      <c r="M105" s="26" t="s">
        <v>236</v>
      </c>
      <c r="N105" s="27" t="s">
        <v>571</v>
      </c>
      <c r="O105" s="25" t="s">
        <v>326</v>
      </c>
      <c r="P105" s="24" t="s">
        <v>74</v>
      </c>
      <c r="Q105" s="24"/>
      <c r="R105" s="24"/>
      <c r="S105" s="24">
        <v>455</v>
      </c>
      <c r="T105" s="24">
        <f>ROUND(IF(D105=Table!$C$3,V105*Table!$C$4/8,V105*Table!$D$4/8),3)</f>
        <v>360</v>
      </c>
      <c r="U105" s="24">
        <f t="shared" si="15"/>
        <v>360</v>
      </c>
      <c r="V105" s="24">
        <v>6.4</v>
      </c>
      <c r="W105" s="24">
        <v>6</v>
      </c>
      <c r="X105" s="24" t="s">
        <v>83</v>
      </c>
      <c r="Y105" s="28">
        <v>43906</v>
      </c>
      <c r="Z105" s="28">
        <v>43909</v>
      </c>
      <c r="AA105" s="28">
        <v>43909</v>
      </c>
      <c r="AB105" s="28">
        <v>43909</v>
      </c>
      <c r="AC105" s="28" t="s">
        <v>204</v>
      </c>
      <c r="AD105" s="121"/>
      <c r="AE105" s="121"/>
      <c r="AF105" s="55">
        <v>1</v>
      </c>
      <c r="AG105" s="55">
        <v>1</v>
      </c>
      <c r="AH105" s="55" t="s">
        <v>219</v>
      </c>
      <c r="AI105" s="24"/>
      <c r="AJ105" s="24"/>
      <c r="AK105" s="24" t="s">
        <v>322</v>
      </c>
    </row>
    <row r="106" spans="2:37" x14ac:dyDescent="0.25">
      <c r="B106" s="27">
        <v>69</v>
      </c>
      <c r="C106" s="25">
        <v>20200316</v>
      </c>
      <c r="D106" s="24" t="s">
        <v>3</v>
      </c>
      <c r="E106" s="24" t="s">
        <v>286</v>
      </c>
      <c r="F106" s="26" t="s">
        <v>285</v>
      </c>
      <c r="G106" s="24" t="s">
        <v>292</v>
      </c>
      <c r="H106" s="24" t="s">
        <v>262</v>
      </c>
      <c r="I106" s="24" t="s">
        <v>334</v>
      </c>
      <c r="J106" s="24" t="s">
        <v>70</v>
      </c>
      <c r="K106" s="24" t="s">
        <v>336</v>
      </c>
      <c r="L106" s="26" t="s">
        <v>282</v>
      </c>
      <c r="M106" s="26" t="s">
        <v>236</v>
      </c>
      <c r="N106" s="27" t="s">
        <v>572</v>
      </c>
      <c r="O106" s="25" t="s">
        <v>326</v>
      </c>
      <c r="P106" s="24" t="s">
        <v>74</v>
      </c>
      <c r="Q106" s="24"/>
      <c r="R106" s="24"/>
      <c r="S106" s="24">
        <v>131</v>
      </c>
      <c r="T106" s="24">
        <f>ROUND(IF(D106=Table!$C$3,V106*Table!$C$4/8,V106*Table!$D$4/8),3)</f>
        <v>135</v>
      </c>
      <c r="U106" s="24">
        <f t="shared" si="15"/>
        <v>135</v>
      </c>
      <c r="V106" s="24">
        <v>2.4</v>
      </c>
      <c r="W106" s="24">
        <v>2</v>
      </c>
      <c r="X106" s="24" t="s">
        <v>83</v>
      </c>
      <c r="Y106" s="28">
        <v>43906</v>
      </c>
      <c r="Z106" s="28">
        <v>43909</v>
      </c>
      <c r="AA106" s="28">
        <v>43909</v>
      </c>
      <c r="AB106" s="28">
        <v>43909</v>
      </c>
      <c r="AC106" s="28" t="s">
        <v>204</v>
      </c>
      <c r="AD106" s="121"/>
      <c r="AE106" s="121"/>
      <c r="AF106" s="55">
        <v>1</v>
      </c>
      <c r="AG106" s="55">
        <v>1</v>
      </c>
      <c r="AH106" s="55" t="s">
        <v>219</v>
      </c>
      <c r="AI106" s="24"/>
      <c r="AJ106" s="24"/>
      <c r="AK106" s="24" t="s">
        <v>308</v>
      </c>
    </row>
    <row r="107" spans="2:37" x14ac:dyDescent="0.25">
      <c r="B107" s="30"/>
      <c r="C107" s="25"/>
      <c r="D107" s="24"/>
      <c r="E107" s="24"/>
      <c r="F107" s="26"/>
      <c r="G107" s="24"/>
      <c r="H107" s="24"/>
      <c r="I107" s="24"/>
      <c r="J107" s="24"/>
      <c r="K107" s="24"/>
      <c r="L107" s="26"/>
      <c r="M107" s="26"/>
      <c r="N107" s="27"/>
      <c r="O107" s="25"/>
      <c r="P107" s="24"/>
      <c r="Q107" s="24"/>
      <c r="R107" s="24"/>
      <c r="S107" s="24"/>
      <c r="T107" s="3"/>
      <c r="U107" s="24"/>
      <c r="V107" s="24"/>
      <c r="W107" s="24"/>
      <c r="X107" s="24"/>
      <c r="Y107" s="28"/>
      <c r="Z107" s="28"/>
      <c r="AA107" s="28"/>
      <c r="AB107" s="28"/>
      <c r="AC107" s="28"/>
      <c r="AD107" s="121"/>
      <c r="AE107" s="121"/>
      <c r="AF107" s="55"/>
      <c r="AG107" s="55"/>
      <c r="AH107" s="55"/>
      <c r="AI107" s="24"/>
      <c r="AJ107" s="24"/>
    </row>
    <row r="108" spans="2:37" x14ac:dyDescent="0.25">
      <c r="B108" s="30"/>
      <c r="C108" s="25"/>
      <c r="D108" s="24"/>
      <c r="E108" s="24"/>
      <c r="F108" s="26"/>
      <c r="G108" s="24"/>
      <c r="H108" s="24"/>
      <c r="I108" s="24"/>
      <c r="J108" s="24"/>
      <c r="K108" s="24"/>
      <c r="L108" s="26"/>
      <c r="M108" s="26"/>
      <c r="N108" s="27"/>
      <c r="O108" s="25"/>
      <c r="P108" s="24"/>
      <c r="Q108" s="24"/>
      <c r="R108" s="24"/>
      <c r="S108" s="24"/>
      <c r="T108" s="3"/>
      <c r="U108" s="24"/>
      <c r="V108" s="24"/>
      <c r="W108" s="24"/>
      <c r="X108" s="24"/>
      <c r="Y108" s="28"/>
      <c r="Z108" s="28"/>
      <c r="AA108" s="28"/>
      <c r="AB108" s="28"/>
      <c r="AC108" s="28"/>
      <c r="AD108" s="121"/>
      <c r="AE108" s="121"/>
      <c r="AF108" s="55"/>
      <c r="AG108" s="55"/>
      <c r="AH108" s="55"/>
      <c r="AI108" s="24"/>
      <c r="AJ108" s="24"/>
    </row>
    <row r="109" spans="2:37" x14ac:dyDescent="0.25">
      <c r="B109" s="30"/>
      <c r="C109" s="25"/>
      <c r="D109" s="24"/>
      <c r="E109" s="24"/>
      <c r="F109" s="26"/>
      <c r="G109" s="24"/>
      <c r="H109" s="24"/>
      <c r="I109" s="24"/>
      <c r="J109" s="24"/>
      <c r="K109" s="24"/>
      <c r="L109" s="26"/>
      <c r="M109" s="26"/>
      <c r="N109" s="27"/>
      <c r="O109" s="25"/>
      <c r="P109" s="24"/>
      <c r="Q109" s="24"/>
      <c r="R109" s="24"/>
      <c r="S109" s="24"/>
      <c r="T109" s="3"/>
      <c r="U109" s="24"/>
      <c r="V109" s="24"/>
      <c r="W109" s="24"/>
      <c r="X109" s="24"/>
      <c r="Y109" s="28"/>
      <c r="Z109" s="28"/>
      <c r="AA109" s="28"/>
      <c r="AB109" s="28"/>
      <c r="AC109" s="28"/>
      <c r="AD109" s="121"/>
      <c r="AE109" s="121"/>
      <c r="AF109" s="55"/>
      <c r="AG109" s="55"/>
      <c r="AH109" s="55"/>
      <c r="AI109" s="24"/>
      <c r="AJ109" s="24"/>
    </row>
    <row r="110" spans="2:37" x14ac:dyDescent="0.25">
      <c r="B110" s="30"/>
      <c r="C110" s="25"/>
      <c r="D110" s="24"/>
      <c r="E110" s="24"/>
      <c r="F110" s="26"/>
      <c r="G110" s="24"/>
      <c r="H110" s="24"/>
      <c r="I110" s="24"/>
      <c r="J110" s="24"/>
      <c r="K110" s="24"/>
      <c r="L110" s="26"/>
      <c r="M110" s="26"/>
      <c r="N110" s="27"/>
      <c r="O110" s="25"/>
      <c r="P110" s="24"/>
      <c r="Q110" s="24"/>
      <c r="R110" s="24"/>
      <c r="S110" s="24"/>
      <c r="T110" s="3"/>
      <c r="U110" s="24"/>
      <c r="V110" s="24"/>
      <c r="W110" s="24"/>
      <c r="X110" s="24"/>
      <c r="Y110" s="28"/>
      <c r="Z110" s="28"/>
      <c r="AA110" s="28"/>
      <c r="AB110" s="28"/>
      <c r="AC110" s="28"/>
      <c r="AD110" s="121"/>
      <c r="AE110" s="121"/>
      <c r="AF110" s="55"/>
      <c r="AG110" s="55"/>
      <c r="AH110" s="55"/>
      <c r="AI110" s="24"/>
      <c r="AJ110" s="24"/>
    </row>
    <row r="111" spans="2:37" x14ac:dyDescent="0.25">
      <c r="B111" s="30"/>
      <c r="C111" s="25"/>
      <c r="D111" s="24"/>
      <c r="E111" s="24"/>
      <c r="F111" s="26"/>
      <c r="G111" s="24"/>
      <c r="H111" s="24"/>
      <c r="I111" s="24"/>
      <c r="J111" s="24"/>
      <c r="K111" s="24"/>
      <c r="L111" s="26"/>
      <c r="M111" s="26"/>
      <c r="N111" s="27"/>
      <c r="O111" s="25"/>
      <c r="P111" s="24"/>
      <c r="Q111" s="24"/>
      <c r="R111" s="24"/>
      <c r="S111" s="24"/>
      <c r="T111" s="3"/>
      <c r="U111" s="24"/>
      <c r="V111" s="24"/>
      <c r="W111" s="24"/>
      <c r="X111" s="24"/>
      <c r="Y111" s="28"/>
      <c r="Z111" s="28"/>
      <c r="AA111" s="28"/>
      <c r="AB111" s="28"/>
      <c r="AC111" s="28"/>
      <c r="AD111" s="121"/>
      <c r="AE111" s="121"/>
      <c r="AF111" s="55"/>
      <c r="AG111" s="55"/>
      <c r="AH111" s="55"/>
      <c r="AI111" s="24"/>
      <c r="AJ111" s="24"/>
    </row>
    <row r="112" spans="2:37" x14ac:dyDescent="0.25">
      <c r="B112" s="30"/>
      <c r="C112" s="25"/>
      <c r="D112" s="24"/>
      <c r="E112" s="24"/>
      <c r="F112" s="26"/>
      <c r="G112" s="24"/>
      <c r="H112" s="24"/>
      <c r="I112" s="24"/>
      <c r="J112" s="24"/>
      <c r="K112" s="24"/>
      <c r="L112" s="26"/>
      <c r="M112" s="26"/>
      <c r="N112" s="27"/>
      <c r="O112" s="25"/>
      <c r="P112" s="24"/>
      <c r="Q112" s="24"/>
      <c r="R112" s="24"/>
      <c r="S112" s="24"/>
      <c r="T112" s="3"/>
      <c r="U112" s="24"/>
      <c r="V112" s="24"/>
      <c r="W112" s="24"/>
      <c r="X112" s="24"/>
      <c r="Y112" s="28"/>
      <c r="Z112" s="28"/>
      <c r="AA112" s="28"/>
      <c r="AB112" s="28"/>
      <c r="AC112" s="28"/>
      <c r="AD112" s="121"/>
      <c r="AE112" s="121"/>
      <c r="AF112" s="55"/>
      <c r="AG112" s="55"/>
      <c r="AH112" s="55"/>
      <c r="AI112" s="24"/>
      <c r="AJ112" s="24"/>
    </row>
    <row r="113" spans="2:36" x14ac:dyDescent="0.25">
      <c r="B113" s="30"/>
      <c r="C113" s="25"/>
      <c r="D113" s="24"/>
      <c r="E113" s="24"/>
      <c r="F113" s="26"/>
      <c r="G113" s="24"/>
      <c r="H113" s="24"/>
      <c r="I113" s="24"/>
      <c r="J113" s="24"/>
      <c r="K113" s="24"/>
      <c r="L113" s="26"/>
      <c r="M113" s="26"/>
      <c r="N113" s="27"/>
      <c r="O113" s="25"/>
      <c r="P113" s="24"/>
      <c r="Q113" s="24"/>
      <c r="R113" s="24"/>
      <c r="S113" s="24"/>
      <c r="T113" s="3"/>
      <c r="U113" s="24"/>
      <c r="V113" s="24"/>
      <c r="W113" s="24"/>
      <c r="X113" s="24"/>
      <c r="Y113" s="28"/>
      <c r="Z113" s="28"/>
      <c r="AA113" s="28"/>
      <c r="AB113" s="28"/>
      <c r="AC113" s="28"/>
      <c r="AD113" s="121"/>
      <c r="AE113" s="121"/>
      <c r="AF113" s="55"/>
      <c r="AG113" s="55"/>
      <c r="AH113" s="55"/>
      <c r="AI113" s="24"/>
      <c r="AJ113" s="24"/>
    </row>
    <row r="114" spans="2:36" x14ac:dyDescent="0.25">
      <c r="B114" s="30"/>
      <c r="C114" s="25"/>
      <c r="D114" s="24"/>
      <c r="E114" s="24"/>
      <c r="F114" s="26"/>
      <c r="G114" s="24"/>
      <c r="H114" s="24"/>
      <c r="I114" s="24"/>
      <c r="J114" s="24"/>
      <c r="K114" s="24"/>
      <c r="L114" s="26"/>
      <c r="M114" s="26"/>
      <c r="N114" s="27"/>
      <c r="O114" s="25"/>
      <c r="P114" s="24"/>
      <c r="Q114" s="24"/>
      <c r="R114" s="24"/>
      <c r="S114" s="24"/>
      <c r="T114" s="3"/>
      <c r="U114" s="24"/>
      <c r="V114" s="24"/>
      <c r="W114" s="24"/>
      <c r="X114" s="24"/>
      <c r="Y114" s="28"/>
      <c r="Z114" s="28"/>
      <c r="AA114" s="28"/>
      <c r="AB114" s="28"/>
      <c r="AC114" s="28"/>
      <c r="AD114" s="121"/>
      <c r="AE114" s="121"/>
      <c r="AF114" s="55"/>
      <c r="AG114" s="55"/>
      <c r="AH114" s="55"/>
      <c r="AI114" s="24"/>
      <c r="AJ114" s="24"/>
    </row>
    <row r="115" spans="2:36" x14ac:dyDescent="0.25">
      <c r="B115" s="30"/>
      <c r="C115" s="25"/>
      <c r="D115" s="24"/>
      <c r="E115" s="24"/>
      <c r="F115" s="26"/>
      <c r="G115" s="24"/>
      <c r="H115" s="24"/>
      <c r="I115" s="24"/>
      <c r="J115" s="24"/>
      <c r="K115" s="24"/>
      <c r="L115" s="26"/>
      <c r="M115" s="26"/>
      <c r="N115" s="27"/>
      <c r="O115" s="25"/>
      <c r="P115" s="24"/>
      <c r="Q115" s="24"/>
      <c r="R115" s="24"/>
      <c r="S115" s="24"/>
      <c r="T115" s="3"/>
      <c r="U115" s="24"/>
      <c r="V115" s="24"/>
      <c r="W115" s="24"/>
      <c r="X115" s="24"/>
      <c r="Y115" s="28"/>
      <c r="Z115" s="28"/>
      <c r="AA115" s="28"/>
      <c r="AB115" s="28"/>
      <c r="AC115" s="28"/>
      <c r="AD115" s="121"/>
      <c r="AE115" s="121"/>
      <c r="AF115" s="55"/>
      <c r="AG115" s="55"/>
      <c r="AH115" s="55"/>
      <c r="AI115" s="24"/>
      <c r="AJ115" s="24"/>
    </row>
    <row r="116" spans="2:36" x14ac:dyDescent="0.25">
      <c r="B116" s="30"/>
      <c r="C116" s="25"/>
      <c r="D116" s="24"/>
      <c r="E116" s="24"/>
      <c r="F116" s="26"/>
      <c r="G116" s="24"/>
      <c r="H116" s="24"/>
      <c r="I116" s="24"/>
      <c r="J116" s="24"/>
      <c r="K116" s="24"/>
      <c r="L116" s="26"/>
      <c r="M116" s="26"/>
      <c r="N116" s="27"/>
      <c r="O116" s="25"/>
      <c r="P116" s="24"/>
      <c r="Q116" s="24"/>
      <c r="R116" s="24"/>
      <c r="S116" s="24"/>
      <c r="T116" s="3"/>
      <c r="U116" s="24"/>
      <c r="V116" s="24"/>
      <c r="W116" s="24"/>
      <c r="X116" s="24"/>
      <c r="Y116" s="28"/>
      <c r="Z116" s="28"/>
      <c r="AA116" s="28"/>
      <c r="AB116" s="28"/>
      <c r="AC116" s="28"/>
      <c r="AD116" s="121"/>
      <c r="AE116" s="121"/>
      <c r="AF116" s="55"/>
      <c r="AG116" s="55"/>
      <c r="AH116" s="55"/>
      <c r="AI116" s="24"/>
      <c r="AJ116" s="24"/>
    </row>
    <row r="117" spans="2:36" x14ac:dyDescent="0.25">
      <c r="B117" s="24"/>
      <c r="C117" s="24"/>
      <c r="D117" s="24"/>
      <c r="E117" s="24"/>
      <c r="F117" s="26"/>
      <c r="G117" s="24"/>
      <c r="H117" s="24"/>
      <c r="I117" s="24"/>
      <c r="J117" s="24"/>
      <c r="K117" s="24"/>
      <c r="L117" s="24"/>
      <c r="M117" s="24"/>
      <c r="N117" s="27"/>
      <c r="O117" s="25"/>
      <c r="P117" s="24"/>
      <c r="Q117" s="24"/>
      <c r="R117" s="24"/>
      <c r="S117" s="24"/>
      <c r="T117" s="24"/>
      <c r="U117" s="24"/>
      <c r="V117" s="24"/>
      <c r="W117" s="24"/>
      <c r="X117" s="24"/>
      <c r="Y117" s="29"/>
      <c r="Z117" s="29"/>
      <c r="AA117" s="29"/>
      <c r="AB117" s="29"/>
      <c r="AC117" s="29"/>
      <c r="AD117" s="121"/>
      <c r="AE117" s="121"/>
      <c r="AF117" s="55"/>
      <c r="AG117" s="55"/>
      <c r="AH117" s="55"/>
      <c r="AI117" s="24"/>
      <c r="AJ117" s="24"/>
    </row>
    <row r="118" spans="2:36" x14ac:dyDescent="0.25">
      <c r="B118" s="24"/>
      <c r="C118" s="24"/>
      <c r="D118" s="24"/>
      <c r="E118" s="24"/>
      <c r="F118" s="26"/>
      <c r="G118" s="24"/>
      <c r="H118" s="24"/>
      <c r="I118" s="24"/>
      <c r="J118" s="24"/>
      <c r="K118" s="24"/>
      <c r="L118" s="24"/>
      <c r="M118" s="24"/>
      <c r="N118" s="27"/>
      <c r="O118" s="25"/>
      <c r="P118" s="24"/>
      <c r="Q118" s="24"/>
      <c r="R118" s="24"/>
      <c r="S118" s="24"/>
      <c r="T118" s="24"/>
      <c r="U118" s="24"/>
      <c r="V118" s="24"/>
      <c r="W118" s="24"/>
      <c r="X118" s="24"/>
      <c r="Y118" s="29"/>
      <c r="Z118" s="29"/>
      <c r="AA118" s="29"/>
      <c r="AB118" s="29"/>
      <c r="AC118" s="29"/>
      <c r="AD118" s="121"/>
      <c r="AE118" s="121"/>
      <c r="AF118" s="55"/>
      <c r="AG118" s="55"/>
      <c r="AH118" s="55"/>
      <c r="AI118" s="24"/>
      <c r="AJ118" s="24"/>
    </row>
    <row r="119" spans="2:36" x14ac:dyDescent="0.25">
      <c r="B119" s="5"/>
      <c r="C119" s="5"/>
      <c r="D119" s="5"/>
      <c r="E119" s="5"/>
      <c r="F119" s="5"/>
      <c r="G119" s="5"/>
      <c r="H119" s="5"/>
      <c r="I119" s="5"/>
      <c r="J119" s="5"/>
      <c r="K119" s="5"/>
      <c r="L119" s="5"/>
      <c r="M119" s="5"/>
      <c r="N119" s="5"/>
      <c r="O119" s="5"/>
      <c r="P119" s="5"/>
      <c r="Q119" s="5"/>
    </row>
  </sheetData>
  <autoFilter ref="B37:AK106"/>
  <customSheetViews>
    <customSheetView guid="{250915DF-0B97-45D7-B29D-7EED4C89C1C1}" showAutoFilter="1" topLeftCell="A82">
      <selection activeCell="H102" sqref="H102"/>
      <pageMargins left="0.7" right="0.7" top="0.75" bottom="0.75" header="0.3" footer="0.3"/>
      <pageSetup orientation="portrait" r:id="rId1"/>
      <autoFilter ref="B2:AI71"/>
    </customSheetView>
    <customSheetView guid="{A2C66332-A809-458E-971B-FDB6D62C74C3}" scale="70" filter="1" showAutoFilter="1" topLeftCell="Q1">
      <selection activeCell="A179" sqref="A179:XFD179"/>
      <pageMargins left="0.7" right="0.7" top="0.75" bottom="0.75" header="0.3" footer="0.3"/>
      <pageSetup orientation="portrait" r:id="rId2"/>
      <autoFilter ref="B2:AL161">
        <filterColumn colId="14">
          <filters>
            <filter val="bang.nguyen-duy"/>
          </filters>
        </filterColumn>
      </autoFilter>
    </customSheetView>
    <customSheetView guid="{4E06BDBF-2CED-473B-850B-2A6C7311FF41}" showAutoFilter="1" hiddenColumns="1" topLeftCell="I28">
      <selection activeCell="W54" sqref="W54"/>
      <pageMargins left="0.7" right="0.7" top="0.75" bottom="0.75" header="0.3" footer="0.3"/>
      <pageSetup orientation="portrait" r:id="rId3"/>
      <autoFilter ref="Q2:Q105"/>
    </customSheetView>
    <customSheetView guid="{72A6EB0A-84D5-4B8A-AC51-54CCD061630B}" scale="85" filter="1" showAutoFilter="1" hiddenColumns="1" topLeftCell="L1">
      <selection activeCell="AF34" sqref="AF34"/>
      <pageMargins left="0.7" right="0.7" top="0.75" bottom="0.75" header="0.3" footer="0.3"/>
      <pageSetup orientation="portrait" r:id="rId4"/>
      <autoFilter ref="B2:AH60">
        <filterColumn colId="14">
          <filters>
            <filter val="loc.do-phu"/>
          </filters>
        </filterColumn>
      </autoFilter>
    </customSheetView>
    <customSheetView guid="{7E0EA425-A420-4443-B9E0-CDF0AA9E5D09}" showAutoFilter="1" hiddenColumns="1">
      <pageMargins left="0.7" right="0.7" top="0.75" bottom="0.75" header="0.3" footer="0.3"/>
      <pageSetup orientation="portrait" r:id="rId5"/>
      <autoFilter ref="Q2:Q105"/>
    </customSheetView>
    <customSheetView guid="{60D2C030-4E31-4E07-8E1C-44D2EE84B177}" scale="85" showAutoFilter="1" hiddenColumns="1" topLeftCell="J1">
      <selection activeCell="AE25" sqref="AE25"/>
      <pageMargins left="0.7" right="0.7" top="0.75" bottom="0.75" header="0.3" footer="0.3"/>
      <pageSetup orientation="portrait" r:id="rId6"/>
      <autoFilter ref="B2:AE78"/>
    </customSheetView>
    <customSheetView guid="{7ECC2B8E-6A82-42F5-8AB0-4A51C54EA5EC}" scale="85" showAutoFilter="1" topLeftCell="A46">
      <selection activeCell="AG48" sqref="AG48"/>
      <pageMargins left="0.7" right="0.7" top="0.75" bottom="0.75" header="0.3" footer="0.3"/>
      <pageSetup orientation="portrait" r:id="rId7"/>
      <autoFilter ref="P2:P71"/>
    </customSheetView>
    <customSheetView guid="{336B6883-2145-4B58-921E-CEC7185A847E}" scale="85" showAutoFilter="1" hiddenColumns="1" topLeftCell="A37">
      <selection activeCell="J158" sqref="J158"/>
      <pageMargins left="0.7" right="0.7" top="0.75" bottom="0.75" header="0.3" footer="0.3"/>
      <pageSetup orientation="portrait" r:id="rId8"/>
      <autoFilter ref="B2:AI71"/>
    </customSheetView>
  </customSheetViews>
  <conditionalFormatting sqref="H13:H17 H4:H7">
    <cfRule type="cellIs" dxfId="94" priority="75" operator="equal">
      <formula>1</formula>
    </cfRule>
    <cfRule type="cellIs" dxfId="93" priority="76" operator="lessThan">
      <formula>1</formula>
    </cfRule>
  </conditionalFormatting>
  <conditionalFormatting sqref="AC107:AC118 AD38:AE224 AD2:AE35">
    <cfRule type="cellIs" dxfId="92" priority="73" operator="equal">
      <formula>"OK"</formula>
    </cfRule>
    <cfRule type="cellIs" dxfId="91" priority="74" operator="equal">
      <formula>"NG"</formula>
    </cfRule>
  </conditionalFormatting>
  <conditionalFormatting sqref="L107:M116">
    <cfRule type="cellIs" dxfId="90" priority="72" operator="equal">
      <formula>"PUT_VERSION"</formula>
    </cfRule>
  </conditionalFormatting>
  <conditionalFormatting sqref="P13:P16 P4:P7">
    <cfRule type="cellIs" dxfId="89" priority="66" operator="equal">
      <formula>1</formula>
    </cfRule>
    <cfRule type="cellIs" dxfId="88" priority="67" operator="lessThan">
      <formula>1</formula>
    </cfRule>
  </conditionalFormatting>
  <conditionalFormatting sqref="P17">
    <cfRule type="cellIs" dxfId="87" priority="62" operator="equal">
      <formula>1</formula>
    </cfRule>
    <cfRule type="cellIs" dxfId="86" priority="63" operator="lessThan">
      <formula>1</formula>
    </cfRule>
  </conditionalFormatting>
  <conditionalFormatting sqref="D8">
    <cfRule type="expression" dxfId="85" priority="60">
      <formula>D8=SUM(D4:D7)</formula>
    </cfRule>
  </conditionalFormatting>
  <conditionalFormatting sqref="E8">
    <cfRule type="expression" dxfId="84" priority="59">
      <formula>E8=SUM(E4:E7)</formula>
    </cfRule>
  </conditionalFormatting>
  <conditionalFormatting sqref="F8">
    <cfRule type="expression" dxfId="83" priority="58">
      <formula>F8=SUM(F4:F7)</formula>
    </cfRule>
  </conditionalFormatting>
  <conditionalFormatting sqref="D17">
    <cfRule type="expression" dxfId="82" priority="57">
      <formula>D17=SUM(D13:D16)</formula>
    </cfRule>
  </conditionalFormatting>
  <conditionalFormatting sqref="E17">
    <cfRule type="expression" dxfId="81" priority="56">
      <formula>E17=SUM(E13:E16)</formula>
    </cfRule>
  </conditionalFormatting>
  <conditionalFormatting sqref="H22">
    <cfRule type="cellIs" dxfId="80" priority="41" operator="equal">
      <formula>1</formula>
    </cfRule>
    <cfRule type="cellIs" dxfId="79" priority="42" operator="lessThan">
      <formula>1</formula>
    </cfRule>
  </conditionalFormatting>
  <conditionalFormatting sqref="H23">
    <cfRule type="cellIs" dxfId="78" priority="39" operator="equal">
      <formula>1</formula>
    </cfRule>
    <cfRule type="cellIs" dxfId="77" priority="40" operator="lessThan">
      <formula>1</formula>
    </cfRule>
  </conditionalFormatting>
  <conditionalFormatting sqref="H24">
    <cfRule type="cellIs" dxfId="76" priority="37" operator="equal">
      <formula>1</formula>
    </cfRule>
    <cfRule type="cellIs" dxfId="75" priority="38" operator="lessThan">
      <formula>1</formula>
    </cfRule>
  </conditionalFormatting>
  <conditionalFormatting sqref="H25">
    <cfRule type="cellIs" dxfId="74" priority="35" operator="equal">
      <formula>1</formula>
    </cfRule>
    <cfRule type="cellIs" dxfId="73" priority="36" operator="lessThan">
      <formula>1</formula>
    </cfRule>
  </conditionalFormatting>
  <conditionalFormatting sqref="H26">
    <cfRule type="cellIs" dxfId="72" priority="33" operator="equal">
      <formula>1</formula>
    </cfRule>
    <cfRule type="cellIs" dxfId="71" priority="34" operator="lessThan">
      <formula>1</formula>
    </cfRule>
  </conditionalFormatting>
  <conditionalFormatting sqref="L17">
    <cfRule type="expression" dxfId="70" priority="32">
      <formula>L17=SUM(L13:L16)</formula>
    </cfRule>
  </conditionalFormatting>
  <conditionalFormatting sqref="M17">
    <cfRule type="expression" dxfId="69" priority="31">
      <formula>M17=SUM(M13:M16)</formula>
    </cfRule>
  </conditionalFormatting>
  <conditionalFormatting sqref="N17">
    <cfRule type="expression" dxfId="68" priority="30">
      <formula>N17=SUM(N13:N16)</formula>
    </cfRule>
  </conditionalFormatting>
  <conditionalFormatting sqref="L8">
    <cfRule type="expression" dxfId="67" priority="29">
      <formula>L8=SUM(L4:L7)</formula>
    </cfRule>
  </conditionalFormatting>
  <conditionalFormatting sqref="M8">
    <cfRule type="expression" dxfId="66" priority="28">
      <formula>M8=SUM(M4:M7)</formula>
    </cfRule>
  </conditionalFormatting>
  <conditionalFormatting sqref="N8">
    <cfRule type="expression" dxfId="65" priority="27">
      <formula>N8=SUM(N4:N7)</formula>
    </cfRule>
  </conditionalFormatting>
  <conditionalFormatting sqref="P26">
    <cfRule type="cellIs" dxfId="64" priority="23" operator="equal">
      <formula>1</formula>
    </cfRule>
    <cfRule type="cellIs" dxfId="63" priority="24" operator="lessThan">
      <formula>1</formula>
    </cfRule>
  </conditionalFormatting>
  <conditionalFormatting sqref="P22">
    <cfRule type="cellIs" dxfId="62" priority="13" operator="equal">
      <formula>1</formula>
    </cfRule>
    <cfRule type="cellIs" dxfId="61" priority="14" operator="lessThan">
      <formula>1</formula>
    </cfRule>
  </conditionalFormatting>
  <conditionalFormatting sqref="P23">
    <cfRule type="cellIs" dxfId="60" priority="11" operator="equal">
      <formula>1</formula>
    </cfRule>
    <cfRule type="cellIs" dxfId="59" priority="12" operator="lessThan">
      <formula>1</formula>
    </cfRule>
  </conditionalFormatting>
  <conditionalFormatting sqref="P24">
    <cfRule type="cellIs" dxfId="58" priority="9" operator="equal">
      <formula>1</formula>
    </cfRule>
    <cfRule type="cellIs" dxfId="57" priority="10" operator="lessThan">
      <formula>1</formula>
    </cfRule>
  </conditionalFormatting>
  <conditionalFormatting sqref="P25">
    <cfRule type="cellIs" dxfId="56" priority="7" operator="equal">
      <formula>1</formula>
    </cfRule>
    <cfRule type="cellIs" dxfId="55" priority="8" operator="lessThan">
      <formula>1</formula>
    </cfRule>
  </conditionalFormatting>
  <conditionalFormatting sqref="AC38:AC106">
    <cfRule type="cellIs" dxfId="22" priority="5" operator="equal">
      <formula>"OK"</formula>
    </cfRule>
    <cfRule type="cellIs" dxfId="21" priority="6" operator="equal">
      <formula>"NG"</formula>
    </cfRule>
  </conditionalFormatting>
  <conditionalFormatting sqref="L38:M78 L79 L80:M106">
    <cfRule type="cellIs" dxfId="20" priority="4" operator="equal">
      <formula>"PUT_VERSION"</formula>
    </cfRule>
  </conditionalFormatting>
  <conditionalFormatting sqref="M79:M106">
    <cfRule type="cellIs" dxfId="19" priority="3" operator="equal">
      <formula>"PUT_VERSION"</formula>
    </cfRule>
  </conditionalFormatting>
  <conditionalFormatting sqref="F17">
    <cfRule type="expression" dxfId="18" priority="83">
      <formula>F17=SUM(F$13:F$16)</formula>
    </cfRule>
  </conditionalFormatting>
  <dataValidations disablePrompts="1" count="2">
    <dataValidation type="list" allowBlank="1" showInputMessage="1" showErrorMessage="1" sqref="R77:R118 R38:R75">
      <formula1>"Yes,No"</formula1>
    </dataValidation>
    <dataValidation type="list" allowBlank="1" showInputMessage="1" showErrorMessage="1" sqref="AC38:AC118">
      <formula1>"OK,NG"</formula1>
    </dataValidation>
  </dataValidation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cellIs" priority="77" operator="greaterThanOrEqual" id="{462DD875-5DFE-4F37-9583-4C49F4AAD3E6}">
            <xm:f>Table!$C$4</xm:f>
            <x14:dxf>
              <font>
                <color rgb="FF006100"/>
              </font>
              <fill>
                <patternFill>
                  <bgColor rgb="FFC6EFCE"/>
                </patternFill>
              </fill>
            </x14:dxf>
          </x14:cfRule>
          <x14:cfRule type="cellIs" priority="78" operator="lessThan" id="{890A8F09-FCE6-4F3E-97EA-13615298FBCB}">
            <xm:f>Table!$C$4</xm:f>
            <x14:dxf>
              <font>
                <color rgb="FF9C0006"/>
              </font>
              <fill>
                <patternFill>
                  <bgColor rgb="FFFFC7CE"/>
                </patternFill>
              </fill>
            </x14:dxf>
          </x14:cfRule>
          <xm:sqref>G13:G17</xm:sqref>
        </x14:conditionalFormatting>
        <x14:conditionalFormatting xmlns:xm="http://schemas.microsoft.com/office/excel/2006/main">
          <x14:cfRule type="cellIs" priority="79" operator="greaterThanOrEqual" id="{F3AA9D00-F3C1-4FEB-B93D-DD4B3786E72E}">
            <xm:f>Table!$D$4</xm:f>
            <x14:dxf>
              <font>
                <color rgb="FF006100"/>
              </font>
              <fill>
                <patternFill>
                  <bgColor rgb="FFC6EFCE"/>
                </patternFill>
              </fill>
            </x14:dxf>
          </x14:cfRule>
          <x14:cfRule type="cellIs" priority="80" operator="lessThan" id="{3D1FDD5B-A393-4039-A3EA-9D071093298F}">
            <xm:f>Table!$D$4</xm:f>
            <x14:dxf>
              <font>
                <color rgb="FF9C0006"/>
              </font>
              <fill>
                <patternFill>
                  <bgColor rgb="FFFFC7CE"/>
                </patternFill>
              </fill>
            </x14:dxf>
          </x14:cfRule>
          <xm:sqref>G4:G7</xm:sqref>
        </x14:conditionalFormatting>
        <x14:conditionalFormatting xmlns:xm="http://schemas.microsoft.com/office/excel/2006/main">
          <x14:cfRule type="cellIs" priority="68" operator="greaterThanOrEqual" id="{AD869BCA-B165-4DF2-B103-EFC84BD1100C}">
            <xm:f>Table!$C$4</xm:f>
            <x14:dxf>
              <font>
                <color rgb="FF006100"/>
              </font>
              <fill>
                <patternFill>
                  <bgColor rgb="FFC6EFCE"/>
                </patternFill>
              </fill>
            </x14:dxf>
          </x14:cfRule>
          <x14:cfRule type="cellIs" priority="69" operator="lessThan" id="{C0AF593F-1D97-4753-9970-E56812F42D49}">
            <xm:f>Table!$C$4</xm:f>
            <x14:dxf>
              <font>
                <color rgb="FF9C0006"/>
              </font>
              <fill>
                <patternFill>
                  <bgColor rgb="FFFFC7CE"/>
                </patternFill>
              </fill>
            </x14:dxf>
          </x14:cfRule>
          <xm:sqref>O13:O16</xm:sqref>
        </x14:conditionalFormatting>
        <x14:conditionalFormatting xmlns:xm="http://schemas.microsoft.com/office/excel/2006/main">
          <x14:cfRule type="cellIs" priority="70" operator="greaterThanOrEqual" id="{BC810268-19EF-491E-BC29-48EC1DCB92DD}">
            <xm:f>Table!$D$4</xm:f>
            <x14:dxf>
              <font>
                <color rgb="FF006100"/>
              </font>
              <fill>
                <patternFill>
                  <bgColor rgb="FFC6EFCE"/>
                </patternFill>
              </fill>
            </x14:dxf>
          </x14:cfRule>
          <x14:cfRule type="cellIs" priority="71" operator="lessThan" id="{C7C96BF2-E9A0-4A97-BD82-E6B4A08F4501}">
            <xm:f>Table!$D$4</xm:f>
            <x14:dxf>
              <font>
                <color rgb="FF9C0006"/>
              </font>
              <fill>
                <patternFill>
                  <bgColor rgb="FFFFC7CE"/>
                </patternFill>
              </fill>
            </x14:dxf>
          </x14:cfRule>
          <xm:sqref>O4:O7</xm:sqref>
        </x14:conditionalFormatting>
        <x14:conditionalFormatting xmlns:xm="http://schemas.microsoft.com/office/excel/2006/main">
          <x14:cfRule type="cellIs" priority="64" operator="greaterThanOrEqual" id="{91FA8733-0122-4108-9BE6-2F283D768BB5}">
            <xm:f>Table!$C$4</xm:f>
            <x14:dxf>
              <font>
                <color rgb="FF006100"/>
              </font>
              <fill>
                <patternFill>
                  <bgColor rgb="FFC6EFCE"/>
                </patternFill>
              </fill>
            </x14:dxf>
          </x14:cfRule>
          <x14:cfRule type="cellIs" priority="65" operator="lessThan" id="{C893ED83-0B4B-44E9-B397-F8162FC51009}">
            <xm:f>Table!$C$4</xm:f>
            <x14:dxf>
              <font>
                <color rgb="FF9C0006"/>
              </font>
              <fill>
                <patternFill>
                  <bgColor rgb="FFFFC7CE"/>
                </patternFill>
              </fill>
            </x14:dxf>
          </x14:cfRule>
          <xm:sqref>O17</xm:sqref>
        </x14:conditionalFormatting>
        <x14:conditionalFormatting xmlns:xm="http://schemas.microsoft.com/office/excel/2006/main">
          <x14:cfRule type="cellIs" priority="53" operator="greaterThanOrEqual" id="{8AE9D241-CF96-485F-A874-67B7AAC95E35}">
            <xm:f>Table!$D$4</xm:f>
            <x14:dxf>
              <font>
                <color rgb="FF006100"/>
              </font>
              <fill>
                <patternFill>
                  <bgColor rgb="FFC6EFCE"/>
                </patternFill>
              </fill>
            </x14:dxf>
          </x14:cfRule>
          <x14:cfRule type="cellIs" priority="54" operator="lessThan" id="{4D4CE6F4-CC8B-4D6D-920F-CC7AE9668528}">
            <xm:f>Table!$D$4</xm:f>
            <x14:dxf>
              <font>
                <color rgb="FF9C0006"/>
              </font>
              <fill>
                <patternFill>
                  <bgColor rgb="FFFFC7CE"/>
                </patternFill>
              </fill>
            </x14:dxf>
          </x14:cfRule>
          <xm:sqref>G8</xm:sqref>
        </x14:conditionalFormatting>
        <x14:conditionalFormatting xmlns:xm="http://schemas.microsoft.com/office/excel/2006/main">
          <x14:cfRule type="cellIs" priority="51" operator="greaterThanOrEqual" id="{891DB34F-A29D-4C23-8F8B-3028A8385AC0}">
            <xm:f>Table!$D$4</xm:f>
            <x14:dxf>
              <font>
                <color rgb="FF006100"/>
              </font>
              <fill>
                <patternFill>
                  <bgColor rgb="FFC6EFCE"/>
                </patternFill>
              </fill>
            </x14:dxf>
          </x14:cfRule>
          <x14:cfRule type="cellIs" priority="52" operator="lessThan" id="{DD967984-E84E-4755-9907-43E0FA7B3157}">
            <xm:f>Table!$D$4</xm:f>
            <x14:dxf>
              <font>
                <color rgb="FF9C0006"/>
              </font>
              <fill>
                <patternFill>
                  <bgColor rgb="FFFFC7CE"/>
                </patternFill>
              </fill>
            </x14:dxf>
          </x14:cfRule>
          <xm:sqref>G26</xm:sqref>
        </x14:conditionalFormatting>
        <x14:conditionalFormatting xmlns:xm="http://schemas.microsoft.com/office/excel/2006/main">
          <x14:cfRule type="cellIs" priority="49" operator="greaterThanOrEqual" id="{73E89332-D868-4492-B58D-BFDE6C451C1B}">
            <xm:f>Table!$D$4</xm:f>
            <x14:dxf>
              <font>
                <color rgb="FF006100"/>
              </font>
              <fill>
                <patternFill>
                  <bgColor rgb="FFC6EFCE"/>
                </patternFill>
              </fill>
            </x14:dxf>
          </x14:cfRule>
          <x14:cfRule type="cellIs" priority="50" operator="lessThan" id="{FE404D95-BA4C-4658-AAC7-51DD9B5C0213}">
            <xm:f>Table!$D$4</xm:f>
            <x14:dxf>
              <font>
                <color rgb="FF9C0006"/>
              </font>
              <fill>
                <patternFill>
                  <bgColor rgb="FFFFC7CE"/>
                </patternFill>
              </fill>
            </x14:dxf>
          </x14:cfRule>
          <xm:sqref>G22</xm:sqref>
        </x14:conditionalFormatting>
        <x14:conditionalFormatting xmlns:xm="http://schemas.microsoft.com/office/excel/2006/main">
          <x14:cfRule type="cellIs" priority="47" operator="greaterThanOrEqual" id="{016706BE-96BC-4934-86D2-419E89EA51CC}">
            <xm:f>Table!$D$4</xm:f>
            <x14:dxf>
              <font>
                <color rgb="FF006100"/>
              </font>
              <fill>
                <patternFill>
                  <bgColor rgb="FFC6EFCE"/>
                </patternFill>
              </fill>
            </x14:dxf>
          </x14:cfRule>
          <x14:cfRule type="cellIs" priority="48" operator="lessThan" id="{0D1E3703-B90D-4854-AD3F-5038B8413F18}">
            <xm:f>Table!$D$4</xm:f>
            <x14:dxf>
              <font>
                <color rgb="FF9C0006"/>
              </font>
              <fill>
                <patternFill>
                  <bgColor rgb="FFFFC7CE"/>
                </patternFill>
              </fill>
            </x14:dxf>
          </x14:cfRule>
          <xm:sqref>G23</xm:sqref>
        </x14:conditionalFormatting>
        <x14:conditionalFormatting xmlns:xm="http://schemas.microsoft.com/office/excel/2006/main">
          <x14:cfRule type="cellIs" priority="45" operator="greaterThanOrEqual" id="{501BE06B-257F-410E-A7AE-BB71E8E1723E}">
            <xm:f>Table!$D$4</xm:f>
            <x14:dxf>
              <font>
                <color rgb="FF006100"/>
              </font>
              <fill>
                <patternFill>
                  <bgColor rgb="FFC6EFCE"/>
                </patternFill>
              </fill>
            </x14:dxf>
          </x14:cfRule>
          <x14:cfRule type="cellIs" priority="46" operator="lessThan" id="{BA708AE8-24E5-4C57-915D-F277ECEAD94F}">
            <xm:f>Table!$D$4</xm:f>
            <x14:dxf>
              <font>
                <color rgb="FF9C0006"/>
              </font>
              <fill>
                <patternFill>
                  <bgColor rgb="FFFFC7CE"/>
                </patternFill>
              </fill>
            </x14:dxf>
          </x14:cfRule>
          <xm:sqref>G24</xm:sqref>
        </x14:conditionalFormatting>
        <x14:conditionalFormatting xmlns:xm="http://schemas.microsoft.com/office/excel/2006/main">
          <x14:cfRule type="cellIs" priority="43" operator="greaterThanOrEqual" id="{59FAA78D-2A60-4232-BC33-2826D0A6D1A8}">
            <xm:f>Table!$D$4</xm:f>
            <x14:dxf>
              <font>
                <color rgb="FF006100"/>
              </font>
              <fill>
                <patternFill>
                  <bgColor rgb="FFC6EFCE"/>
                </patternFill>
              </fill>
            </x14:dxf>
          </x14:cfRule>
          <x14:cfRule type="cellIs" priority="44" operator="lessThan" id="{D7CC3265-6C83-4F75-B69C-7B763CA81453}">
            <xm:f>Table!$D$4</xm:f>
            <x14:dxf>
              <font>
                <color rgb="FF9C0006"/>
              </font>
              <fill>
                <patternFill>
                  <bgColor rgb="FFFFC7CE"/>
                </patternFill>
              </fill>
            </x14:dxf>
          </x14:cfRule>
          <xm:sqref>G25</xm:sqref>
        </x14:conditionalFormatting>
        <x14:conditionalFormatting xmlns:xm="http://schemas.microsoft.com/office/excel/2006/main">
          <x14:cfRule type="cellIs" priority="25" operator="greaterThanOrEqual" id="{1A81FF8B-679C-4B2A-AB6D-CDA55E394BE2}">
            <xm:f>Table!$D$4</xm:f>
            <x14:dxf>
              <font>
                <color rgb="FF006100"/>
              </font>
              <fill>
                <patternFill>
                  <bgColor rgb="FFC6EFCE"/>
                </patternFill>
              </fill>
            </x14:dxf>
          </x14:cfRule>
          <x14:cfRule type="cellIs" priority="26" operator="lessThan" id="{2B560631-93CA-48C6-8729-F0FB7C44C930}">
            <xm:f>Table!$D$4</xm:f>
            <x14:dxf>
              <font>
                <color rgb="FF9C0006"/>
              </font>
              <fill>
                <patternFill>
                  <bgColor rgb="FFFFC7CE"/>
                </patternFill>
              </fill>
            </x14:dxf>
          </x14:cfRule>
          <xm:sqref>O26</xm:sqref>
        </x14:conditionalFormatting>
        <x14:conditionalFormatting xmlns:xm="http://schemas.microsoft.com/office/excel/2006/main">
          <x14:cfRule type="cellIs" priority="21" operator="greaterThanOrEqual" id="{E562EB5F-CC5F-4BB2-BE4B-49F86C0E518E}">
            <xm:f>Table!$D$4</xm:f>
            <x14:dxf>
              <font>
                <color rgb="FF006100"/>
              </font>
              <fill>
                <patternFill>
                  <bgColor rgb="FFC6EFCE"/>
                </patternFill>
              </fill>
            </x14:dxf>
          </x14:cfRule>
          <x14:cfRule type="cellIs" priority="22" operator="lessThan" id="{394A01EB-688F-4195-AE2C-274C4B82DA89}">
            <xm:f>Table!$D$4</xm:f>
            <x14:dxf>
              <font>
                <color rgb="FF9C0006"/>
              </font>
              <fill>
                <patternFill>
                  <bgColor rgb="FFFFC7CE"/>
                </patternFill>
              </fill>
            </x14:dxf>
          </x14:cfRule>
          <xm:sqref>O22</xm:sqref>
        </x14:conditionalFormatting>
        <x14:conditionalFormatting xmlns:xm="http://schemas.microsoft.com/office/excel/2006/main">
          <x14:cfRule type="cellIs" priority="19" operator="greaterThanOrEqual" id="{0C777463-0DDE-440D-868D-52135CA8C03D}">
            <xm:f>Table!$D$4</xm:f>
            <x14:dxf>
              <font>
                <color rgb="FF006100"/>
              </font>
              <fill>
                <patternFill>
                  <bgColor rgb="FFC6EFCE"/>
                </patternFill>
              </fill>
            </x14:dxf>
          </x14:cfRule>
          <x14:cfRule type="cellIs" priority="20" operator="lessThan" id="{CC019B88-BCF6-42E9-A45C-516DE67240EF}">
            <xm:f>Table!$D$4</xm:f>
            <x14:dxf>
              <font>
                <color rgb="FF9C0006"/>
              </font>
              <fill>
                <patternFill>
                  <bgColor rgb="FFFFC7CE"/>
                </patternFill>
              </fill>
            </x14:dxf>
          </x14:cfRule>
          <xm:sqref>O23</xm:sqref>
        </x14:conditionalFormatting>
        <x14:conditionalFormatting xmlns:xm="http://schemas.microsoft.com/office/excel/2006/main">
          <x14:cfRule type="cellIs" priority="17" operator="greaterThanOrEqual" id="{3B9775CD-1953-4C63-B847-115F401A1BB2}">
            <xm:f>Table!$D$4</xm:f>
            <x14:dxf>
              <font>
                <color rgb="FF006100"/>
              </font>
              <fill>
                <patternFill>
                  <bgColor rgb="FFC6EFCE"/>
                </patternFill>
              </fill>
            </x14:dxf>
          </x14:cfRule>
          <x14:cfRule type="cellIs" priority="18" operator="lessThan" id="{E432E663-969A-4BAE-9FAF-BE1B8DB0C700}">
            <xm:f>Table!$D$4</xm:f>
            <x14:dxf>
              <font>
                <color rgb="FF9C0006"/>
              </font>
              <fill>
                <patternFill>
                  <bgColor rgb="FFFFC7CE"/>
                </patternFill>
              </fill>
            </x14:dxf>
          </x14:cfRule>
          <xm:sqref>O24</xm:sqref>
        </x14:conditionalFormatting>
        <x14:conditionalFormatting xmlns:xm="http://schemas.microsoft.com/office/excel/2006/main">
          <x14:cfRule type="cellIs" priority="15" operator="greaterThanOrEqual" id="{92D6238C-DB32-427B-A070-02ED9F003F98}">
            <xm:f>Table!$D$4</xm:f>
            <x14:dxf>
              <font>
                <color rgb="FF006100"/>
              </font>
              <fill>
                <patternFill>
                  <bgColor rgb="FFC6EFCE"/>
                </patternFill>
              </fill>
            </x14:dxf>
          </x14:cfRule>
          <x14:cfRule type="cellIs" priority="16" operator="lessThan" id="{F25DF904-04A1-4FA2-99D6-9EC560F55217}">
            <xm:f>Table!$D$4</xm:f>
            <x14:dxf>
              <font>
                <color rgb="FF9C0006"/>
              </font>
              <fill>
                <patternFill>
                  <bgColor rgb="FFFFC7CE"/>
                </patternFill>
              </fill>
            </x14:dxf>
          </x14:cfRule>
          <xm:sqref>O25</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Table!$C$24:$C$30</xm:f>
          </x14:formula1>
          <xm:sqref>X38:X118</xm:sqref>
        </x14:dataValidation>
        <x14:dataValidation type="list" allowBlank="1" showInputMessage="1" showErrorMessage="1">
          <x14:formula1>
            <xm:f>Table!$C$8:$C$9</xm:f>
          </x14:formula1>
          <xm:sqref>D38:D118</xm:sqref>
        </x14:dataValidation>
        <x14:dataValidation type="list" allowBlank="1" showInputMessage="1" showErrorMessage="1">
          <x14:formula1>
            <xm:f>Table!$C$13:$C$20</xm:f>
          </x14:formula1>
          <xm:sqref>P38:Q118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customSheetViews>
    <customSheetView guid="{250915DF-0B97-45D7-B29D-7EED4C89C1C1}">
      <pageMargins left="0.7" right="0.7" top="0.75" bottom="0.75" header="0.3" footer="0.3"/>
    </customSheetView>
    <customSheetView guid="{7ECC2B8E-6A82-42F5-8AB0-4A51C54EA5EC}">
      <pageMargins left="0.7" right="0.7" top="0.75" bottom="0.75" header="0.3" footer="0.3"/>
    </customSheetView>
    <customSheetView guid="{336B6883-2145-4B58-921E-CEC7185A847E}">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99"/>
  <sheetViews>
    <sheetView zoomScale="70" zoomScaleNormal="70" workbookViewId="0">
      <selection activeCell="E8" sqref="E8"/>
    </sheetView>
  </sheetViews>
  <sheetFormatPr defaultRowHeight="15" x14ac:dyDescent="0.25"/>
  <cols>
    <col min="2" max="2" width="12.5703125" customWidth="1"/>
    <col min="4" max="4" width="20.85546875" customWidth="1"/>
    <col min="5" max="5" width="21" customWidth="1"/>
    <col min="6" max="6" width="23.5703125" customWidth="1"/>
    <col min="8" max="8" width="26.28515625" customWidth="1"/>
    <col min="9" max="9" width="29.140625" customWidth="1"/>
  </cols>
  <sheetData>
    <row r="1" spans="1:8" x14ac:dyDescent="0.25">
      <c r="A1" s="1" t="s">
        <v>47</v>
      </c>
      <c r="B1" s="68">
        <v>43896</v>
      </c>
      <c r="D1" s="68">
        <v>43910</v>
      </c>
      <c r="F1" s="7"/>
    </row>
    <row r="2" spans="1:8" x14ac:dyDescent="0.25">
      <c r="A2" s="1" t="s">
        <v>34</v>
      </c>
      <c r="B2" s="8">
        <f>SUM(INT((WEEKDAY(B1-{2,3,4,5,6}) +D1-B1)/7))</f>
        <v>11</v>
      </c>
    </row>
    <row r="3" spans="1:8" x14ac:dyDescent="0.25">
      <c r="A3" s="1" t="s">
        <v>758</v>
      </c>
      <c r="B3" s="8">
        <v>0</v>
      </c>
    </row>
    <row r="4" spans="1:8" x14ac:dyDescent="0.25">
      <c r="A4" s="1" t="s">
        <v>289</v>
      </c>
      <c r="B4">
        <f ca="1">IF(TODAY()&lt;D1,SUM(INT((WEEKDAY(B1-{2,3,4,5,6})+TODAY()-B1)/7)),SUM(INT((WEEKDAY(B1-{2,3,4,5,6})+D1-B1)/7)))-B3</f>
        <v>11</v>
      </c>
    </row>
    <row r="5" spans="1:8" x14ac:dyDescent="0.25">
      <c r="A5" s="1"/>
    </row>
    <row r="6" spans="1:8" x14ac:dyDescent="0.25">
      <c r="B6" s="1" t="s">
        <v>38</v>
      </c>
    </row>
    <row r="7" spans="1:8" ht="30" x14ac:dyDescent="0.25">
      <c r="C7" s="72" t="s">
        <v>29</v>
      </c>
      <c r="D7" s="72" t="s">
        <v>30</v>
      </c>
      <c r="E7" s="72" t="s">
        <v>31</v>
      </c>
      <c r="F7" s="72" t="s">
        <v>32</v>
      </c>
      <c r="G7" s="12" t="s">
        <v>229</v>
      </c>
      <c r="H7" s="12" t="s">
        <v>33</v>
      </c>
    </row>
    <row r="8" spans="1:8" x14ac:dyDescent="0.25">
      <c r="C8" s="9">
        <v>1</v>
      </c>
      <c r="D8" s="71" t="s">
        <v>3</v>
      </c>
      <c r="E8" s="71">
        <v>720</v>
      </c>
      <c r="F8" s="71">
        <v>720</v>
      </c>
      <c r="G8" s="71">
        <v>1.6</v>
      </c>
      <c r="H8" s="78">
        <v>1</v>
      </c>
    </row>
    <row r="9" spans="1:8" x14ac:dyDescent="0.25">
      <c r="C9" s="9">
        <v>2</v>
      </c>
      <c r="D9" s="71" t="s">
        <v>2</v>
      </c>
      <c r="E9" s="71">
        <v>6644.0020000000004</v>
      </c>
      <c r="F9" s="71">
        <v>3433.96</v>
      </c>
      <c r="G9" s="71">
        <v>51.107707692307699</v>
      </c>
      <c r="H9" s="78">
        <v>0.51685113881663491</v>
      </c>
    </row>
    <row r="10" spans="1:8" x14ac:dyDescent="0.25">
      <c r="C10" s="65"/>
      <c r="D10" s="45"/>
      <c r="E10" s="45"/>
      <c r="F10" s="45"/>
      <c r="G10" s="66"/>
    </row>
    <row r="11" spans="1:8" x14ac:dyDescent="0.25">
      <c r="B11" s="1" t="s">
        <v>39</v>
      </c>
    </row>
    <row r="12" spans="1:8" ht="30" x14ac:dyDescent="0.25">
      <c r="C12" s="72" t="s">
        <v>29</v>
      </c>
      <c r="D12" s="72" t="s">
        <v>35</v>
      </c>
      <c r="E12" s="12" t="s">
        <v>36</v>
      </c>
      <c r="F12" s="12" t="s">
        <v>37</v>
      </c>
      <c r="G12" s="12" t="s">
        <v>229</v>
      </c>
    </row>
    <row r="13" spans="1:8" x14ac:dyDescent="0.25">
      <c r="C13" s="43">
        <v>1</v>
      </c>
      <c r="D13" s="43" t="s">
        <v>315</v>
      </c>
      <c r="E13" s="71">
        <v>225</v>
      </c>
      <c r="F13" s="71">
        <v>1088.672</v>
      </c>
      <c r="G13" s="71">
        <v>8.8743999999999996</v>
      </c>
    </row>
    <row r="14" spans="1:8" x14ac:dyDescent="0.25">
      <c r="C14" s="43">
        <v>2</v>
      </c>
      <c r="D14" s="43" t="s">
        <v>316</v>
      </c>
      <c r="E14" s="71">
        <v>0</v>
      </c>
      <c r="F14" s="71">
        <v>1085.0970000000002</v>
      </c>
      <c r="G14" s="71">
        <v>8.3469000000000015</v>
      </c>
    </row>
    <row r="15" spans="1:8" x14ac:dyDescent="0.25">
      <c r="C15" s="43">
        <v>3</v>
      </c>
      <c r="D15" s="43" t="s">
        <v>317</v>
      </c>
      <c r="E15" s="71">
        <v>495</v>
      </c>
      <c r="F15" s="71">
        <v>286</v>
      </c>
      <c r="G15" s="71">
        <v>3.3</v>
      </c>
    </row>
    <row r="16" spans="1:8" x14ac:dyDescent="0.25">
      <c r="C16" s="43">
        <v>4</v>
      </c>
      <c r="D16" s="43" t="s">
        <v>318</v>
      </c>
      <c r="E16" s="71">
        <v>0</v>
      </c>
      <c r="F16" s="71">
        <v>974.19099999999992</v>
      </c>
      <c r="G16" s="71">
        <v>7.493776923076922</v>
      </c>
    </row>
    <row r="17" spans="2:7" x14ac:dyDescent="0.25">
      <c r="C17" s="44"/>
      <c r="D17" s="44"/>
      <c r="E17" s="45"/>
      <c r="F17" s="45"/>
    </row>
    <row r="18" spans="2:7" x14ac:dyDescent="0.25">
      <c r="B18" s="1" t="s">
        <v>40</v>
      </c>
    </row>
    <row r="19" spans="2:7" x14ac:dyDescent="0.25">
      <c r="C19" s="72" t="s">
        <v>29</v>
      </c>
      <c r="D19" s="114" t="s">
        <v>41</v>
      </c>
      <c r="E19" s="114"/>
      <c r="F19" s="114"/>
      <c r="G19" s="114"/>
    </row>
    <row r="20" spans="2:7" x14ac:dyDescent="0.25">
      <c r="C20" s="43">
        <v>1</v>
      </c>
      <c r="D20" s="115" t="s">
        <v>70</v>
      </c>
      <c r="E20" s="116"/>
      <c r="F20" s="116"/>
      <c r="G20" s="116"/>
    </row>
    <row r="21" spans="2:7" x14ac:dyDescent="0.25">
      <c r="C21" s="43">
        <v>2</v>
      </c>
      <c r="D21" s="116" t="s">
        <v>70</v>
      </c>
      <c r="E21" s="116"/>
      <c r="F21" s="116"/>
      <c r="G21" s="116"/>
    </row>
    <row r="22" spans="2:7" x14ac:dyDescent="0.25">
      <c r="C22" s="43">
        <v>3</v>
      </c>
      <c r="D22" s="116" t="s">
        <v>70</v>
      </c>
      <c r="E22" s="116"/>
      <c r="F22" s="116"/>
      <c r="G22" s="116"/>
    </row>
    <row r="23" spans="2:7" x14ac:dyDescent="0.25">
      <c r="C23" s="43">
        <v>4</v>
      </c>
      <c r="D23" s="116" t="s">
        <v>70</v>
      </c>
      <c r="E23" s="116"/>
      <c r="F23" s="116"/>
      <c r="G23" s="116"/>
    </row>
    <row r="25" spans="2:7" x14ac:dyDescent="0.25">
      <c r="B25" s="1" t="s">
        <v>42</v>
      </c>
    </row>
    <row r="26" spans="2:7" x14ac:dyDescent="0.25">
      <c r="C26" s="72" t="s">
        <v>29</v>
      </c>
      <c r="D26" s="114" t="s">
        <v>44</v>
      </c>
      <c r="E26" s="114"/>
      <c r="F26" s="114"/>
      <c r="G26" s="114"/>
    </row>
    <row r="27" spans="2:7" x14ac:dyDescent="0.25">
      <c r="C27" s="43">
        <v>1</v>
      </c>
      <c r="D27" s="74" t="s">
        <v>70</v>
      </c>
      <c r="E27" s="75"/>
      <c r="F27" s="75"/>
      <c r="G27" s="76"/>
    </row>
    <row r="28" spans="2:7" x14ac:dyDescent="0.25">
      <c r="C28" s="43">
        <v>2</v>
      </c>
      <c r="D28" s="74" t="s">
        <v>70</v>
      </c>
      <c r="E28" s="75"/>
      <c r="F28" s="75"/>
      <c r="G28" s="76"/>
    </row>
    <row r="29" spans="2:7" x14ac:dyDescent="0.25">
      <c r="C29" s="43">
        <v>3</v>
      </c>
      <c r="D29" s="74" t="s">
        <v>70</v>
      </c>
      <c r="E29" s="75"/>
      <c r="F29" s="75"/>
      <c r="G29" s="76"/>
    </row>
    <row r="30" spans="2:7" x14ac:dyDescent="0.25">
      <c r="C30" s="43">
        <v>4</v>
      </c>
      <c r="D30" s="74" t="s">
        <v>70</v>
      </c>
      <c r="E30" s="75"/>
      <c r="F30" s="75"/>
      <c r="G30" s="76"/>
    </row>
    <row r="32" spans="2:7" x14ac:dyDescent="0.25">
      <c r="B32" s="1" t="s">
        <v>43</v>
      </c>
    </row>
    <row r="33" spans="2:6" x14ac:dyDescent="0.25">
      <c r="C33" s="72" t="s">
        <v>29</v>
      </c>
      <c r="D33" s="72" t="s">
        <v>35</v>
      </c>
      <c r="E33" s="12" t="s">
        <v>45</v>
      </c>
      <c r="F33" s="12" t="s">
        <v>46</v>
      </c>
    </row>
    <row r="34" spans="2:6" x14ac:dyDescent="0.25">
      <c r="C34" s="43">
        <v>1</v>
      </c>
      <c r="D34" s="43" t="s">
        <v>315</v>
      </c>
      <c r="E34" s="73" t="s">
        <v>70</v>
      </c>
      <c r="F34" s="73" t="s">
        <v>70</v>
      </c>
    </row>
    <row r="35" spans="2:6" x14ac:dyDescent="0.25">
      <c r="C35" s="43">
        <v>2</v>
      </c>
      <c r="D35" s="43" t="s">
        <v>316</v>
      </c>
      <c r="E35" s="73" t="s">
        <v>70</v>
      </c>
      <c r="F35" s="73" t="s">
        <v>70</v>
      </c>
    </row>
    <row r="36" spans="2:6" x14ac:dyDescent="0.25">
      <c r="C36" s="43">
        <v>3</v>
      </c>
      <c r="D36" s="43" t="s">
        <v>317</v>
      </c>
      <c r="E36" s="73">
        <v>10</v>
      </c>
      <c r="F36" s="89" t="s">
        <v>759</v>
      </c>
    </row>
    <row r="37" spans="2:6" x14ac:dyDescent="0.25">
      <c r="C37" s="43">
        <v>4</v>
      </c>
      <c r="D37" s="43" t="s">
        <v>318</v>
      </c>
      <c r="E37" s="73" t="s">
        <v>70</v>
      </c>
      <c r="F37" s="73" t="s">
        <v>70</v>
      </c>
    </row>
    <row r="38" spans="2:6" x14ac:dyDescent="0.25">
      <c r="C38" s="44"/>
      <c r="D38" s="44"/>
      <c r="E38" s="45"/>
      <c r="F38" s="44"/>
    </row>
    <row r="40" spans="2:6" x14ac:dyDescent="0.25">
      <c r="B40" s="1" t="s">
        <v>48</v>
      </c>
    </row>
    <row r="41" spans="2:6" x14ac:dyDescent="0.25">
      <c r="C41" s="1" t="s">
        <v>50</v>
      </c>
    </row>
    <row r="42" spans="2:6" x14ac:dyDescent="0.25">
      <c r="D42" t="s">
        <v>49</v>
      </c>
    </row>
    <row r="43" spans="2:6" x14ac:dyDescent="0.25">
      <c r="D43" t="s">
        <v>217</v>
      </c>
    </row>
    <row r="44" spans="2:6" x14ac:dyDescent="0.25">
      <c r="C44" s="1" t="s">
        <v>51</v>
      </c>
    </row>
    <row r="45" spans="2:6" x14ac:dyDescent="0.25">
      <c r="D45" t="s">
        <v>52</v>
      </c>
    </row>
    <row r="46" spans="2:6" x14ac:dyDescent="0.25">
      <c r="D46" t="s">
        <v>53</v>
      </c>
    </row>
    <row r="49" spans="1:9" x14ac:dyDescent="0.25">
      <c r="B49" s="1" t="s">
        <v>493</v>
      </c>
    </row>
    <row r="50" spans="1:9" x14ac:dyDescent="0.25">
      <c r="A50" s="1">
        <v>1</v>
      </c>
      <c r="B50" s="1" t="s">
        <v>65</v>
      </c>
      <c r="C50" s="1" t="s">
        <v>162</v>
      </c>
    </row>
    <row r="51" spans="1:9" x14ac:dyDescent="0.25">
      <c r="B51" s="1" t="s">
        <v>461</v>
      </c>
      <c r="C51" s="67">
        <v>13.961250000000003</v>
      </c>
      <c r="D51" t="s">
        <v>462</v>
      </c>
    </row>
    <row r="52" spans="1:9" x14ac:dyDescent="0.25">
      <c r="B52" s="1" t="s">
        <v>474</v>
      </c>
      <c r="C52" s="8">
        <v>4</v>
      </c>
      <c r="D52" t="s">
        <v>462</v>
      </c>
      <c r="E52" t="s">
        <v>341</v>
      </c>
      <c r="F52" s="7">
        <v>43896</v>
      </c>
      <c r="G52" s="7" t="s">
        <v>342</v>
      </c>
      <c r="H52" s="7">
        <v>43901</v>
      </c>
    </row>
    <row r="53" spans="1:9" x14ac:dyDescent="0.25">
      <c r="B53" s="1" t="s">
        <v>475</v>
      </c>
      <c r="C53" s="8">
        <v>6</v>
      </c>
      <c r="D53" t="s">
        <v>462</v>
      </c>
      <c r="E53" t="s">
        <v>341</v>
      </c>
      <c r="F53" s="7">
        <v>43896</v>
      </c>
      <c r="G53" s="7" t="s">
        <v>342</v>
      </c>
      <c r="H53" s="7">
        <v>43903</v>
      </c>
    </row>
    <row r="54" spans="1:9" x14ac:dyDescent="0.25">
      <c r="B54" s="1" t="s">
        <v>18</v>
      </c>
      <c r="C54" t="s">
        <v>492</v>
      </c>
    </row>
    <row r="56" spans="1:9" ht="30" x14ac:dyDescent="0.25">
      <c r="C56" s="72" t="s">
        <v>29</v>
      </c>
      <c r="D56" s="72" t="s">
        <v>30</v>
      </c>
      <c r="E56" s="12" t="s">
        <v>463</v>
      </c>
      <c r="F56" s="12" t="s">
        <v>464</v>
      </c>
      <c r="G56" s="12" t="s">
        <v>465</v>
      </c>
      <c r="H56" s="12" t="s">
        <v>466</v>
      </c>
      <c r="I56" s="12" t="s">
        <v>33</v>
      </c>
    </row>
    <row r="57" spans="1:9" x14ac:dyDescent="0.25">
      <c r="C57" s="9">
        <v>1</v>
      </c>
      <c r="D57" s="71" t="s">
        <v>3</v>
      </c>
      <c r="E57" s="71">
        <v>0</v>
      </c>
      <c r="F57" s="71">
        <v>0</v>
      </c>
      <c r="G57" s="71">
        <v>0</v>
      </c>
      <c r="H57" s="71">
        <v>0</v>
      </c>
      <c r="I57" s="78" t="s">
        <v>21</v>
      </c>
    </row>
    <row r="58" spans="1:9" x14ac:dyDescent="0.25">
      <c r="C58" s="9">
        <v>2</v>
      </c>
      <c r="D58" s="71" t="s">
        <v>2</v>
      </c>
      <c r="E58" s="71">
        <v>1814.972</v>
      </c>
      <c r="F58" s="71">
        <v>1814.972</v>
      </c>
      <c r="G58" s="71">
        <v>13.961250000000003</v>
      </c>
      <c r="H58" s="71">
        <v>16.5</v>
      </c>
      <c r="I58" s="78">
        <v>1</v>
      </c>
    </row>
    <row r="60" spans="1:9" x14ac:dyDescent="0.25">
      <c r="C60" t="s">
        <v>468</v>
      </c>
    </row>
    <row r="61" spans="1:9" x14ac:dyDescent="0.25">
      <c r="D61" s="69" t="s">
        <v>489</v>
      </c>
    </row>
    <row r="62" spans="1:9" x14ac:dyDescent="0.25">
      <c r="D62" s="69" t="s">
        <v>490</v>
      </c>
    </row>
    <row r="64" spans="1:9" x14ac:dyDescent="0.25">
      <c r="A64" s="1">
        <v>2</v>
      </c>
      <c r="B64" s="1" t="s">
        <v>65</v>
      </c>
      <c r="C64" s="1" t="s">
        <v>209</v>
      </c>
    </row>
    <row r="65" spans="1:9" x14ac:dyDescent="0.25">
      <c r="B65" s="1" t="s">
        <v>461</v>
      </c>
      <c r="C65" s="67">
        <v>1.1000000000000001</v>
      </c>
      <c r="D65" t="s">
        <v>462</v>
      </c>
    </row>
    <row r="66" spans="1:9" x14ac:dyDescent="0.25">
      <c r="B66" s="1" t="s">
        <v>474</v>
      </c>
      <c r="C66" s="8">
        <v>1.1000000000000001</v>
      </c>
      <c r="D66" t="s">
        <v>462</v>
      </c>
      <c r="E66" t="s">
        <v>341</v>
      </c>
      <c r="F66" s="7">
        <v>43896</v>
      </c>
      <c r="G66" s="7" t="s">
        <v>469</v>
      </c>
      <c r="H66" s="7">
        <v>43899</v>
      </c>
    </row>
    <row r="67" spans="1:9" x14ac:dyDescent="0.25">
      <c r="B67" s="1" t="s">
        <v>475</v>
      </c>
      <c r="C67" s="8">
        <v>1</v>
      </c>
      <c r="D67" t="s">
        <v>462</v>
      </c>
      <c r="E67" t="s">
        <v>341</v>
      </c>
      <c r="F67" s="7">
        <v>43896</v>
      </c>
      <c r="G67" s="7" t="s">
        <v>469</v>
      </c>
      <c r="H67" s="7">
        <v>43899</v>
      </c>
    </row>
    <row r="68" spans="1:9" x14ac:dyDescent="0.25">
      <c r="B68" s="1" t="s">
        <v>18</v>
      </c>
      <c r="C68" t="s">
        <v>470</v>
      </c>
    </row>
    <row r="70" spans="1:9" ht="30" x14ac:dyDescent="0.25">
      <c r="C70" s="72" t="s">
        <v>29</v>
      </c>
      <c r="D70" s="72" t="s">
        <v>30</v>
      </c>
      <c r="E70" s="12" t="s">
        <v>463</v>
      </c>
      <c r="F70" s="12" t="s">
        <v>464</v>
      </c>
      <c r="G70" s="12" t="s">
        <v>465</v>
      </c>
      <c r="H70" s="12" t="s">
        <v>466</v>
      </c>
      <c r="I70" s="12" t="s">
        <v>33</v>
      </c>
    </row>
    <row r="71" spans="1:9" x14ac:dyDescent="0.25">
      <c r="C71" s="9">
        <v>1</v>
      </c>
      <c r="D71" s="71" t="s">
        <v>3</v>
      </c>
      <c r="E71" s="71">
        <v>0</v>
      </c>
      <c r="F71" s="71">
        <v>0</v>
      </c>
      <c r="G71" s="71">
        <v>0</v>
      </c>
      <c r="H71" s="71">
        <v>0</v>
      </c>
      <c r="I71" s="78" t="s">
        <v>21</v>
      </c>
    </row>
    <row r="72" spans="1:9" x14ac:dyDescent="0.25">
      <c r="C72" s="9">
        <v>2</v>
      </c>
      <c r="D72" s="71" t="s">
        <v>2</v>
      </c>
      <c r="E72" s="71">
        <v>143</v>
      </c>
      <c r="F72" s="71">
        <v>143</v>
      </c>
      <c r="G72" s="71">
        <v>1.1000000000000001</v>
      </c>
      <c r="H72" s="71">
        <v>1.5</v>
      </c>
      <c r="I72" s="78">
        <v>1</v>
      </c>
    </row>
    <row r="74" spans="1:9" x14ac:dyDescent="0.25">
      <c r="C74" t="s">
        <v>468</v>
      </c>
    </row>
    <row r="75" spans="1:9" x14ac:dyDescent="0.25">
      <c r="D75" s="69" t="s">
        <v>491</v>
      </c>
    </row>
    <row r="77" spans="1:9" x14ac:dyDescent="0.25">
      <c r="A77" s="1">
        <v>3</v>
      </c>
      <c r="B77" s="1" t="s">
        <v>65</v>
      </c>
      <c r="C77" s="1" t="s">
        <v>286</v>
      </c>
    </row>
    <row r="78" spans="1:9" x14ac:dyDescent="0.25">
      <c r="B78" s="1" t="s">
        <v>461</v>
      </c>
      <c r="C78" s="67">
        <v>12.55</v>
      </c>
      <c r="D78" t="s">
        <v>462</v>
      </c>
    </row>
    <row r="79" spans="1:9" x14ac:dyDescent="0.25">
      <c r="B79" s="1" t="s">
        <v>474</v>
      </c>
      <c r="C79">
        <v>3.375</v>
      </c>
      <c r="D79" t="s">
        <v>462</v>
      </c>
      <c r="E79" t="s">
        <v>343</v>
      </c>
      <c r="F79" s="7">
        <v>43906</v>
      </c>
      <c r="G79" s="7" t="s">
        <v>342</v>
      </c>
      <c r="H79" s="7">
        <v>43909</v>
      </c>
    </row>
    <row r="80" spans="1:9" x14ac:dyDescent="0.25">
      <c r="B80" s="1" t="s">
        <v>475</v>
      </c>
      <c r="C80">
        <v>3.375</v>
      </c>
      <c r="D80" t="s">
        <v>462</v>
      </c>
      <c r="E80" t="s">
        <v>341</v>
      </c>
      <c r="F80" s="7">
        <v>43907</v>
      </c>
      <c r="G80" s="7" t="s">
        <v>473</v>
      </c>
      <c r="H80" s="7">
        <v>43910</v>
      </c>
    </row>
    <row r="81" spans="1:9" x14ac:dyDescent="0.25">
      <c r="B81" s="1" t="s">
        <v>18</v>
      </c>
      <c r="C81" t="s">
        <v>492</v>
      </c>
    </row>
    <row r="83" spans="1:9" ht="30" x14ac:dyDescent="0.25">
      <c r="C83" s="72" t="s">
        <v>29</v>
      </c>
      <c r="D83" s="72" t="s">
        <v>30</v>
      </c>
      <c r="E83" s="12" t="s">
        <v>463</v>
      </c>
      <c r="F83" s="12" t="s">
        <v>464</v>
      </c>
      <c r="G83" s="12" t="s">
        <v>465</v>
      </c>
      <c r="H83" s="12" t="s">
        <v>466</v>
      </c>
      <c r="I83" s="12" t="s">
        <v>33</v>
      </c>
    </row>
    <row r="84" spans="1:9" x14ac:dyDescent="0.25">
      <c r="C84" s="9">
        <v>1</v>
      </c>
      <c r="D84" s="71" t="s">
        <v>3</v>
      </c>
      <c r="E84" s="71">
        <v>720</v>
      </c>
      <c r="F84" s="71">
        <v>720</v>
      </c>
      <c r="G84" s="71">
        <v>1.6</v>
      </c>
      <c r="H84" s="71">
        <v>1.5</v>
      </c>
      <c r="I84" s="78">
        <v>1</v>
      </c>
    </row>
    <row r="85" spans="1:9" x14ac:dyDescent="0.25">
      <c r="C85" s="9">
        <v>2</v>
      </c>
      <c r="D85" s="71" t="s">
        <v>2</v>
      </c>
      <c r="E85" s="71">
        <v>1423.5</v>
      </c>
      <c r="F85" s="71">
        <v>1423.5</v>
      </c>
      <c r="G85" s="71">
        <v>10.950000000000001</v>
      </c>
      <c r="H85" s="71">
        <v>12.024999999999999</v>
      </c>
      <c r="I85" s="78">
        <v>1</v>
      </c>
    </row>
    <row r="87" spans="1:9" x14ac:dyDescent="0.25">
      <c r="C87" t="s">
        <v>468</v>
      </c>
    </row>
    <row r="88" spans="1:9" x14ac:dyDescent="0.25">
      <c r="D88" s="69" t="s">
        <v>488</v>
      </c>
    </row>
    <row r="90" spans="1:9" x14ac:dyDescent="0.25">
      <c r="A90" s="1">
        <v>4</v>
      </c>
      <c r="B90" s="1" t="s">
        <v>65</v>
      </c>
      <c r="C90" s="1" t="s">
        <v>455</v>
      </c>
    </row>
    <row r="91" spans="1:9" x14ac:dyDescent="0.25">
      <c r="B91" s="1" t="s">
        <v>461</v>
      </c>
      <c r="C91" s="67">
        <v>25.096250000000001</v>
      </c>
      <c r="D91" t="s">
        <v>462</v>
      </c>
    </row>
    <row r="92" spans="1:9" x14ac:dyDescent="0.25">
      <c r="B92" s="1" t="s">
        <v>289</v>
      </c>
      <c r="C92">
        <v>7</v>
      </c>
      <c r="D92" t="s">
        <v>462</v>
      </c>
      <c r="E92" t="s">
        <v>341</v>
      </c>
      <c r="F92" s="7">
        <v>43910</v>
      </c>
      <c r="G92" s="7" t="s">
        <v>342</v>
      </c>
      <c r="H92" s="7">
        <v>43920</v>
      </c>
    </row>
    <row r="93" spans="1:9" x14ac:dyDescent="0.25">
      <c r="B93" s="1" t="s">
        <v>18</v>
      </c>
    </row>
    <row r="95" spans="1:9" ht="30" x14ac:dyDescent="0.25">
      <c r="C95" s="72" t="s">
        <v>29</v>
      </c>
      <c r="D95" s="72" t="s">
        <v>30</v>
      </c>
      <c r="E95" s="12" t="s">
        <v>463</v>
      </c>
      <c r="F95" s="12" t="s">
        <v>464</v>
      </c>
      <c r="G95" s="12" t="s">
        <v>465</v>
      </c>
      <c r="H95" s="12" t="s">
        <v>466</v>
      </c>
      <c r="I95" s="12" t="s">
        <v>33</v>
      </c>
    </row>
    <row r="96" spans="1:9" x14ac:dyDescent="0.25">
      <c r="C96" s="9">
        <v>1</v>
      </c>
      <c r="D96" s="71" t="s">
        <v>3</v>
      </c>
      <c r="E96" s="71">
        <v>0</v>
      </c>
      <c r="F96" s="71">
        <v>0</v>
      </c>
      <c r="G96" s="71">
        <v>0</v>
      </c>
      <c r="H96" s="71">
        <v>0</v>
      </c>
      <c r="I96" s="78" t="s">
        <v>21</v>
      </c>
    </row>
    <row r="97" spans="3:9" x14ac:dyDescent="0.25">
      <c r="C97" s="9">
        <v>2</v>
      </c>
      <c r="D97" s="71" t="s">
        <v>2</v>
      </c>
      <c r="E97" s="71">
        <v>3262.5299999999993</v>
      </c>
      <c r="F97" s="71">
        <v>52.488000000000284</v>
      </c>
      <c r="G97" s="71">
        <v>25.096250000000001</v>
      </c>
      <c r="H97" s="71">
        <v>1</v>
      </c>
      <c r="I97" s="78">
        <v>1.6088127925260549E-2</v>
      </c>
    </row>
    <row r="99" spans="3:9" x14ac:dyDescent="0.25">
      <c r="C99" t="s">
        <v>468</v>
      </c>
    </row>
  </sheetData>
  <customSheetViews>
    <customSheetView guid="{250915DF-0B97-45D7-B29D-7EED4C89C1C1}" scale="70" topLeftCell="A13">
      <selection sqref="A1:H46"/>
      <pageMargins left="0.7" right="0.7" top="0.75" bottom="0.75" header="0.3" footer="0.3"/>
      <pageSetup orientation="portrait" r:id="rId1"/>
    </customSheetView>
    <customSheetView guid="{A2C66332-A809-458E-971B-FDB6D62C74C3}" scale="70" topLeftCell="A49">
      <selection activeCell="G8" sqref="G8"/>
      <pageMargins left="0.7" right="0.7" top="0.75" bottom="0.75" header="0.3" footer="0.3"/>
      <pageSetup orientation="portrait" r:id="rId2"/>
    </customSheetView>
    <customSheetView guid="{7ECC2B8E-6A82-42F5-8AB0-4A51C54EA5EC}" scale="70" topLeftCell="A88">
      <selection activeCell="G15" sqref="G15"/>
      <pageMargins left="0.7" right="0.7" top="0.75" bottom="0.75" header="0.3" footer="0.3"/>
      <pageSetup orientation="portrait" r:id="rId3"/>
    </customSheetView>
    <customSheetView guid="{336B6883-2145-4B58-921E-CEC7185A847E}" scale="70" topLeftCell="A88">
      <selection activeCell="G15" sqref="G15"/>
      <pageMargins left="0.7" right="0.7" top="0.75" bottom="0.75" header="0.3" footer="0.3"/>
      <pageSetup orientation="portrait" r:id="rId4"/>
    </customSheetView>
  </customSheetViews>
  <mergeCells count="6">
    <mergeCell ref="D26:G26"/>
    <mergeCell ref="D19:G19"/>
    <mergeCell ref="D20:G20"/>
    <mergeCell ref="D21:G21"/>
    <mergeCell ref="D22:G22"/>
    <mergeCell ref="D23:G23"/>
  </mergeCells>
  <conditionalFormatting sqref="H57">
    <cfRule type="cellIs" dxfId="17" priority="18" operator="greaterThan">
      <formula>G57</formula>
    </cfRule>
  </conditionalFormatting>
  <conditionalFormatting sqref="H58">
    <cfRule type="cellIs" dxfId="16" priority="17" operator="greaterThan">
      <formula>G58</formula>
    </cfRule>
  </conditionalFormatting>
  <conditionalFormatting sqref="H71">
    <cfRule type="cellIs" dxfId="15" priority="16" operator="greaterThan">
      <formula>G71</formula>
    </cfRule>
  </conditionalFormatting>
  <conditionalFormatting sqref="H72">
    <cfRule type="cellIs" dxfId="14" priority="15" operator="greaterThan">
      <formula>G72</formula>
    </cfRule>
  </conditionalFormatting>
  <conditionalFormatting sqref="H84">
    <cfRule type="cellIs" dxfId="13" priority="14" operator="greaterThan">
      <formula>G84</formula>
    </cfRule>
  </conditionalFormatting>
  <conditionalFormatting sqref="H85">
    <cfRule type="cellIs" dxfId="12" priority="13" operator="greaterThan">
      <formula>G85</formula>
    </cfRule>
  </conditionalFormatting>
  <conditionalFormatting sqref="H96">
    <cfRule type="cellIs" dxfId="11" priority="12" operator="greaterThan">
      <formula>G96</formula>
    </cfRule>
  </conditionalFormatting>
  <conditionalFormatting sqref="H97">
    <cfRule type="cellIs" dxfId="10" priority="11" operator="greaterThan">
      <formula>G97</formula>
    </cfRule>
  </conditionalFormatting>
  <conditionalFormatting sqref="H8:H9">
    <cfRule type="cellIs" dxfId="9" priority="9" operator="equal">
      <formula>1</formula>
    </cfRule>
    <cfRule type="cellIs" dxfId="8" priority="10" operator="lessThan">
      <formula>1</formula>
    </cfRule>
  </conditionalFormatting>
  <conditionalFormatting sqref="I57:I58">
    <cfRule type="cellIs" dxfId="7" priority="7" operator="equal">
      <formula>1</formula>
    </cfRule>
    <cfRule type="cellIs" dxfId="6" priority="8" operator="lessThan">
      <formula>1</formula>
    </cfRule>
  </conditionalFormatting>
  <conditionalFormatting sqref="I71:I72">
    <cfRule type="cellIs" dxfId="5" priority="5" operator="equal">
      <formula>1</formula>
    </cfRule>
    <cfRule type="cellIs" dxfId="4" priority="6" operator="lessThan">
      <formula>1</formula>
    </cfRule>
  </conditionalFormatting>
  <conditionalFormatting sqref="I84:I85">
    <cfRule type="cellIs" dxfId="3" priority="3" operator="equal">
      <formula>1</formula>
    </cfRule>
    <cfRule type="cellIs" dxfId="2" priority="4" operator="lessThan">
      <formula>1</formula>
    </cfRule>
  </conditionalFormatting>
  <conditionalFormatting sqref="I96:I97">
    <cfRule type="cellIs" dxfId="1" priority="1" operator="equal">
      <formula>1</formula>
    </cfRule>
    <cfRule type="cellIs" dxfId="0" priority="2" operator="lessThan">
      <formula>1</formula>
    </cfRule>
  </conditionalFormatting>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6"/>
  <sheetViews>
    <sheetView workbookViewId="0">
      <selection activeCell="H31" sqref="H31"/>
    </sheetView>
  </sheetViews>
  <sheetFormatPr defaultRowHeight="15" x14ac:dyDescent="0.25"/>
  <cols>
    <col min="1" max="1" width="10" bestFit="1" customWidth="1"/>
    <col min="2" max="2" width="13.28515625" customWidth="1"/>
    <col min="4" max="4" width="25" customWidth="1"/>
    <col min="8" max="8" width="19" customWidth="1"/>
  </cols>
  <sheetData>
    <row r="1" spans="1:8" x14ac:dyDescent="0.25">
      <c r="A1" s="1" t="s">
        <v>47</v>
      </c>
      <c r="B1" s="68">
        <v>43911</v>
      </c>
      <c r="D1" s="68">
        <v>43941</v>
      </c>
      <c r="F1" s="7"/>
    </row>
    <row r="2" spans="1:8" x14ac:dyDescent="0.25">
      <c r="A2" s="1" t="s">
        <v>34</v>
      </c>
      <c r="B2" s="8">
        <f>SUM(INT((WEEKDAY(B1-{2,3,4,5,6}) +D1-B1)/7))</f>
        <v>21</v>
      </c>
    </row>
    <row r="3" spans="1:8" x14ac:dyDescent="0.25">
      <c r="A3" s="1" t="s">
        <v>758</v>
      </c>
      <c r="B3" s="8">
        <v>0</v>
      </c>
    </row>
    <row r="4" spans="1:8" x14ac:dyDescent="0.25">
      <c r="A4" s="1" t="s">
        <v>289</v>
      </c>
      <c r="B4">
        <f ca="1">IF(TODAY()&lt;D1,SUM(INT((WEEKDAY(B1-{2,3,4,5,6})+TODAY()-B1)/7)),SUM(INT((WEEKDAY(B1-{2,3,4,5,6})+D1-B1)/7)))-B3</f>
        <v>15</v>
      </c>
    </row>
    <row r="5" spans="1:8" x14ac:dyDescent="0.25">
      <c r="A5" s="1"/>
    </row>
    <row r="6" spans="1:8" x14ac:dyDescent="0.25">
      <c r="B6" s="1" t="s">
        <v>38</v>
      </c>
    </row>
    <row r="7" spans="1:8" ht="45" x14ac:dyDescent="0.25">
      <c r="C7" s="90" t="s">
        <v>29</v>
      </c>
      <c r="D7" s="90" t="s">
        <v>30</v>
      </c>
      <c r="E7" s="90" t="s">
        <v>31</v>
      </c>
      <c r="F7" s="90" t="s">
        <v>32</v>
      </c>
      <c r="G7" s="12" t="s">
        <v>229</v>
      </c>
      <c r="H7" s="12" t="s">
        <v>33</v>
      </c>
    </row>
    <row r="8" spans="1:8" x14ac:dyDescent="0.25">
      <c r="C8" s="9">
        <v>1</v>
      </c>
      <c r="D8" s="92" t="s">
        <v>3</v>
      </c>
      <c r="E8" s="92"/>
      <c r="F8" s="92"/>
      <c r="G8" s="92"/>
      <c r="H8" s="78"/>
    </row>
    <row r="9" spans="1:8" x14ac:dyDescent="0.25">
      <c r="C9" s="9">
        <v>2</v>
      </c>
      <c r="D9" s="92" t="s">
        <v>2</v>
      </c>
      <c r="E9" s="92"/>
      <c r="F9" s="92"/>
      <c r="G9" s="92"/>
      <c r="H9" s="78"/>
    </row>
    <row r="10" spans="1:8" x14ac:dyDescent="0.25">
      <c r="C10" s="65"/>
      <c r="D10" s="45"/>
      <c r="E10" s="45"/>
      <c r="F10" s="45"/>
      <c r="G10" s="66"/>
    </row>
    <row r="11" spans="1:8" x14ac:dyDescent="0.25">
      <c r="B11" s="1" t="s">
        <v>39</v>
      </c>
    </row>
    <row r="12" spans="1:8" ht="30" x14ac:dyDescent="0.25">
      <c r="C12" s="90" t="s">
        <v>29</v>
      </c>
      <c r="D12" s="90" t="s">
        <v>35</v>
      </c>
      <c r="E12" s="12" t="s">
        <v>36</v>
      </c>
      <c r="F12" s="12" t="s">
        <v>37</v>
      </c>
      <c r="G12" s="12" t="s">
        <v>229</v>
      </c>
    </row>
    <row r="13" spans="1:8" x14ac:dyDescent="0.25">
      <c r="C13" s="43">
        <v>1</v>
      </c>
      <c r="D13" s="43" t="s">
        <v>315</v>
      </c>
      <c r="E13" s="92"/>
      <c r="F13" s="92"/>
      <c r="G13" s="92"/>
    </row>
    <row r="14" spans="1:8" x14ac:dyDescent="0.25">
      <c r="C14" s="43">
        <v>2</v>
      </c>
      <c r="D14" s="43" t="s">
        <v>316</v>
      </c>
      <c r="E14" s="92"/>
      <c r="F14" s="92"/>
      <c r="G14" s="92"/>
    </row>
    <row r="15" spans="1:8" x14ac:dyDescent="0.25">
      <c r="C15" s="43">
        <v>3</v>
      </c>
      <c r="D15" s="43" t="s">
        <v>317</v>
      </c>
      <c r="E15" s="92"/>
      <c r="F15" s="92"/>
      <c r="G15" s="92"/>
    </row>
    <row r="16" spans="1:8" x14ac:dyDescent="0.25">
      <c r="C16" s="43">
        <v>4</v>
      </c>
      <c r="D16" s="43" t="s">
        <v>318</v>
      </c>
      <c r="E16" s="92"/>
      <c r="F16" s="92"/>
      <c r="G16" s="92"/>
    </row>
    <row r="17" spans="2:7" x14ac:dyDescent="0.25">
      <c r="C17" s="44"/>
      <c r="D17" s="44"/>
      <c r="E17" s="45"/>
      <c r="F17" s="45"/>
    </row>
    <row r="18" spans="2:7" x14ac:dyDescent="0.25">
      <c r="B18" s="1" t="s">
        <v>40</v>
      </c>
    </row>
    <row r="19" spans="2:7" x14ac:dyDescent="0.25">
      <c r="C19" s="90" t="s">
        <v>29</v>
      </c>
      <c r="D19" s="93" t="s">
        <v>41</v>
      </c>
      <c r="E19" s="94"/>
      <c r="F19" s="94"/>
      <c r="G19" s="95"/>
    </row>
    <row r="20" spans="2:7" x14ac:dyDescent="0.25">
      <c r="C20" s="43">
        <v>1</v>
      </c>
      <c r="D20" s="91" t="s">
        <v>70</v>
      </c>
      <c r="E20" s="92"/>
      <c r="F20" s="92"/>
      <c r="G20" s="92"/>
    </row>
    <row r="21" spans="2:7" x14ac:dyDescent="0.25">
      <c r="C21" s="43">
        <v>2</v>
      </c>
      <c r="D21" s="92" t="s">
        <v>70</v>
      </c>
      <c r="E21" s="92"/>
      <c r="F21" s="92"/>
      <c r="G21" s="92"/>
    </row>
    <row r="22" spans="2:7" x14ac:dyDescent="0.25">
      <c r="C22" s="43">
        <v>3</v>
      </c>
      <c r="D22" s="92" t="s">
        <v>70</v>
      </c>
      <c r="E22" s="92"/>
      <c r="F22" s="92"/>
      <c r="G22" s="92"/>
    </row>
    <row r="23" spans="2:7" x14ac:dyDescent="0.25">
      <c r="C23" s="43">
        <v>4</v>
      </c>
      <c r="D23" s="92" t="s">
        <v>70</v>
      </c>
      <c r="E23" s="92"/>
      <c r="F23" s="92"/>
      <c r="G23" s="92"/>
    </row>
    <row r="25" spans="2:7" x14ac:dyDescent="0.25">
      <c r="B25" s="1" t="s">
        <v>42</v>
      </c>
    </row>
    <row r="26" spans="2:7" x14ac:dyDescent="0.25">
      <c r="C26" s="90" t="s">
        <v>29</v>
      </c>
      <c r="D26" s="93" t="s">
        <v>44</v>
      </c>
      <c r="E26" s="94"/>
      <c r="F26" s="94"/>
      <c r="G26" s="95"/>
    </row>
    <row r="27" spans="2:7" x14ac:dyDescent="0.25">
      <c r="C27" s="43">
        <v>1</v>
      </c>
      <c r="D27" s="74" t="s">
        <v>70</v>
      </c>
      <c r="E27" s="75"/>
      <c r="F27" s="75"/>
      <c r="G27" s="76"/>
    </row>
    <row r="28" spans="2:7" x14ac:dyDescent="0.25">
      <c r="C28" s="43">
        <v>2</v>
      </c>
      <c r="D28" s="74" t="s">
        <v>70</v>
      </c>
      <c r="E28" s="75"/>
      <c r="F28" s="75"/>
      <c r="G28" s="76"/>
    </row>
    <row r="29" spans="2:7" x14ac:dyDescent="0.25">
      <c r="C29" s="43">
        <v>3</v>
      </c>
      <c r="D29" s="74" t="s">
        <v>70</v>
      </c>
      <c r="E29" s="75"/>
      <c r="F29" s="75"/>
      <c r="G29" s="76"/>
    </row>
    <row r="30" spans="2:7" x14ac:dyDescent="0.25">
      <c r="C30" s="43">
        <v>4</v>
      </c>
      <c r="D30" s="74" t="s">
        <v>70</v>
      </c>
      <c r="E30" s="75"/>
      <c r="F30" s="75"/>
      <c r="G30" s="76"/>
    </row>
    <row r="32" spans="2:7" x14ac:dyDescent="0.25">
      <c r="B32" s="1" t="s">
        <v>43</v>
      </c>
    </row>
    <row r="33" spans="2:6" ht="30" x14ac:dyDescent="0.25">
      <c r="C33" s="90" t="s">
        <v>29</v>
      </c>
      <c r="D33" s="90" t="s">
        <v>35</v>
      </c>
      <c r="E33" s="12" t="s">
        <v>45</v>
      </c>
      <c r="F33" s="12" t="s">
        <v>46</v>
      </c>
    </row>
    <row r="34" spans="2:6" x14ac:dyDescent="0.25">
      <c r="C34" s="43">
        <v>1</v>
      </c>
      <c r="D34" s="43" t="s">
        <v>315</v>
      </c>
      <c r="E34" s="91" t="s">
        <v>70</v>
      </c>
      <c r="F34" s="91" t="s">
        <v>70</v>
      </c>
    </row>
    <row r="35" spans="2:6" x14ac:dyDescent="0.25">
      <c r="C35" s="43">
        <v>2</v>
      </c>
      <c r="D35" s="43" t="s">
        <v>316</v>
      </c>
      <c r="E35" s="91" t="s">
        <v>70</v>
      </c>
      <c r="F35" s="91" t="s">
        <v>70</v>
      </c>
    </row>
    <row r="36" spans="2:6" x14ac:dyDescent="0.25">
      <c r="C36" s="43">
        <v>3</v>
      </c>
      <c r="D36" s="43" t="s">
        <v>317</v>
      </c>
      <c r="E36" s="91" t="s">
        <v>70</v>
      </c>
      <c r="F36" s="91" t="s">
        <v>70</v>
      </c>
    </row>
    <row r="37" spans="2:6" x14ac:dyDescent="0.25">
      <c r="C37" s="43">
        <v>4</v>
      </c>
      <c r="D37" s="43" t="s">
        <v>318</v>
      </c>
      <c r="E37" s="91" t="s">
        <v>70</v>
      </c>
      <c r="F37" s="91" t="s">
        <v>70</v>
      </c>
    </row>
    <row r="38" spans="2:6" x14ac:dyDescent="0.25">
      <c r="C38" s="44"/>
      <c r="D38" s="44"/>
      <c r="E38" s="45"/>
      <c r="F38" s="44"/>
    </row>
    <row r="40" spans="2:6" x14ac:dyDescent="0.25">
      <c r="B40" s="1" t="s">
        <v>48</v>
      </c>
    </row>
    <row r="41" spans="2:6" x14ac:dyDescent="0.25">
      <c r="C41" s="1" t="s">
        <v>50</v>
      </c>
    </row>
    <row r="42" spans="2:6" x14ac:dyDescent="0.25">
      <c r="D42" t="s">
        <v>49</v>
      </c>
    </row>
    <row r="43" spans="2:6" x14ac:dyDescent="0.25">
      <c r="D43" t="s">
        <v>217</v>
      </c>
    </row>
    <row r="44" spans="2:6" x14ac:dyDescent="0.25">
      <c r="C44" s="1" t="s">
        <v>51</v>
      </c>
    </row>
    <row r="45" spans="2:6" x14ac:dyDescent="0.25">
      <c r="D45" t="s">
        <v>52</v>
      </c>
    </row>
    <row r="46" spans="2:6" x14ac:dyDescent="0.25">
      <c r="D46" t="s">
        <v>53</v>
      </c>
    </row>
  </sheetData>
  <customSheetViews>
    <customSheetView guid="{250915DF-0B97-45D7-B29D-7EED4C89C1C1}">
      <selection activeCell="E27" sqref="E27"/>
      <pageMargins left="0.7" right="0.7" top="0.75" bottom="0.75" header="0.3" footer="0.3"/>
      <pageSetup orientation="portrait" horizontalDpi="300" verticalDpi="0" r:id="rId1"/>
    </customSheetView>
    <customSheetView guid="{7ECC2B8E-6A82-42F5-8AB0-4A51C54EA5EC}">
      <selection activeCell="E27" sqref="E27"/>
      <pageMargins left="0.7" right="0.7" top="0.75" bottom="0.75" header="0.3" footer="0.3"/>
      <pageSetup orientation="portrait" horizontalDpi="300" verticalDpi="0" r:id="rId2"/>
    </customSheetView>
    <customSheetView guid="{336B6883-2145-4B58-921E-CEC7185A847E}">
      <selection activeCell="E27" sqref="E27"/>
      <pageMargins left="0.7" right="0.7" top="0.75" bottom="0.75" header="0.3" footer="0.3"/>
      <pageSetup orientation="portrait" horizontalDpi="300" verticalDpi="0" r:id="rId3"/>
    </customSheetView>
  </customSheetViews>
  <pageMargins left="0.7" right="0.7" top="0.75" bottom="0.75" header="0.3" footer="0.3"/>
  <pageSetup orientation="portrait" horizontalDpi="300" verticalDpi="0"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Merged</vt:lpstr>
      <vt:lpstr>|-&gt;</vt:lpstr>
      <vt:lpstr>Report_For_Each_Project</vt:lpstr>
      <vt:lpstr>Template_Weekly_Report</vt:lpstr>
      <vt:lpstr>Template_Total_Report</vt:lpstr>
      <vt:lpstr>Table</vt:lpstr>
      <vt:lpstr>Check_List</vt:lpstr>
      <vt:lpstr>|--&gt;</vt:lpstr>
      <vt:lpstr>Data_20200321_20200420</vt:lpstr>
      <vt:lpstr>Data_20200305_20200320</vt:lpstr>
      <vt:lpstr>|---&gt;</vt:lpstr>
      <vt:lpstr>Monthly_20200320</vt:lpstr>
      <vt:lpstr>Monthly_20200420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2020-04-10T12:11:34Z</dcterms:modified>
</cp:coreProperties>
</file>